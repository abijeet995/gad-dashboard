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92c522336a5cd471/Desktop/"/>
    </mc:Choice>
  </mc:AlternateContent>
  <xr:revisionPtr revIDLastSave="664" documentId="11_9AC079F552C5AA66F49A39990F18EE064C0CEC66" xr6:coauthVersionLast="47" xr6:coauthVersionMax="47" xr10:uidLastSave="{33A94E5F-AFD9-4448-BD89-26E4A192A438}"/>
  <bookViews>
    <workbookView xWindow="-110" yWindow="-110" windowWidth="29020" windowHeight="17500" xr2:uid="{00000000-000D-0000-FFFF-FFFF00000000}"/>
  </bookViews>
  <sheets>
    <sheet name="Sheet1" sheetId="1" r:id="rId1"/>
  </sheets>
  <definedNames>
    <definedName name="_xlnm._FilterDatabase" localSheetId="0" hidden="1">Sheet1!$A$1:$Z$1291</definedName>
    <definedName name="Z_7AD322E6_6203_454D_818D_641BB9E2C1C9_.wvu.FilterData" localSheetId="0" hidden="1">Sheet1!$B$1:$Z$1291</definedName>
    <definedName name="Z_9336F351_8525_4B1C_85F3_364B3742EE64_.wvu.FilterData" localSheetId="0" hidden="1">Sheet1!$B$1:$Z$1291</definedName>
  </definedNames>
  <calcPr calcId="191029"/>
  <customWorkbookViews>
    <customWorkbookView name="Filter 1" guid="{7AD322E6-6203-454D-818D-641BB9E2C1C9}" maximized="1" windowWidth="0" windowHeight="0" activeSheetId="0"/>
    <customWorkbookView name="Filter 2" guid="{9336F351-8525-4B1C-85F3-364B3742EE64}"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AA1282" i="1"/>
  <c r="AB1282" i="1" s="1"/>
  <c r="AA1283" i="1"/>
  <c r="AB1283" i="1" s="1"/>
  <c r="AA1284" i="1"/>
  <c r="AB1284" i="1" s="1"/>
  <c r="AA1285" i="1"/>
  <c r="AB1285" i="1" s="1"/>
  <c r="AA1286" i="1"/>
  <c r="AB1286" i="1" s="1"/>
  <c r="AA1287" i="1"/>
  <c r="AB1287" i="1" s="1"/>
  <c r="AA1288" i="1"/>
  <c r="AB1288" i="1" s="1"/>
  <c r="AA1289" i="1"/>
  <c r="AB1289" i="1" s="1"/>
  <c r="AA1290" i="1"/>
  <c r="AB1290" i="1" s="1"/>
  <c r="AA1291" i="1"/>
  <c r="AB1291" i="1" s="1"/>
  <c r="AA1281" i="1"/>
  <c r="AB1281" i="1" s="1"/>
  <c r="AA1280" i="1"/>
  <c r="AB1280" i="1" s="1"/>
  <c r="AA2" i="1"/>
  <c r="AB2" i="1" s="1"/>
  <c r="AA3" i="1"/>
  <c r="AB3" i="1" s="1"/>
  <c r="AA4" i="1"/>
  <c r="AB4" i="1" s="1"/>
  <c r="AA5" i="1"/>
  <c r="AB5" i="1" s="1"/>
  <c r="AA6" i="1"/>
  <c r="AB6" i="1" s="1"/>
  <c r="AA7" i="1"/>
  <c r="AB7" i="1" s="1"/>
  <c r="AA8" i="1"/>
  <c r="AB8" i="1" s="1"/>
  <c r="AA9" i="1"/>
  <c r="AB9" i="1" s="1"/>
  <c r="AA10" i="1"/>
  <c r="AB10" i="1" s="1"/>
  <c r="AA11" i="1"/>
  <c r="AB11" i="1" s="1"/>
  <c r="AA12" i="1"/>
  <c r="AB12" i="1" s="1"/>
  <c r="AA13" i="1"/>
  <c r="AB13" i="1" s="1"/>
  <c r="AA14" i="1"/>
  <c r="AB14" i="1" s="1"/>
  <c r="AA15" i="1"/>
  <c r="AB15" i="1" s="1"/>
  <c r="AA16" i="1"/>
  <c r="AB16" i="1" s="1"/>
  <c r="AA17" i="1"/>
  <c r="AB17" i="1" s="1"/>
  <c r="AA18" i="1"/>
  <c r="AB18" i="1" s="1"/>
  <c r="AA19" i="1"/>
  <c r="AB19" i="1" s="1"/>
  <c r="AA20" i="1"/>
  <c r="AB20" i="1" s="1"/>
  <c r="AA21" i="1"/>
  <c r="AB21" i="1" s="1"/>
  <c r="AA22" i="1"/>
  <c r="AB22" i="1" s="1"/>
  <c r="AA23" i="1"/>
  <c r="AB23" i="1" s="1"/>
  <c r="AA24" i="1"/>
  <c r="AB24" i="1" s="1"/>
  <c r="AA25" i="1"/>
  <c r="AB25" i="1" s="1"/>
  <c r="AA26" i="1"/>
  <c r="AB26" i="1" s="1"/>
  <c r="AA27" i="1"/>
  <c r="AB27" i="1" s="1"/>
  <c r="AA28" i="1"/>
  <c r="AB28" i="1" s="1"/>
  <c r="AA29" i="1"/>
  <c r="AB29" i="1" s="1"/>
  <c r="AA30" i="1"/>
  <c r="AB30" i="1" s="1"/>
  <c r="AA31" i="1"/>
  <c r="AB31" i="1" s="1"/>
  <c r="AA32" i="1"/>
  <c r="AB32" i="1" s="1"/>
  <c r="AA33" i="1"/>
  <c r="AB33" i="1" s="1"/>
  <c r="AA34" i="1"/>
  <c r="AB34" i="1" s="1"/>
  <c r="AA35" i="1"/>
  <c r="AB35" i="1" s="1"/>
  <c r="AA36" i="1"/>
  <c r="AB36" i="1" s="1"/>
  <c r="AA37" i="1"/>
  <c r="AB37" i="1" s="1"/>
  <c r="AA38" i="1"/>
  <c r="AB38" i="1" s="1"/>
  <c r="AA39" i="1"/>
  <c r="AB39" i="1" s="1"/>
  <c r="AA40" i="1"/>
  <c r="AB40" i="1" s="1"/>
  <c r="AA41" i="1"/>
  <c r="AB41" i="1" s="1"/>
  <c r="AA42" i="1"/>
  <c r="AB42" i="1" s="1"/>
  <c r="AA43" i="1"/>
  <c r="AB43" i="1" s="1"/>
  <c r="AA44" i="1"/>
  <c r="AB44" i="1" s="1"/>
  <c r="AA45" i="1"/>
  <c r="AB45" i="1" s="1"/>
  <c r="AA46" i="1"/>
  <c r="AB46" i="1" s="1"/>
  <c r="AA47" i="1"/>
  <c r="AB47" i="1" s="1"/>
  <c r="AA48" i="1"/>
  <c r="AB48" i="1" s="1"/>
  <c r="AA49" i="1"/>
  <c r="AB49" i="1" s="1"/>
  <c r="AA50" i="1"/>
  <c r="AB50" i="1" s="1"/>
  <c r="AA51" i="1"/>
  <c r="AB51" i="1" s="1"/>
  <c r="AA52" i="1"/>
  <c r="AB52" i="1" s="1"/>
  <c r="AA53" i="1"/>
  <c r="AB53" i="1" s="1"/>
  <c r="AA54" i="1"/>
  <c r="AB54" i="1" s="1"/>
  <c r="AA55" i="1"/>
  <c r="AB55" i="1" s="1"/>
  <c r="AA56" i="1"/>
  <c r="AB56" i="1" s="1"/>
  <c r="AA57" i="1"/>
  <c r="AB57" i="1" s="1"/>
  <c r="AA58" i="1"/>
  <c r="AB58" i="1" s="1"/>
  <c r="AA59" i="1"/>
  <c r="AB59" i="1" s="1"/>
  <c r="AA60" i="1"/>
  <c r="AB60" i="1" s="1"/>
  <c r="AA61" i="1"/>
  <c r="AB61" i="1" s="1"/>
  <c r="AA62" i="1"/>
  <c r="AB62" i="1" s="1"/>
  <c r="AA63" i="1"/>
  <c r="AB63" i="1" s="1"/>
  <c r="AA64" i="1"/>
  <c r="AB64" i="1" s="1"/>
  <c r="AA65" i="1"/>
  <c r="AB65" i="1" s="1"/>
  <c r="AA66" i="1"/>
  <c r="AB66" i="1" s="1"/>
  <c r="AA67" i="1"/>
  <c r="AB67" i="1" s="1"/>
  <c r="AA68" i="1"/>
  <c r="AB68" i="1" s="1"/>
  <c r="AA69" i="1"/>
  <c r="AB69" i="1" s="1"/>
  <c r="AA70" i="1"/>
  <c r="AB70" i="1" s="1"/>
  <c r="AA71" i="1"/>
  <c r="AB71" i="1" s="1"/>
  <c r="AA72" i="1"/>
  <c r="AB72" i="1" s="1"/>
  <c r="AA73" i="1"/>
  <c r="AB73" i="1" s="1"/>
  <c r="AA74" i="1"/>
  <c r="AB74" i="1" s="1"/>
  <c r="AA75" i="1"/>
  <c r="AB75" i="1" s="1"/>
  <c r="AA76" i="1"/>
  <c r="AB76" i="1" s="1"/>
  <c r="AA77" i="1"/>
  <c r="AB77" i="1" s="1"/>
  <c r="AA78" i="1"/>
  <c r="AB78" i="1" s="1"/>
  <c r="AA79" i="1"/>
  <c r="AB79" i="1" s="1"/>
  <c r="AA80" i="1"/>
  <c r="AB80" i="1" s="1"/>
  <c r="AA81" i="1"/>
  <c r="AB81" i="1" s="1"/>
  <c r="AA82" i="1"/>
  <c r="AB82" i="1" s="1"/>
  <c r="AA83" i="1"/>
  <c r="AB83" i="1" s="1"/>
  <c r="AA84" i="1"/>
  <c r="AB84" i="1" s="1"/>
  <c r="AA85" i="1"/>
  <c r="AB85" i="1" s="1"/>
  <c r="AA86" i="1"/>
  <c r="AB86" i="1" s="1"/>
  <c r="AA87" i="1"/>
  <c r="AB87" i="1" s="1"/>
  <c r="AA88" i="1"/>
  <c r="AB88" i="1" s="1"/>
  <c r="AA89" i="1"/>
  <c r="AB89" i="1" s="1"/>
  <c r="AA90" i="1"/>
  <c r="AB90" i="1" s="1"/>
  <c r="AA91" i="1"/>
  <c r="AB91" i="1" s="1"/>
  <c r="AA92" i="1"/>
  <c r="AB92" i="1" s="1"/>
  <c r="AA93" i="1"/>
  <c r="AB93" i="1" s="1"/>
  <c r="AA94" i="1"/>
  <c r="AB94" i="1" s="1"/>
  <c r="AA95" i="1"/>
  <c r="AB95" i="1" s="1"/>
  <c r="AA96" i="1"/>
  <c r="AB96" i="1" s="1"/>
  <c r="AA97" i="1"/>
  <c r="AB97" i="1" s="1"/>
  <c r="AA98" i="1"/>
  <c r="AB98" i="1" s="1"/>
  <c r="AA99" i="1"/>
  <c r="AB99" i="1" s="1"/>
  <c r="AA100" i="1"/>
  <c r="AB100" i="1" s="1"/>
  <c r="AA101" i="1"/>
  <c r="AB101" i="1" s="1"/>
  <c r="AA102" i="1"/>
  <c r="AB102" i="1" s="1"/>
  <c r="AA103" i="1"/>
  <c r="AB103" i="1" s="1"/>
  <c r="AA104" i="1"/>
  <c r="AB104" i="1" s="1"/>
  <c r="AA105" i="1"/>
  <c r="AB105" i="1" s="1"/>
  <c r="AA106" i="1"/>
  <c r="AB106" i="1" s="1"/>
  <c r="AA107" i="1"/>
  <c r="AB107" i="1" s="1"/>
  <c r="AA108" i="1"/>
  <c r="AB108" i="1" s="1"/>
  <c r="AA109" i="1"/>
  <c r="AB109" i="1" s="1"/>
  <c r="AA110" i="1"/>
  <c r="AB110" i="1" s="1"/>
  <c r="AA111" i="1"/>
  <c r="AB111" i="1" s="1"/>
  <c r="AA112" i="1"/>
  <c r="AB112" i="1" s="1"/>
  <c r="AA113" i="1"/>
  <c r="AB113" i="1" s="1"/>
  <c r="AA114" i="1"/>
  <c r="AB114" i="1" s="1"/>
  <c r="AA115" i="1"/>
  <c r="AB115" i="1" s="1"/>
  <c r="AA116" i="1"/>
  <c r="AB116" i="1" s="1"/>
  <c r="AA117" i="1"/>
  <c r="AB117" i="1" s="1"/>
  <c r="AA118" i="1"/>
  <c r="AB118" i="1" s="1"/>
  <c r="AA119" i="1"/>
  <c r="AB119" i="1" s="1"/>
  <c r="AA120" i="1"/>
  <c r="AB120" i="1" s="1"/>
  <c r="AA121" i="1"/>
  <c r="AB121" i="1" s="1"/>
  <c r="AA122" i="1"/>
  <c r="AB122" i="1" s="1"/>
  <c r="AA123" i="1"/>
  <c r="AB123" i="1" s="1"/>
  <c r="AA124" i="1"/>
  <c r="AB124" i="1" s="1"/>
  <c r="AA125" i="1"/>
  <c r="AB125" i="1" s="1"/>
  <c r="AA126" i="1"/>
  <c r="AB126" i="1" s="1"/>
  <c r="AA127" i="1"/>
  <c r="AB127" i="1" s="1"/>
  <c r="AA128" i="1"/>
  <c r="AB128" i="1" s="1"/>
  <c r="AA129" i="1"/>
  <c r="AB129" i="1" s="1"/>
  <c r="AA130" i="1"/>
  <c r="AB130" i="1" s="1"/>
  <c r="AA131" i="1"/>
  <c r="AB131" i="1" s="1"/>
  <c r="AA132" i="1"/>
  <c r="AB132" i="1" s="1"/>
  <c r="AA133" i="1"/>
  <c r="AB133" i="1" s="1"/>
  <c r="AA134" i="1"/>
  <c r="AB134" i="1" s="1"/>
  <c r="AA135" i="1"/>
  <c r="AB135" i="1" s="1"/>
  <c r="AA136" i="1"/>
  <c r="AB136" i="1" s="1"/>
  <c r="AA137" i="1"/>
  <c r="AB137" i="1" s="1"/>
  <c r="AA138" i="1"/>
  <c r="AB138" i="1" s="1"/>
  <c r="AA139" i="1"/>
  <c r="AB139" i="1" s="1"/>
  <c r="AA140" i="1"/>
  <c r="AB140" i="1" s="1"/>
  <c r="AA141" i="1"/>
  <c r="AB141" i="1" s="1"/>
  <c r="AA142" i="1"/>
  <c r="AB142" i="1" s="1"/>
  <c r="AA143" i="1"/>
  <c r="AB143" i="1" s="1"/>
  <c r="AA144" i="1"/>
  <c r="AB144" i="1" s="1"/>
  <c r="AA145" i="1"/>
  <c r="AB145" i="1" s="1"/>
  <c r="AA146" i="1"/>
  <c r="AB146" i="1" s="1"/>
  <c r="AA147" i="1"/>
  <c r="AB147" i="1" s="1"/>
  <c r="AA148" i="1"/>
  <c r="AB148" i="1" s="1"/>
  <c r="AA149" i="1"/>
  <c r="AB149" i="1" s="1"/>
  <c r="AA150" i="1"/>
  <c r="AB150" i="1" s="1"/>
  <c r="AA151" i="1"/>
  <c r="AB151" i="1" s="1"/>
  <c r="AA152" i="1"/>
  <c r="AB152" i="1" s="1"/>
  <c r="AA153" i="1"/>
  <c r="AB153" i="1" s="1"/>
  <c r="AA154" i="1"/>
  <c r="AB154" i="1" s="1"/>
  <c r="AA155" i="1"/>
  <c r="AB155" i="1" s="1"/>
  <c r="AA156" i="1"/>
  <c r="AB156" i="1" s="1"/>
  <c r="AA157" i="1"/>
  <c r="AB157" i="1" s="1"/>
  <c r="AA158" i="1"/>
  <c r="AB158" i="1" s="1"/>
  <c r="AA159" i="1"/>
  <c r="AB159" i="1" s="1"/>
  <c r="AA160" i="1"/>
  <c r="AB160" i="1" s="1"/>
  <c r="AA161" i="1"/>
  <c r="AB161" i="1" s="1"/>
  <c r="AA162" i="1"/>
  <c r="AB162" i="1" s="1"/>
  <c r="AA163" i="1"/>
  <c r="AB163" i="1" s="1"/>
  <c r="AA164" i="1"/>
  <c r="AB164" i="1" s="1"/>
  <c r="AA165" i="1"/>
  <c r="AB165" i="1" s="1"/>
  <c r="AA166" i="1"/>
  <c r="AB166" i="1" s="1"/>
  <c r="AA167" i="1"/>
  <c r="AB167" i="1" s="1"/>
  <c r="AA168" i="1"/>
  <c r="AB168" i="1" s="1"/>
  <c r="AA169" i="1"/>
  <c r="AB169" i="1" s="1"/>
  <c r="AA170" i="1"/>
  <c r="AB170" i="1" s="1"/>
  <c r="AA171" i="1"/>
  <c r="AB171" i="1" s="1"/>
  <c r="AA172" i="1"/>
  <c r="AB172" i="1" s="1"/>
  <c r="AA173" i="1"/>
  <c r="AB173" i="1" s="1"/>
  <c r="AA174" i="1"/>
  <c r="AB174" i="1" s="1"/>
  <c r="AA175" i="1"/>
  <c r="AB175" i="1" s="1"/>
  <c r="AA176" i="1"/>
  <c r="AB176" i="1" s="1"/>
  <c r="AA177" i="1"/>
  <c r="AB177" i="1" s="1"/>
  <c r="AA178" i="1"/>
  <c r="AB178" i="1" s="1"/>
  <c r="AA179" i="1"/>
  <c r="AB179" i="1" s="1"/>
  <c r="AA180" i="1"/>
  <c r="AB180" i="1" s="1"/>
  <c r="AA181" i="1"/>
  <c r="AB181" i="1" s="1"/>
  <c r="AA182" i="1"/>
  <c r="AB182" i="1" s="1"/>
  <c r="AA183" i="1"/>
  <c r="AB183" i="1" s="1"/>
  <c r="AA184" i="1"/>
  <c r="AB184" i="1" s="1"/>
  <c r="AA185" i="1"/>
  <c r="AB185" i="1" s="1"/>
  <c r="AA186" i="1"/>
  <c r="AB186" i="1" s="1"/>
  <c r="AA187" i="1"/>
  <c r="AB187" i="1" s="1"/>
  <c r="AA188" i="1"/>
  <c r="AB188" i="1" s="1"/>
  <c r="AA189" i="1"/>
  <c r="AB189" i="1" s="1"/>
  <c r="AA190" i="1"/>
  <c r="AB190" i="1" s="1"/>
  <c r="AA191" i="1"/>
  <c r="AB191" i="1" s="1"/>
  <c r="AA192" i="1"/>
  <c r="AB192" i="1" s="1"/>
  <c r="AA193" i="1"/>
  <c r="AB193" i="1" s="1"/>
  <c r="AA194" i="1"/>
  <c r="AB194" i="1" s="1"/>
  <c r="AA195" i="1"/>
  <c r="AB195" i="1" s="1"/>
  <c r="AA196" i="1"/>
  <c r="AB196" i="1" s="1"/>
  <c r="AA197" i="1"/>
  <c r="AB197" i="1" s="1"/>
  <c r="AA198" i="1"/>
  <c r="AB198" i="1" s="1"/>
  <c r="AA199" i="1"/>
  <c r="AB199" i="1" s="1"/>
  <c r="AA200" i="1"/>
  <c r="AB200" i="1" s="1"/>
  <c r="AA201" i="1"/>
  <c r="AB201" i="1" s="1"/>
  <c r="AA202" i="1"/>
  <c r="AB202" i="1" s="1"/>
  <c r="AA203" i="1"/>
  <c r="AB203" i="1" s="1"/>
  <c r="AA204" i="1"/>
  <c r="AB204" i="1" s="1"/>
  <c r="AA205" i="1"/>
  <c r="AB205" i="1" s="1"/>
  <c r="AA206" i="1"/>
  <c r="AB206" i="1" s="1"/>
  <c r="AA207" i="1"/>
  <c r="AB207" i="1" s="1"/>
  <c r="AA208" i="1"/>
  <c r="AB208" i="1" s="1"/>
  <c r="AA209" i="1"/>
  <c r="AB209" i="1" s="1"/>
  <c r="AA210" i="1"/>
  <c r="AB210" i="1" s="1"/>
  <c r="AA211" i="1"/>
  <c r="AB211" i="1" s="1"/>
  <c r="AA212" i="1"/>
  <c r="AB212" i="1" s="1"/>
  <c r="AA213" i="1"/>
  <c r="AB213" i="1" s="1"/>
  <c r="AA214" i="1"/>
  <c r="AB214" i="1" s="1"/>
  <c r="AA215" i="1"/>
  <c r="AB215" i="1" s="1"/>
  <c r="AA216" i="1"/>
  <c r="AB216" i="1" s="1"/>
  <c r="AA217" i="1"/>
  <c r="AB217" i="1" s="1"/>
  <c r="AA218" i="1"/>
  <c r="AB218" i="1" s="1"/>
  <c r="AA219" i="1"/>
  <c r="AB219" i="1" s="1"/>
  <c r="AA220" i="1"/>
  <c r="AB220" i="1" s="1"/>
  <c r="AA221" i="1"/>
  <c r="AB221" i="1" s="1"/>
  <c r="AA222" i="1"/>
  <c r="AB222" i="1" s="1"/>
  <c r="AA223" i="1"/>
  <c r="AB223" i="1" s="1"/>
  <c r="AA224" i="1"/>
  <c r="AB224" i="1" s="1"/>
  <c r="AA225" i="1"/>
  <c r="AB225" i="1" s="1"/>
  <c r="AA226" i="1"/>
  <c r="AB226" i="1" s="1"/>
  <c r="AA227" i="1"/>
  <c r="AB227" i="1" s="1"/>
  <c r="AA228" i="1"/>
  <c r="AB228" i="1" s="1"/>
  <c r="AA229" i="1"/>
  <c r="AB229" i="1" s="1"/>
  <c r="AA230" i="1"/>
  <c r="AB230" i="1" s="1"/>
  <c r="AA231" i="1"/>
  <c r="AB231" i="1" s="1"/>
  <c r="AA232" i="1"/>
  <c r="AB232" i="1" s="1"/>
  <c r="AA233" i="1"/>
  <c r="AB233" i="1" s="1"/>
  <c r="AA234" i="1"/>
  <c r="AB234" i="1" s="1"/>
  <c r="AA235" i="1"/>
  <c r="AB235" i="1" s="1"/>
  <c r="AA236" i="1"/>
  <c r="AB236" i="1" s="1"/>
  <c r="AA237" i="1"/>
  <c r="AB237" i="1" s="1"/>
  <c r="AA238" i="1"/>
  <c r="AB238" i="1" s="1"/>
  <c r="AA239" i="1"/>
  <c r="AB239" i="1" s="1"/>
  <c r="AA240" i="1"/>
  <c r="AB240" i="1" s="1"/>
  <c r="AA241" i="1"/>
  <c r="AB241" i="1" s="1"/>
  <c r="AA242" i="1"/>
  <c r="AB242" i="1" s="1"/>
  <c r="AA243" i="1"/>
  <c r="AB243" i="1" s="1"/>
  <c r="AA244" i="1"/>
  <c r="AB244" i="1" s="1"/>
  <c r="AA245" i="1"/>
  <c r="AB245" i="1" s="1"/>
  <c r="AA246" i="1"/>
  <c r="AB246" i="1" s="1"/>
  <c r="AA247" i="1"/>
  <c r="AB247" i="1" s="1"/>
  <c r="AA248" i="1"/>
  <c r="AB248" i="1" s="1"/>
  <c r="AA249" i="1"/>
  <c r="AB249" i="1" s="1"/>
  <c r="AA250" i="1"/>
  <c r="AB250" i="1" s="1"/>
  <c r="AA251" i="1"/>
  <c r="AB251" i="1" s="1"/>
  <c r="AA252" i="1"/>
  <c r="AB252" i="1" s="1"/>
  <c r="AA253" i="1"/>
  <c r="AB253" i="1" s="1"/>
  <c r="AA254" i="1"/>
  <c r="AB254" i="1" s="1"/>
  <c r="AA255" i="1"/>
  <c r="AB255" i="1" s="1"/>
  <c r="AA256" i="1"/>
  <c r="AB256" i="1" s="1"/>
  <c r="AA257" i="1"/>
  <c r="AB257" i="1" s="1"/>
  <c r="AA258" i="1"/>
  <c r="AB258" i="1" s="1"/>
  <c r="AA259" i="1"/>
  <c r="AB259" i="1" s="1"/>
  <c r="AA260" i="1"/>
  <c r="AB260" i="1" s="1"/>
  <c r="AA261" i="1"/>
  <c r="AB261" i="1" s="1"/>
  <c r="AA262" i="1"/>
  <c r="AB262" i="1" s="1"/>
  <c r="AA263" i="1"/>
  <c r="AB263" i="1" s="1"/>
  <c r="AA264" i="1"/>
  <c r="AB264" i="1" s="1"/>
  <c r="AA265" i="1"/>
  <c r="AB265" i="1" s="1"/>
  <c r="AA266" i="1"/>
  <c r="AB266" i="1" s="1"/>
  <c r="AA267" i="1"/>
  <c r="AB267" i="1" s="1"/>
  <c r="AA268" i="1"/>
  <c r="AB268" i="1" s="1"/>
  <c r="AA269" i="1"/>
  <c r="AB269" i="1" s="1"/>
  <c r="AA270" i="1"/>
  <c r="AB270" i="1" s="1"/>
  <c r="AA271" i="1"/>
  <c r="AB271" i="1" s="1"/>
  <c r="AA272" i="1"/>
  <c r="AB272" i="1" s="1"/>
  <c r="AA273" i="1"/>
  <c r="AB273" i="1" s="1"/>
  <c r="AA274" i="1"/>
  <c r="AB274" i="1" s="1"/>
  <c r="AA275" i="1"/>
  <c r="AB275" i="1" s="1"/>
  <c r="AA276" i="1"/>
  <c r="AB276" i="1" s="1"/>
  <c r="AA277" i="1"/>
  <c r="AB277" i="1" s="1"/>
  <c r="AA278" i="1"/>
  <c r="AB278" i="1" s="1"/>
  <c r="AA279" i="1"/>
  <c r="AB279" i="1" s="1"/>
  <c r="AA280" i="1"/>
  <c r="AB280" i="1" s="1"/>
  <c r="AA281" i="1"/>
  <c r="AB281" i="1" s="1"/>
  <c r="AA282" i="1"/>
  <c r="AB282" i="1" s="1"/>
  <c r="AA283" i="1"/>
  <c r="AB283" i="1" s="1"/>
  <c r="AA284" i="1"/>
  <c r="AB284" i="1" s="1"/>
  <c r="AA285" i="1"/>
  <c r="AB285" i="1" s="1"/>
  <c r="AA286" i="1"/>
  <c r="AB286" i="1" s="1"/>
  <c r="AA287" i="1"/>
  <c r="AB287" i="1" s="1"/>
  <c r="AA288" i="1"/>
  <c r="AB288" i="1" s="1"/>
  <c r="AA289" i="1"/>
  <c r="AB289" i="1" s="1"/>
  <c r="AA290" i="1"/>
  <c r="AB290" i="1" s="1"/>
  <c r="AA291" i="1"/>
  <c r="AB291" i="1" s="1"/>
  <c r="AA292" i="1"/>
  <c r="AB292" i="1" s="1"/>
  <c r="AA293" i="1"/>
  <c r="AB293" i="1" s="1"/>
  <c r="AA294" i="1"/>
  <c r="AB294" i="1" s="1"/>
  <c r="AA295" i="1"/>
  <c r="AB295" i="1" s="1"/>
  <c r="AA296" i="1"/>
  <c r="AB296" i="1" s="1"/>
  <c r="AA297" i="1"/>
  <c r="AB297" i="1" s="1"/>
  <c r="AA298" i="1"/>
  <c r="AB298" i="1" s="1"/>
  <c r="AA299" i="1"/>
  <c r="AB299" i="1" s="1"/>
  <c r="AA300" i="1"/>
  <c r="AB300" i="1" s="1"/>
  <c r="AA301" i="1"/>
  <c r="AB301" i="1" s="1"/>
  <c r="AA302" i="1"/>
  <c r="AB302" i="1" s="1"/>
  <c r="AA303" i="1"/>
  <c r="AB303" i="1" s="1"/>
  <c r="AA304" i="1"/>
  <c r="AB304" i="1" s="1"/>
  <c r="AA305" i="1"/>
  <c r="AB305" i="1" s="1"/>
  <c r="AA306" i="1"/>
  <c r="AB306" i="1" s="1"/>
  <c r="AA307" i="1"/>
  <c r="AB307" i="1" s="1"/>
  <c r="AA308" i="1"/>
  <c r="AB308" i="1" s="1"/>
  <c r="AA309" i="1"/>
  <c r="AB309" i="1" s="1"/>
  <c r="AA310" i="1"/>
  <c r="AB310" i="1" s="1"/>
  <c r="AA311" i="1"/>
  <c r="AB311" i="1" s="1"/>
  <c r="AA312" i="1"/>
  <c r="AB312" i="1" s="1"/>
  <c r="AA313" i="1"/>
  <c r="AB313" i="1" s="1"/>
  <c r="AA314" i="1"/>
  <c r="AB314" i="1" s="1"/>
  <c r="AA315" i="1"/>
  <c r="AB315" i="1" s="1"/>
  <c r="AA316" i="1"/>
  <c r="AB316" i="1" s="1"/>
  <c r="AA317" i="1"/>
  <c r="AB317" i="1" s="1"/>
  <c r="AA318" i="1"/>
  <c r="AB318" i="1" s="1"/>
  <c r="AA319" i="1"/>
  <c r="AB319" i="1" s="1"/>
  <c r="AA320" i="1"/>
  <c r="AB320" i="1" s="1"/>
  <c r="AA321" i="1"/>
  <c r="AB321" i="1" s="1"/>
  <c r="AA322" i="1"/>
  <c r="AB322" i="1" s="1"/>
  <c r="AA323" i="1"/>
  <c r="AB323" i="1" s="1"/>
  <c r="AA324" i="1"/>
  <c r="AB324" i="1" s="1"/>
  <c r="AA325" i="1"/>
  <c r="AB325" i="1" s="1"/>
  <c r="AA326" i="1"/>
  <c r="AB326" i="1" s="1"/>
  <c r="AA327" i="1"/>
  <c r="AB327" i="1" s="1"/>
  <c r="AA328" i="1"/>
  <c r="AB328" i="1" s="1"/>
  <c r="AA329" i="1"/>
  <c r="AB329" i="1" s="1"/>
  <c r="AA330" i="1"/>
  <c r="AB330" i="1" s="1"/>
  <c r="AA331" i="1"/>
  <c r="AB331" i="1" s="1"/>
  <c r="AA332" i="1"/>
  <c r="AB332" i="1" s="1"/>
  <c r="AA333" i="1"/>
  <c r="AB333" i="1" s="1"/>
  <c r="AA334" i="1"/>
  <c r="AB334" i="1" s="1"/>
  <c r="AA335" i="1"/>
  <c r="AB335" i="1" s="1"/>
  <c r="AA336" i="1"/>
  <c r="AB336" i="1" s="1"/>
  <c r="AA337" i="1"/>
  <c r="AB337" i="1" s="1"/>
  <c r="AA338" i="1"/>
  <c r="AB338" i="1" s="1"/>
  <c r="AA339" i="1"/>
  <c r="AB339" i="1" s="1"/>
  <c r="AA340" i="1"/>
  <c r="AB340" i="1" s="1"/>
  <c r="AA341" i="1"/>
  <c r="AB341" i="1" s="1"/>
  <c r="AA342" i="1"/>
  <c r="AB342" i="1" s="1"/>
  <c r="AA343" i="1"/>
  <c r="AB343" i="1" s="1"/>
  <c r="AA344" i="1"/>
  <c r="AB344" i="1" s="1"/>
  <c r="AA345" i="1"/>
  <c r="AB345" i="1" s="1"/>
  <c r="AA346" i="1"/>
  <c r="AB346" i="1" s="1"/>
  <c r="AA347" i="1"/>
  <c r="AB347" i="1" s="1"/>
  <c r="AA348" i="1"/>
  <c r="AB348" i="1" s="1"/>
  <c r="AA349" i="1"/>
  <c r="AB349" i="1" s="1"/>
  <c r="AA350" i="1"/>
  <c r="AB350" i="1" s="1"/>
  <c r="AA351" i="1"/>
  <c r="AB351" i="1" s="1"/>
  <c r="AA352" i="1"/>
  <c r="AB352" i="1" s="1"/>
  <c r="AA353" i="1"/>
  <c r="AB353" i="1" s="1"/>
  <c r="AA354" i="1"/>
  <c r="AB354" i="1" s="1"/>
  <c r="AA355" i="1"/>
  <c r="AB355" i="1" s="1"/>
  <c r="AA356" i="1"/>
  <c r="AB356" i="1" s="1"/>
  <c r="AA357" i="1"/>
  <c r="AB357" i="1" s="1"/>
  <c r="AA358" i="1"/>
  <c r="AB358" i="1" s="1"/>
  <c r="AA359" i="1"/>
  <c r="AB359" i="1" s="1"/>
  <c r="AA360" i="1"/>
  <c r="AB360" i="1" s="1"/>
  <c r="AA361" i="1"/>
  <c r="AB361" i="1" s="1"/>
  <c r="AA362" i="1"/>
  <c r="AB362" i="1" s="1"/>
  <c r="AA363" i="1"/>
  <c r="AB363" i="1" s="1"/>
  <c r="AA364" i="1"/>
  <c r="AB364" i="1" s="1"/>
  <c r="AA365" i="1"/>
  <c r="AB365" i="1" s="1"/>
  <c r="AA366" i="1"/>
  <c r="AB366" i="1" s="1"/>
  <c r="AA367" i="1"/>
  <c r="AB367" i="1" s="1"/>
  <c r="AA368" i="1"/>
  <c r="AB368" i="1" s="1"/>
  <c r="AA369" i="1"/>
  <c r="AB369" i="1" s="1"/>
  <c r="AA370" i="1"/>
  <c r="AB370" i="1" s="1"/>
  <c r="AA371" i="1"/>
  <c r="AB371" i="1" s="1"/>
  <c r="AA372" i="1"/>
  <c r="AB372" i="1" s="1"/>
  <c r="AA373" i="1"/>
  <c r="AB373" i="1" s="1"/>
  <c r="AA374" i="1"/>
  <c r="AB374" i="1" s="1"/>
  <c r="AA375" i="1"/>
  <c r="AB375" i="1" s="1"/>
  <c r="AA376" i="1"/>
  <c r="AB376" i="1" s="1"/>
  <c r="AA377" i="1"/>
  <c r="AB377" i="1" s="1"/>
  <c r="AA378" i="1"/>
  <c r="AB378" i="1" s="1"/>
  <c r="AA379" i="1"/>
  <c r="AB379" i="1" s="1"/>
  <c r="AA380" i="1"/>
  <c r="AB380" i="1" s="1"/>
  <c r="AA381" i="1"/>
  <c r="AB381" i="1" s="1"/>
  <c r="AA382" i="1"/>
  <c r="AB382" i="1" s="1"/>
  <c r="AA383" i="1"/>
  <c r="AB383" i="1" s="1"/>
  <c r="AA384" i="1"/>
  <c r="AB384" i="1" s="1"/>
  <c r="AA385" i="1"/>
  <c r="AB385" i="1" s="1"/>
  <c r="AA386" i="1"/>
  <c r="AB386" i="1" s="1"/>
  <c r="AA387" i="1"/>
  <c r="AB387" i="1" s="1"/>
  <c r="AA388" i="1"/>
  <c r="AB388" i="1" s="1"/>
  <c r="AA389" i="1"/>
  <c r="AB389" i="1" s="1"/>
  <c r="AA390" i="1"/>
  <c r="AB390" i="1" s="1"/>
  <c r="AA391" i="1"/>
  <c r="AB391" i="1" s="1"/>
  <c r="AA392" i="1"/>
  <c r="AB392" i="1" s="1"/>
  <c r="AA393" i="1"/>
  <c r="AB393" i="1" s="1"/>
  <c r="AA394" i="1"/>
  <c r="AB394" i="1" s="1"/>
  <c r="AA395" i="1"/>
  <c r="AB395" i="1" s="1"/>
  <c r="AA396" i="1"/>
  <c r="AB396" i="1" s="1"/>
  <c r="AA397" i="1"/>
  <c r="AB397" i="1" s="1"/>
  <c r="AA398" i="1"/>
  <c r="AB398" i="1" s="1"/>
  <c r="AA399" i="1"/>
  <c r="AB399" i="1" s="1"/>
  <c r="AA400" i="1"/>
  <c r="AB400" i="1" s="1"/>
  <c r="AA401" i="1"/>
  <c r="AB401" i="1" s="1"/>
  <c r="AA402" i="1"/>
  <c r="AB402" i="1" s="1"/>
  <c r="AA403" i="1"/>
  <c r="AB403" i="1" s="1"/>
  <c r="AA404" i="1"/>
  <c r="AB404" i="1" s="1"/>
  <c r="AA405" i="1"/>
  <c r="AB405" i="1" s="1"/>
  <c r="AA406" i="1"/>
  <c r="AB406" i="1" s="1"/>
  <c r="AA407" i="1"/>
  <c r="AB407" i="1" s="1"/>
  <c r="AA408" i="1"/>
  <c r="AB408" i="1" s="1"/>
  <c r="AA409" i="1"/>
  <c r="AB409" i="1" s="1"/>
  <c r="AA410" i="1"/>
  <c r="AB410" i="1" s="1"/>
  <c r="AA411" i="1"/>
  <c r="AB411" i="1" s="1"/>
  <c r="AA412" i="1"/>
  <c r="AB412" i="1" s="1"/>
  <c r="AA413" i="1"/>
  <c r="AB413" i="1" s="1"/>
  <c r="AA414" i="1"/>
  <c r="AB414" i="1" s="1"/>
  <c r="AA415" i="1"/>
  <c r="AB415" i="1" s="1"/>
  <c r="AA416" i="1"/>
  <c r="AB416" i="1" s="1"/>
  <c r="AA417" i="1"/>
  <c r="AB417" i="1" s="1"/>
  <c r="AA418" i="1"/>
  <c r="AB418" i="1" s="1"/>
  <c r="AA419" i="1"/>
  <c r="AB419" i="1" s="1"/>
  <c r="AA420" i="1"/>
  <c r="AB420" i="1" s="1"/>
  <c r="AA421" i="1"/>
  <c r="AB421" i="1" s="1"/>
  <c r="AA422" i="1"/>
  <c r="AB422" i="1" s="1"/>
  <c r="AA423" i="1"/>
  <c r="AB423" i="1" s="1"/>
  <c r="AA424" i="1"/>
  <c r="AB424" i="1" s="1"/>
  <c r="AA425" i="1"/>
  <c r="AB425" i="1" s="1"/>
  <c r="AA426" i="1"/>
  <c r="AB426" i="1" s="1"/>
  <c r="AA427" i="1"/>
  <c r="AB427" i="1" s="1"/>
  <c r="AA428" i="1"/>
  <c r="AB428" i="1" s="1"/>
  <c r="AA429" i="1"/>
  <c r="AB429" i="1" s="1"/>
  <c r="AA430" i="1"/>
  <c r="AB430" i="1" s="1"/>
  <c r="AA431" i="1"/>
  <c r="AB431" i="1" s="1"/>
  <c r="AA432" i="1"/>
  <c r="AB432" i="1" s="1"/>
  <c r="AA433" i="1"/>
  <c r="AB433" i="1" s="1"/>
  <c r="AA434" i="1"/>
  <c r="AB434" i="1" s="1"/>
  <c r="AA435" i="1"/>
  <c r="AB435" i="1" s="1"/>
  <c r="AA436" i="1"/>
  <c r="AB436" i="1" s="1"/>
  <c r="AA437" i="1"/>
  <c r="AB437" i="1" s="1"/>
  <c r="AA438" i="1"/>
  <c r="AB438" i="1" s="1"/>
  <c r="AA439" i="1"/>
  <c r="AB439" i="1" s="1"/>
  <c r="AA440" i="1"/>
  <c r="AB440" i="1" s="1"/>
  <c r="AA441" i="1"/>
  <c r="AB441" i="1" s="1"/>
  <c r="AA442" i="1"/>
  <c r="AB442" i="1" s="1"/>
  <c r="AA443" i="1"/>
  <c r="AB443" i="1" s="1"/>
  <c r="AA444" i="1"/>
  <c r="AB444" i="1" s="1"/>
  <c r="AA445" i="1"/>
  <c r="AB445" i="1" s="1"/>
  <c r="AA446" i="1"/>
  <c r="AB446" i="1" s="1"/>
  <c r="AA447" i="1"/>
  <c r="AB447" i="1" s="1"/>
  <c r="AA448" i="1"/>
  <c r="AB448" i="1" s="1"/>
  <c r="AA449" i="1"/>
  <c r="AB449" i="1" s="1"/>
  <c r="AA450" i="1"/>
  <c r="AB450" i="1" s="1"/>
  <c r="AA451" i="1"/>
  <c r="AB451" i="1" s="1"/>
  <c r="AA452" i="1"/>
  <c r="AB452" i="1" s="1"/>
  <c r="AA453" i="1"/>
  <c r="AB453" i="1" s="1"/>
  <c r="AA454" i="1"/>
  <c r="AB454" i="1" s="1"/>
  <c r="AA455" i="1"/>
  <c r="AB455" i="1" s="1"/>
  <c r="AA456" i="1"/>
  <c r="AB456" i="1" s="1"/>
  <c r="AA457" i="1"/>
  <c r="AB457" i="1" s="1"/>
  <c r="AA458" i="1"/>
  <c r="AB458" i="1" s="1"/>
  <c r="AA459" i="1"/>
  <c r="AB459" i="1" s="1"/>
  <c r="AA460" i="1"/>
  <c r="AB460" i="1" s="1"/>
  <c r="AA461" i="1"/>
  <c r="AB461" i="1" s="1"/>
  <c r="AA462" i="1"/>
  <c r="AB462" i="1" s="1"/>
  <c r="AA463" i="1"/>
  <c r="AB463" i="1" s="1"/>
  <c r="AA464" i="1"/>
  <c r="AB464" i="1" s="1"/>
  <c r="AA465" i="1"/>
  <c r="AB465" i="1" s="1"/>
  <c r="AA466" i="1"/>
  <c r="AB466" i="1" s="1"/>
  <c r="AA467" i="1"/>
  <c r="AB467" i="1" s="1"/>
  <c r="AA468" i="1"/>
  <c r="AB468" i="1" s="1"/>
  <c r="AA469" i="1"/>
  <c r="AB469" i="1" s="1"/>
  <c r="AA470" i="1"/>
  <c r="AB470" i="1" s="1"/>
  <c r="AA471" i="1"/>
  <c r="AB471" i="1" s="1"/>
  <c r="AA472" i="1"/>
  <c r="AB472" i="1" s="1"/>
  <c r="AA473" i="1"/>
  <c r="AB473" i="1" s="1"/>
  <c r="AA474" i="1"/>
  <c r="AB474" i="1" s="1"/>
  <c r="AA475" i="1"/>
  <c r="AB475" i="1" s="1"/>
  <c r="AA476" i="1"/>
  <c r="AB476" i="1" s="1"/>
  <c r="AA477" i="1"/>
  <c r="AB477" i="1" s="1"/>
  <c r="AA478" i="1"/>
  <c r="AB478" i="1" s="1"/>
  <c r="AA479" i="1"/>
  <c r="AB479" i="1" s="1"/>
  <c r="AA480" i="1"/>
  <c r="AB480" i="1" s="1"/>
  <c r="AA481" i="1"/>
  <c r="AB481" i="1" s="1"/>
  <c r="AA482" i="1"/>
  <c r="AB482" i="1" s="1"/>
  <c r="AA483" i="1"/>
  <c r="AB483" i="1" s="1"/>
  <c r="AA484" i="1"/>
  <c r="AB484" i="1" s="1"/>
  <c r="AA485" i="1"/>
  <c r="AB485" i="1" s="1"/>
  <c r="AA486" i="1"/>
  <c r="AB486" i="1" s="1"/>
  <c r="AA487" i="1"/>
  <c r="AB487" i="1" s="1"/>
  <c r="AA488" i="1"/>
  <c r="AB488" i="1" s="1"/>
  <c r="AA489" i="1"/>
  <c r="AB489" i="1" s="1"/>
  <c r="AA490" i="1"/>
  <c r="AB490" i="1" s="1"/>
  <c r="AA491" i="1"/>
  <c r="AB491" i="1" s="1"/>
  <c r="AA492" i="1"/>
  <c r="AB492" i="1" s="1"/>
  <c r="AA493" i="1"/>
  <c r="AB493" i="1" s="1"/>
  <c r="AA494" i="1"/>
  <c r="AB494" i="1" s="1"/>
  <c r="AA495" i="1"/>
  <c r="AB495" i="1" s="1"/>
  <c r="AA496" i="1"/>
  <c r="AB496" i="1" s="1"/>
  <c r="AA497" i="1"/>
  <c r="AB497" i="1" s="1"/>
  <c r="AA498" i="1"/>
  <c r="AB498" i="1" s="1"/>
  <c r="AA499" i="1"/>
  <c r="AB499" i="1" s="1"/>
  <c r="AA500" i="1"/>
  <c r="AB500" i="1" s="1"/>
  <c r="AA501" i="1"/>
  <c r="AB501" i="1" s="1"/>
  <c r="AA502" i="1"/>
  <c r="AB502" i="1" s="1"/>
  <c r="AA503" i="1"/>
  <c r="AB503" i="1" s="1"/>
  <c r="AA504" i="1"/>
  <c r="AB504" i="1" s="1"/>
  <c r="AA505" i="1"/>
  <c r="AB505" i="1" s="1"/>
  <c r="AA506" i="1"/>
  <c r="AB506" i="1" s="1"/>
  <c r="AA507" i="1"/>
  <c r="AB507" i="1" s="1"/>
  <c r="AA508" i="1"/>
  <c r="AB508" i="1" s="1"/>
  <c r="AA509" i="1"/>
  <c r="AB509" i="1" s="1"/>
  <c r="AA510" i="1"/>
  <c r="AB510" i="1" s="1"/>
  <c r="AA511" i="1"/>
  <c r="AB511" i="1" s="1"/>
  <c r="AA512" i="1"/>
  <c r="AB512" i="1" s="1"/>
  <c r="AA513" i="1"/>
  <c r="AB513" i="1" s="1"/>
  <c r="AA514" i="1"/>
  <c r="AB514" i="1" s="1"/>
  <c r="AA515" i="1"/>
  <c r="AB515" i="1" s="1"/>
  <c r="AA516" i="1"/>
  <c r="AB516" i="1" s="1"/>
  <c r="AA517" i="1"/>
  <c r="AB517" i="1" s="1"/>
  <c r="AA518" i="1"/>
  <c r="AB518" i="1" s="1"/>
  <c r="AA519" i="1"/>
  <c r="AB519" i="1" s="1"/>
  <c r="AA520" i="1"/>
  <c r="AB520" i="1" s="1"/>
  <c r="AA521" i="1"/>
  <c r="AB521" i="1" s="1"/>
  <c r="AA522" i="1"/>
  <c r="AB522" i="1" s="1"/>
  <c r="AA523" i="1"/>
  <c r="AB523" i="1" s="1"/>
  <c r="AA524" i="1"/>
  <c r="AB524" i="1" s="1"/>
  <c r="AA525" i="1"/>
  <c r="AB525" i="1" s="1"/>
  <c r="AA526" i="1"/>
  <c r="AB526" i="1" s="1"/>
  <c r="AA527" i="1"/>
  <c r="AB527" i="1" s="1"/>
  <c r="AA528" i="1"/>
  <c r="AB528" i="1" s="1"/>
  <c r="AA529" i="1"/>
  <c r="AB529" i="1" s="1"/>
  <c r="AA530" i="1"/>
  <c r="AB530" i="1" s="1"/>
  <c r="AA531" i="1"/>
  <c r="AB531" i="1" s="1"/>
  <c r="AA532" i="1"/>
  <c r="AB532" i="1" s="1"/>
  <c r="AA533" i="1"/>
  <c r="AB533" i="1" s="1"/>
  <c r="AA534" i="1"/>
  <c r="AB534" i="1" s="1"/>
  <c r="AA535" i="1"/>
  <c r="AB535" i="1" s="1"/>
  <c r="AA536" i="1"/>
  <c r="AB536" i="1" s="1"/>
  <c r="AA537" i="1"/>
  <c r="AB537" i="1" s="1"/>
  <c r="AA538" i="1"/>
  <c r="AB538" i="1" s="1"/>
  <c r="AA539" i="1"/>
  <c r="AB539" i="1" s="1"/>
  <c r="AA540" i="1"/>
  <c r="AB540" i="1" s="1"/>
  <c r="AA541" i="1"/>
  <c r="AB541" i="1" s="1"/>
  <c r="AA542" i="1"/>
  <c r="AB542" i="1" s="1"/>
  <c r="AA543" i="1"/>
  <c r="AB543" i="1" s="1"/>
  <c r="AA544" i="1"/>
  <c r="AB544" i="1" s="1"/>
  <c r="AA545" i="1"/>
  <c r="AB545" i="1" s="1"/>
  <c r="AA546" i="1"/>
  <c r="AB546" i="1" s="1"/>
  <c r="AA547" i="1"/>
  <c r="AB547" i="1" s="1"/>
  <c r="AA548" i="1"/>
  <c r="AB548" i="1" s="1"/>
  <c r="AA549" i="1"/>
  <c r="AB549" i="1" s="1"/>
  <c r="AA550" i="1"/>
  <c r="AB550" i="1" s="1"/>
  <c r="AA551" i="1"/>
  <c r="AB551" i="1" s="1"/>
  <c r="AA552" i="1"/>
  <c r="AB552" i="1" s="1"/>
  <c r="AA553" i="1"/>
  <c r="AB553" i="1" s="1"/>
  <c r="AA554" i="1"/>
  <c r="AB554" i="1" s="1"/>
  <c r="AA555" i="1"/>
  <c r="AB555" i="1" s="1"/>
  <c r="AA556" i="1"/>
  <c r="AB556" i="1" s="1"/>
  <c r="AA557" i="1"/>
  <c r="AB557" i="1" s="1"/>
  <c r="AA558" i="1"/>
  <c r="AB558" i="1" s="1"/>
  <c r="AA559" i="1"/>
  <c r="AB559" i="1" s="1"/>
  <c r="AA560" i="1"/>
  <c r="AB560" i="1" s="1"/>
  <c r="AA561" i="1"/>
  <c r="AB561" i="1" s="1"/>
  <c r="AA562" i="1"/>
  <c r="AB562" i="1" s="1"/>
  <c r="AA563" i="1"/>
  <c r="AB563" i="1" s="1"/>
  <c r="AA564" i="1"/>
  <c r="AB564" i="1" s="1"/>
  <c r="AA565" i="1"/>
  <c r="AB565" i="1" s="1"/>
  <c r="AA566" i="1"/>
  <c r="AB566" i="1" s="1"/>
  <c r="AA567" i="1"/>
  <c r="AB567" i="1" s="1"/>
  <c r="AA568" i="1"/>
  <c r="AB568" i="1" s="1"/>
  <c r="AA569" i="1"/>
  <c r="AB569" i="1" s="1"/>
  <c r="AA570" i="1"/>
  <c r="AB570" i="1" s="1"/>
  <c r="AA571" i="1"/>
  <c r="AB571" i="1" s="1"/>
  <c r="AA572" i="1"/>
  <c r="AB572" i="1" s="1"/>
  <c r="AA573" i="1"/>
  <c r="AB573" i="1" s="1"/>
  <c r="AA574" i="1"/>
  <c r="AB574" i="1" s="1"/>
  <c r="AA575" i="1"/>
  <c r="AB575" i="1" s="1"/>
  <c r="AA576" i="1"/>
  <c r="AB576" i="1" s="1"/>
  <c r="AA577" i="1"/>
  <c r="AB577" i="1" s="1"/>
  <c r="AA578" i="1"/>
  <c r="AB578" i="1" s="1"/>
  <c r="AA579" i="1"/>
  <c r="AB579" i="1" s="1"/>
  <c r="AA580" i="1"/>
  <c r="AB580" i="1" s="1"/>
  <c r="AA581" i="1"/>
  <c r="AB581" i="1" s="1"/>
  <c r="AA582" i="1"/>
  <c r="AB582" i="1" s="1"/>
  <c r="AA583" i="1"/>
  <c r="AB583" i="1" s="1"/>
  <c r="AA584" i="1"/>
  <c r="AB584" i="1" s="1"/>
  <c r="AA585" i="1"/>
  <c r="AB585" i="1" s="1"/>
  <c r="AA586" i="1"/>
  <c r="AB586" i="1" s="1"/>
  <c r="AA587" i="1"/>
  <c r="AB587" i="1" s="1"/>
  <c r="AA588" i="1"/>
  <c r="AB588" i="1" s="1"/>
  <c r="AA589" i="1"/>
  <c r="AB589" i="1" s="1"/>
  <c r="AA590" i="1"/>
  <c r="AB590" i="1" s="1"/>
  <c r="AA591" i="1"/>
  <c r="AB591" i="1" s="1"/>
  <c r="AA592" i="1"/>
  <c r="AB592" i="1" s="1"/>
  <c r="AA593" i="1"/>
  <c r="AB593" i="1" s="1"/>
  <c r="AA594" i="1"/>
  <c r="AB594" i="1" s="1"/>
  <c r="AA595" i="1"/>
  <c r="AB595" i="1" s="1"/>
  <c r="AA596" i="1"/>
  <c r="AB596" i="1" s="1"/>
  <c r="AA597" i="1"/>
  <c r="AB597" i="1" s="1"/>
  <c r="AA598" i="1"/>
  <c r="AB598" i="1" s="1"/>
  <c r="AA599" i="1"/>
  <c r="AB599" i="1" s="1"/>
  <c r="AA600" i="1"/>
  <c r="AB600" i="1" s="1"/>
  <c r="AA601" i="1"/>
  <c r="AB601" i="1" s="1"/>
  <c r="AA602" i="1"/>
  <c r="AB602" i="1" s="1"/>
  <c r="AA603" i="1"/>
  <c r="AB603" i="1" s="1"/>
  <c r="AA604" i="1"/>
  <c r="AB604" i="1" s="1"/>
  <c r="AA605" i="1"/>
  <c r="AB605" i="1" s="1"/>
  <c r="AA606" i="1"/>
  <c r="AB606" i="1" s="1"/>
  <c r="AA607" i="1"/>
  <c r="AB607" i="1" s="1"/>
  <c r="AA608" i="1"/>
  <c r="AB608" i="1" s="1"/>
  <c r="AA609" i="1"/>
  <c r="AB609" i="1" s="1"/>
  <c r="AA610" i="1"/>
  <c r="AB610" i="1" s="1"/>
  <c r="AA611" i="1"/>
  <c r="AB611" i="1" s="1"/>
  <c r="AA612" i="1"/>
  <c r="AB612" i="1" s="1"/>
  <c r="AA613" i="1"/>
  <c r="AB613" i="1" s="1"/>
  <c r="AA614" i="1"/>
  <c r="AB614" i="1" s="1"/>
  <c r="AA615" i="1"/>
  <c r="AB615" i="1" s="1"/>
  <c r="AA616" i="1"/>
  <c r="AB616" i="1" s="1"/>
  <c r="AA617" i="1"/>
  <c r="AB617" i="1" s="1"/>
  <c r="AA618" i="1"/>
  <c r="AB618" i="1" s="1"/>
  <c r="AA619" i="1"/>
  <c r="AB619" i="1" s="1"/>
  <c r="AA620" i="1"/>
  <c r="AB620" i="1" s="1"/>
  <c r="AA621" i="1"/>
  <c r="AB621" i="1" s="1"/>
  <c r="AA622" i="1"/>
  <c r="AB622" i="1" s="1"/>
  <c r="AA623" i="1"/>
  <c r="AB623" i="1" s="1"/>
  <c r="AA624" i="1"/>
  <c r="AB624" i="1" s="1"/>
  <c r="AA625" i="1"/>
  <c r="AB625" i="1" s="1"/>
  <c r="AA626" i="1"/>
  <c r="AB626" i="1" s="1"/>
  <c r="AA627" i="1"/>
  <c r="AB627" i="1" s="1"/>
  <c r="AA628" i="1"/>
  <c r="AB628" i="1" s="1"/>
  <c r="AA629" i="1"/>
  <c r="AB629" i="1" s="1"/>
  <c r="AA630" i="1"/>
  <c r="AB630" i="1" s="1"/>
  <c r="AA631" i="1"/>
  <c r="AB631" i="1" s="1"/>
  <c r="AA632" i="1"/>
  <c r="AB632" i="1" s="1"/>
  <c r="AA633" i="1"/>
  <c r="AB633" i="1" s="1"/>
  <c r="AA634" i="1"/>
  <c r="AB634" i="1" s="1"/>
  <c r="AA635" i="1"/>
  <c r="AB635" i="1" s="1"/>
  <c r="AA636" i="1"/>
  <c r="AB636" i="1" s="1"/>
  <c r="AA637" i="1"/>
  <c r="AB637" i="1" s="1"/>
  <c r="AA638" i="1"/>
  <c r="AB638" i="1" s="1"/>
  <c r="AA639" i="1"/>
  <c r="AB639" i="1" s="1"/>
  <c r="AA640" i="1"/>
  <c r="AB640" i="1" s="1"/>
  <c r="AA641" i="1"/>
  <c r="AB641" i="1" s="1"/>
  <c r="AA642" i="1"/>
  <c r="AB642" i="1" s="1"/>
  <c r="AA643" i="1"/>
  <c r="AB643" i="1" s="1"/>
  <c r="AA644" i="1"/>
  <c r="AB644" i="1" s="1"/>
  <c r="AA645" i="1"/>
  <c r="AB645" i="1" s="1"/>
  <c r="AA646" i="1"/>
  <c r="AB646" i="1" s="1"/>
  <c r="AA647" i="1"/>
  <c r="AB647" i="1" s="1"/>
  <c r="AA648" i="1"/>
  <c r="AB648" i="1" s="1"/>
  <c r="AA649" i="1"/>
  <c r="AB649" i="1" s="1"/>
  <c r="AA650" i="1"/>
  <c r="AB650" i="1" s="1"/>
  <c r="AA651" i="1"/>
  <c r="AB651" i="1" s="1"/>
  <c r="AA652" i="1"/>
  <c r="AB652" i="1" s="1"/>
  <c r="AA653" i="1"/>
  <c r="AB653" i="1" s="1"/>
  <c r="AA654" i="1"/>
  <c r="AB654" i="1" s="1"/>
  <c r="AA655" i="1"/>
  <c r="AB655" i="1" s="1"/>
  <c r="AA656" i="1"/>
  <c r="AB656" i="1" s="1"/>
  <c r="AA657" i="1"/>
  <c r="AB657" i="1" s="1"/>
  <c r="AA658" i="1"/>
  <c r="AB658" i="1" s="1"/>
  <c r="AA659" i="1"/>
  <c r="AB659" i="1" s="1"/>
  <c r="AA660" i="1"/>
  <c r="AB660" i="1" s="1"/>
  <c r="AA661" i="1"/>
  <c r="AB661" i="1" s="1"/>
  <c r="AA662" i="1"/>
  <c r="AB662" i="1" s="1"/>
  <c r="AA663" i="1"/>
  <c r="AB663" i="1" s="1"/>
  <c r="AA664" i="1"/>
  <c r="AB664" i="1" s="1"/>
  <c r="AA665" i="1"/>
  <c r="AB665" i="1" s="1"/>
  <c r="AA666" i="1"/>
  <c r="AB666" i="1" s="1"/>
  <c r="AA667" i="1"/>
  <c r="AB667" i="1" s="1"/>
  <c r="AA668" i="1"/>
  <c r="AB668" i="1" s="1"/>
  <c r="AA669" i="1"/>
  <c r="AB669" i="1" s="1"/>
  <c r="AA670" i="1"/>
  <c r="AB670" i="1" s="1"/>
  <c r="AA671" i="1"/>
  <c r="AB671" i="1" s="1"/>
  <c r="AA672" i="1"/>
  <c r="AB672" i="1" s="1"/>
  <c r="AA673" i="1"/>
  <c r="AB673" i="1" s="1"/>
  <c r="AA674" i="1"/>
  <c r="AB674" i="1" s="1"/>
  <c r="AA675" i="1"/>
  <c r="AB675" i="1" s="1"/>
  <c r="AA676" i="1"/>
  <c r="AB676" i="1" s="1"/>
  <c r="AA677" i="1"/>
  <c r="AB677" i="1" s="1"/>
  <c r="AA678" i="1"/>
  <c r="AB678" i="1" s="1"/>
  <c r="AA679" i="1"/>
  <c r="AB679" i="1" s="1"/>
  <c r="AA680" i="1"/>
  <c r="AB680" i="1" s="1"/>
  <c r="AA681" i="1"/>
  <c r="AB681" i="1" s="1"/>
  <c r="AA682" i="1"/>
  <c r="AB682" i="1" s="1"/>
  <c r="AA683" i="1"/>
  <c r="AB683" i="1" s="1"/>
  <c r="AA684" i="1"/>
  <c r="AB684" i="1" s="1"/>
  <c r="AA685" i="1"/>
  <c r="AB685" i="1" s="1"/>
  <c r="AA686" i="1"/>
  <c r="AB686" i="1" s="1"/>
  <c r="AA687" i="1"/>
  <c r="AB687" i="1" s="1"/>
  <c r="AA688" i="1"/>
  <c r="AB688" i="1" s="1"/>
  <c r="AA689" i="1"/>
  <c r="AB689" i="1" s="1"/>
  <c r="AA690" i="1"/>
  <c r="AB690" i="1" s="1"/>
  <c r="AA691" i="1"/>
  <c r="AB691" i="1" s="1"/>
  <c r="AA692" i="1"/>
  <c r="AB692" i="1" s="1"/>
  <c r="AA693" i="1"/>
  <c r="AB693" i="1" s="1"/>
  <c r="AA694" i="1"/>
  <c r="AB694" i="1" s="1"/>
  <c r="AA695" i="1"/>
  <c r="AB695" i="1" s="1"/>
  <c r="AA696" i="1"/>
  <c r="AB696" i="1" s="1"/>
  <c r="AA697" i="1"/>
  <c r="AB697" i="1" s="1"/>
  <c r="AA698" i="1"/>
  <c r="AB698" i="1" s="1"/>
  <c r="AA699" i="1"/>
  <c r="AB699" i="1" s="1"/>
  <c r="AA700" i="1"/>
  <c r="AB700" i="1" s="1"/>
  <c r="AA701" i="1"/>
  <c r="AB701" i="1" s="1"/>
  <c r="AA702" i="1"/>
  <c r="AB702" i="1" s="1"/>
  <c r="AA703" i="1"/>
  <c r="AB703" i="1" s="1"/>
  <c r="AA704" i="1"/>
  <c r="AB704" i="1" s="1"/>
  <c r="AA705" i="1"/>
  <c r="AB705" i="1" s="1"/>
  <c r="AA706" i="1"/>
  <c r="AB706" i="1" s="1"/>
  <c r="AA707" i="1"/>
  <c r="AB707" i="1" s="1"/>
  <c r="AA708" i="1"/>
  <c r="AB708" i="1" s="1"/>
  <c r="AA709" i="1"/>
  <c r="AB709" i="1" s="1"/>
  <c r="AA710" i="1"/>
  <c r="AB710" i="1" s="1"/>
  <c r="AA711" i="1"/>
  <c r="AB711" i="1" s="1"/>
  <c r="AA712" i="1"/>
  <c r="AB712" i="1" s="1"/>
  <c r="AA713" i="1"/>
  <c r="AB713" i="1" s="1"/>
  <c r="AA714" i="1"/>
  <c r="AB714" i="1" s="1"/>
  <c r="AA715" i="1"/>
  <c r="AB715" i="1" s="1"/>
  <c r="AA716" i="1"/>
  <c r="AB716" i="1" s="1"/>
  <c r="AA717" i="1"/>
  <c r="AB717" i="1" s="1"/>
  <c r="AA718" i="1"/>
  <c r="AB718" i="1" s="1"/>
  <c r="AA719" i="1"/>
  <c r="AB719" i="1" s="1"/>
  <c r="AA720" i="1"/>
  <c r="AB720" i="1" s="1"/>
  <c r="AA721" i="1"/>
  <c r="AB721" i="1" s="1"/>
  <c r="AA722" i="1"/>
  <c r="AB722" i="1" s="1"/>
  <c r="AA723" i="1"/>
  <c r="AB723" i="1" s="1"/>
  <c r="AA724" i="1"/>
  <c r="AB724" i="1" s="1"/>
  <c r="AA725" i="1"/>
  <c r="AB725" i="1" s="1"/>
  <c r="AA726" i="1"/>
  <c r="AB726" i="1" s="1"/>
  <c r="AA727" i="1"/>
  <c r="AB727" i="1" s="1"/>
  <c r="AA728" i="1"/>
  <c r="AB728" i="1" s="1"/>
  <c r="AA729" i="1"/>
  <c r="AB729" i="1" s="1"/>
  <c r="AA730" i="1"/>
  <c r="AB730" i="1" s="1"/>
  <c r="AA731" i="1"/>
  <c r="AB731" i="1" s="1"/>
  <c r="AA732" i="1"/>
  <c r="AB732" i="1" s="1"/>
  <c r="AA733" i="1"/>
  <c r="AB733" i="1" s="1"/>
  <c r="AA734" i="1"/>
  <c r="AB734" i="1" s="1"/>
  <c r="AA735" i="1"/>
  <c r="AB735" i="1" s="1"/>
  <c r="AA736" i="1"/>
  <c r="AB736" i="1" s="1"/>
  <c r="AA737" i="1"/>
  <c r="AB737" i="1" s="1"/>
  <c r="AA738" i="1"/>
  <c r="AB738" i="1" s="1"/>
  <c r="AA739" i="1"/>
  <c r="AB739" i="1" s="1"/>
  <c r="AA740" i="1"/>
  <c r="AB740" i="1" s="1"/>
  <c r="AA741" i="1"/>
  <c r="AB741" i="1" s="1"/>
  <c r="AA742" i="1"/>
  <c r="AB742" i="1" s="1"/>
  <c r="AA743" i="1"/>
  <c r="AB743" i="1" s="1"/>
  <c r="AA744" i="1"/>
  <c r="AB744" i="1" s="1"/>
  <c r="AA745" i="1"/>
  <c r="AB745" i="1" s="1"/>
  <c r="AA746" i="1"/>
  <c r="AB746" i="1" s="1"/>
  <c r="AA747" i="1"/>
  <c r="AB747" i="1" s="1"/>
  <c r="AA748" i="1"/>
  <c r="AB748" i="1" s="1"/>
  <c r="AA749" i="1"/>
  <c r="AB749" i="1" s="1"/>
  <c r="AA750" i="1"/>
  <c r="AB750" i="1" s="1"/>
  <c r="AA751" i="1"/>
  <c r="AB751" i="1" s="1"/>
  <c r="AA752" i="1"/>
  <c r="AB752" i="1" s="1"/>
  <c r="AA753" i="1"/>
  <c r="AB753" i="1" s="1"/>
  <c r="AA754" i="1"/>
  <c r="AB754" i="1" s="1"/>
  <c r="AA755" i="1"/>
  <c r="AB755" i="1" s="1"/>
  <c r="AA756" i="1"/>
  <c r="AB756" i="1" s="1"/>
  <c r="AA757" i="1"/>
  <c r="AB757" i="1" s="1"/>
  <c r="AA758" i="1"/>
  <c r="AB758" i="1" s="1"/>
  <c r="AA759" i="1"/>
  <c r="AB759" i="1" s="1"/>
  <c r="AA760" i="1"/>
  <c r="AB760" i="1" s="1"/>
  <c r="AA761" i="1"/>
  <c r="AB761" i="1" s="1"/>
  <c r="AA762" i="1"/>
  <c r="AB762" i="1" s="1"/>
  <c r="AA763" i="1"/>
  <c r="AB763" i="1" s="1"/>
  <c r="AA764" i="1"/>
  <c r="AB764" i="1" s="1"/>
  <c r="AA765" i="1"/>
  <c r="AB765" i="1" s="1"/>
  <c r="AA766" i="1"/>
  <c r="AB766" i="1" s="1"/>
  <c r="AA767" i="1"/>
  <c r="AB767" i="1" s="1"/>
  <c r="AA768" i="1"/>
  <c r="AB768" i="1" s="1"/>
  <c r="AA769" i="1"/>
  <c r="AB769" i="1" s="1"/>
  <c r="AA770" i="1"/>
  <c r="AB770" i="1" s="1"/>
  <c r="AA771" i="1"/>
  <c r="AB771" i="1" s="1"/>
  <c r="AA772" i="1"/>
  <c r="AB772" i="1" s="1"/>
  <c r="AA773" i="1"/>
  <c r="AB773" i="1" s="1"/>
  <c r="AA774" i="1"/>
  <c r="AB774" i="1" s="1"/>
  <c r="AA775" i="1"/>
  <c r="AB775" i="1" s="1"/>
  <c r="AA776" i="1"/>
  <c r="AB776" i="1" s="1"/>
  <c r="AA777" i="1"/>
  <c r="AB777" i="1" s="1"/>
  <c r="AA778" i="1"/>
  <c r="AB778" i="1" s="1"/>
  <c r="AA779" i="1"/>
  <c r="AB779" i="1" s="1"/>
  <c r="AA780" i="1"/>
  <c r="AB780" i="1" s="1"/>
  <c r="AA781" i="1"/>
  <c r="AB781" i="1" s="1"/>
  <c r="AA782" i="1"/>
  <c r="AB782" i="1" s="1"/>
  <c r="AA783" i="1"/>
  <c r="AB783" i="1" s="1"/>
  <c r="AA784" i="1"/>
  <c r="AB784" i="1" s="1"/>
  <c r="AA785" i="1"/>
  <c r="AB785" i="1" s="1"/>
  <c r="AA786" i="1"/>
  <c r="AB786" i="1" s="1"/>
  <c r="AA787" i="1"/>
  <c r="AB787" i="1" s="1"/>
  <c r="AA788" i="1"/>
  <c r="AB788" i="1" s="1"/>
  <c r="AA789" i="1"/>
  <c r="AB789" i="1" s="1"/>
  <c r="AA790" i="1"/>
  <c r="AB790" i="1" s="1"/>
  <c r="AA791" i="1"/>
  <c r="AB791" i="1" s="1"/>
  <c r="AA792" i="1"/>
  <c r="AB792" i="1" s="1"/>
  <c r="AA793" i="1"/>
  <c r="AB793" i="1" s="1"/>
  <c r="AA794" i="1"/>
  <c r="AB794" i="1" s="1"/>
  <c r="AA795" i="1"/>
  <c r="AB795" i="1" s="1"/>
  <c r="AA796" i="1"/>
  <c r="AB796" i="1" s="1"/>
  <c r="AA797" i="1"/>
  <c r="AB797" i="1" s="1"/>
  <c r="AA798" i="1"/>
  <c r="AB798" i="1" s="1"/>
  <c r="AA799" i="1"/>
  <c r="AB799" i="1" s="1"/>
  <c r="AA800" i="1"/>
  <c r="AB800" i="1" s="1"/>
  <c r="AA801" i="1"/>
  <c r="AB801" i="1" s="1"/>
  <c r="AA802" i="1"/>
  <c r="AB802" i="1" s="1"/>
  <c r="AA803" i="1"/>
  <c r="AB803" i="1" s="1"/>
  <c r="AA804" i="1"/>
  <c r="AB804" i="1" s="1"/>
  <c r="AA805" i="1"/>
  <c r="AB805" i="1" s="1"/>
  <c r="AA806" i="1"/>
  <c r="AB806" i="1" s="1"/>
  <c r="AA807" i="1"/>
  <c r="AB807" i="1" s="1"/>
  <c r="AA808" i="1"/>
  <c r="AB808" i="1" s="1"/>
  <c r="AA809" i="1"/>
  <c r="AB809" i="1" s="1"/>
  <c r="AA810" i="1"/>
  <c r="AB810" i="1" s="1"/>
  <c r="AA811" i="1"/>
  <c r="AB811" i="1" s="1"/>
  <c r="AA812" i="1"/>
  <c r="AB812" i="1" s="1"/>
  <c r="AA813" i="1"/>
  <c r="AB813" i="1" s="1"/>
  <c r="AA814" i="1"/>
  <c r="AB814" i="1" s="1"/>
  <c r="AA815" i="1"/>
  <c r="AB815" i="1" s="1"/>
  <c r="AA816" i="1"/>
  <c r="AB816" i="1" s="1"/>
  <c r="AA817" i="1"/>
  <c r="AB817" i="1" s="1"/>
  <c r="AA818" i="1"/>
  <c r="AB818" i="1" s="1"/>
  <c r="AA819" i="1"/>
  <c r="AB819" i="1" s="1"/>
  <c r="AA820" i="1"/>
  <c r="AB820" i="1" s="1"/>
  <c r="AA821" i="1"/>
  <c r="AB821" i="1" s="1"/>
  <c r="AA822" i="1"/>
  <c r="AB822" i="1" s="1"/>
  <c r="AA823" i="1"/>
  <c r="AB823" i="1" s="1"/>
  <c r="AA824" i="1"/>
  <c r="AB824" i="1" s="1"/>
  <c r="AA825" i="1"/>
  <c r="AB825" i="1" s="1"/>
  <c r="AA826" i="1"/>
  <c r="AB826" i="1" s="1"/>
  <c r="AA827" i="1"/>
  <c r="AB827" i="1" s="1"/>
  <c r="AA828" i="1"/>
  <c r="AB828" i="1" s="1"/>
  <c r="AA829" i="1"/>
  <c r="AB829" i="1" s="1"/>
  <c r="AA830" i="1"/>
  <c r="AB830" i="1" s="1"/>
  <c r="AA831" i="1"/>
  <c r="AB831" i="1" s="1"/>
  <c r="AA832" i="1"/>
  <c r="AB832" i="1" s="1"/>
  <c r="AA833" i="1"/>
  <c r="AB833" i="1" s="1"/>
  <c r="AA834" i="1"/>
  <c r="AB834" i="1" s="1"/>
  <c r="AA835" i="1"/>
  <c r="AB835" i="1" s="1"/>
  <c r="AA836" i="1"/>
  <c r="AB836" i="1" s="1"/>
  <c r="AA837" i="1"/>
  <c r="AB837" i="1" s="1"/>
  <c r="AA838" i="1"/>
  <c r="AB838" i="1" s="1"/>
  <c r="AA839" i="1"/>
  <c r="AB839" i="1" s="1"/>
  <c r="AA840" i="1"/>
  <c r="AB840" i="1" s="1"/>
  <c r="AA841" i="1"/>
  <c r="AB841" i="1" s="1"/>
  <c r="AA842" i="1"/>
  <c r="AB842" i="1" s="1"/>
  <c r="AA843" i="1"/>
  <c r="AB843" i="1" s="1"/>
  <c r="AA844" i="1"/>
  <c r="AB844" i="1" s="1"/>
  <c r="AA845" i="1"/>
  <c r="AB845" i="1" s="1"/>
  <c r="AA846" i="1"/>
  <c r="AB846" i="1" s="1"/>
  <c r="AA847" i="1"/>
  <c r="AB847" i="1" s="1"/>
  <c r="AA848" i="1"/>
  <c r="AB848" i="1" s="1"/>
  <c r="AA849" i="1"/>
  <c r="AB849" i="1" s="1"/>
  <c r="AA850" i="1"/>
  <c r="AB850" i="1" s="1"/>
  <c r="AA851" i="1"/>
  <c r="AB851" i="1" s="1"/>
  <c r="AA852" i="1"/>
  <c r="AB852" i="1" s="1"/>
  <c r="AA853" i="1"/>
  <c r="AB853" i="1" s="1"/>
  <c r="AA854" i="1"/>
  <c r="AB854" i="1" s="1"/>
  <c r="AA855" i="1"/>
  <c r="AB855" i="1" s="1"/>
  <c r="AA856" i="1"/>
  <c r="AB856" i="1" s="1"/>
  <c r="AA857" i="1"/>
  <c r="AB857" i="1" s="1"/>
  <c r="AA858" i="1"/>
  <c r="AB858" i="1" s="1"/>
  <c r="AA859" i="1"/>
  <c r="AB859" i="1" s="1"/>
  <c r="AA860" i="1"/>
  <c r="AB860" i="1" s="1"/>
  <c r="AA861" i="1"/>
  <c r="AB861" i="1" s="1"/>
  <c r="AA862" i="1"/>
  <c r="AB862" i="1" s="1"/>
  <c r="AA863" i="1"/>
  <c r="AB863" i="1" s="1"/>
  <c r="AA864" i="1"/>
  <c r="AB864" i="1" s="1"/>
  <c r="AA865" i="1"/>
  <c r="AB865" i="1" s="1"/>
  <c r="AA866" i="1"/>
  <c r="AB866" i="1" s="1"/>
  <c r="AA867" i="1"/>
  <c r="AB867" i="1" s="1"/>
  <c r="AA868" i="1"/>
  <c r="AB868" i="1" s="1"/>
  <c r="AA869" i="1"/>
  <c r="AB869" i="1" s="1"/>
  <c r="AA870" i="1"/>
  <c r="AB870" i="1" s="1"/>
  <c r="AA871" i="1"/>
  <c r="AB871" i="1" s="1"/>
  <c r="AA872" i="1"/>
  <c r="AB872" i="1" s="1"/>
  <c r="AA873" i="1"/>
  <c r="AB873" i="1" s="1"/>
  <c r="AA874" i="1"/>
  <c r="AB874" i="1" s="1"/>
  <c r="AA875" i="1"/>
  <c r="AB875" i="1" s="1"/>
  <c r="AA876" i="1"/>
  <c r="AB876" i="1" s="1"/>
  <c r="AA877" i="1"/>
  <c r="AB877" i="1" s="1"/>
  <c r="AA878" i="1"/>
  <c r="AB878" i="1" s="1"/>
  <c r="AA879" i="1"/>
  <c r="AB879" i="1" s="1"/>
  <c r="AA880" i="1"/>
  <c r="AB880" i="1" s="1"/>
  <c r="AA881" i="1"/>
  <c r="AB881" i="1" s="1"/>
  <c r="AA882" i="1"/>
  <c r="AB882" i="1" s="1"/>
  <c r="AA883" i="1"/>
  <c r="AB883" i="1" s="1"/>
  <c r="AA884" i="1"/>
  <c r="AB884" i="1" s="1"/>
  <c r="AA885" i="1"/>
  <c r="AB885" i="1" s="1"/>
  <c r="AA886" i="1"/>
  <c r="AB886" i="1" s="1"/>
  <c r="AA887" i="1"/>
  <c r="AB887" i="1" s="1"/>
  <c r="AA888" i="1"/>
  <c r="AB888" i="1" s="1"/>
  <c r="AA889" i="1"/>
  <c r="AB889" i="1" s="1"/>
  <c r="AA890" i="1"/>
  <c r="AB890" i="1" s="1"/>
  <c r="AA891" i="1"/>
  <c r="AB891" i="1" s="1"/>
  <c r="AA892" i="1"/>
  <c r="AB892" i="1" s="1"/>
  <c r="AA893" i="1"/>
  <c r="AB893" i="1" s="1"/>
  <c r="AA894" i="1"/>
  <c r="AB894" i="1" s="1"/>
  <c r="AA895" i="1"/>
  <c r="AB895" i="1" s="1"/>
  <c r="AA896" i="1"/>
  <c r="AB896" i="1" s="1"/>
  <c r="AA897" i="1"/>
  <c r="AB897" i="1" s="1"/>
  <c r="AA898" i="1"/>
  <c r="AB898" i="1" s="1"/>
  <c r="AA899" i="1"/>
  <c r="AB899" i="1" s="1"/>
  <c r="AA900" i="1"/>
  <c r="AB900" i="1" s="1"/>
  <c r="AA901" i="1"/>
  <c r="AB901" i="1" s="1"/>
  <c r="AA902" i="1"/>
  <c r="AB902" i="1" s="1"/>
  <c r="AA903" i="1"/>
  <c r="AB903" i="1" s="1"/>
  <c r="AA904" i="1"/>
  <c r="AB904" i="1" s="1"/>
  <c r="AA905" i="1"/>
  <c r="AB905" i="1" s="1"/>
  <c r="AA906" i="1"/>
  <c r="AB906" i="1" s="1"/>
  <c r="AA907" i="1"/>
  <c r="AB907" i="1" s="1"/>
  <c r="AA908" i="1"/>
  <c r="AB908" i="1" s="1"/>
  <c r="AA909" i="1"/>
  <c r="AB909" i="1" s="1"/>
  <c r="AA910" i="1"/>
  <c r="AB910" i="1" s="1"/>
  <c r="AA911" i="1"/>
  <c r="AB911" i="1" s="1"/>
  <c r="AA912" i="1"/>
  <c r="AB912" i="1" s="1"/>
  <c r="AA913" i="1"/>
  <c r="AB913" i="1" s="1"/>
  <c r="AA914" i="1"/>
  <c r="AB914" i="1" s="1"/>
  <c r="AA915" i="1"/>
  <c r="AB915" i="1" s="1"/>
  <c r="AA916" i="1"/>
  <c r="AB916" i="1" s="1"/>
  <c r="AA917" i="1"/>
  <c r="AB917" i="1" s="1"/>
  <c r="AA918" i="1"/>
  <c r="AB918" i="1" s="1"/>
  <c r="AA919" i="1"/>
  <c r="AB919" i="1" s="1"/>
  <c r="AA920" i="1"/>
  <c r="AB920" i="1" s="1"/>
  <c r="AA921" i="1"/>
  <c r="AB921" i="1" s="1"/>
  <c r="AA922" i="1"/>
  <c r="AB922" i="1" s="1"/>
  <c r="AA923" i="1"/>
  <c r="AB923" i="1" s="1"/>
  <c r="AA924" i="1"/>
  <c r="AB924" i="1" s="1"/>
  <c r="AA925" i="1"/>
  <c r="AB925" i="1" s="1"/>
  <c r="AA926" i="1"/>
  <c r="AB926" i="1" s="1"/>
  <c r="AA927" i="1"/>
  <c r="AB927" i="1" s="1"/>
  <c r="AA928" i="1"/>
  <c r="AB928" i="1" s="1"/>
  <c r="AA929" i="1"/>
  <c r="AB929" i="1" s="1"/>
  <c r="AA930" i="1"/>
  <c r="AB930" i="1" s="1"/>
  <c r="AA931" i="1"/>
  <c r="AB931" i="1" s="1"/>
  <c r="AA932" i="1"/>
  <c r="AB932" i="1" s="1"/>
  <c r="AA933" i="1"/>
  <c r="AB933" i="1" s="1"/>
  <c r="AA934" i="1"/>
  <c r="AB934" i="1" s="1"/>
  <c r="AA935" i="1"/>
  <c r="AB935" i="1" s="1"/>
  <c r="AA936" i="1"/>
  <c r="AB936" i="1" s="1"/>
  <c r="AA937" i="1"/>
  <c r="AB937" i="1" s="1"/>
  <c r="AA938" i="1"/>
  <c r="AB938" i="1" s="1"/>
  <c r="AA939" i="1"/>
  <c r="AB939" i="1" s="1"/>
  <c r="AA940" i="1"/>
  <c r="AB940" i="1" s="1"/>
  <c r="AA941" i="1"/>
  <c r="AB941" i="1" s="1"/>
  <c r="AA942" i="1"/>
  <c r="AB942" i="1" s="1"/>
  <c r="AA943" i="1"/>
  <c r="AB943" i="1" s="1"/>
  <c r="AA944" i="1"/>
  <c r="AB944" i="1" s="1"/>
  <c r="AA945" i="1"/>
  <c r="AB945" i="1" s="1"/>
  <c r="AA946" i="1"/>
  <c r="AB946" i="1" s="1"/>
  <c r="AA947" i="1"/>
  <c r="AB947" i="1" s="1"/>
  <c r="AA948" i="1"/>
  <c r="AB948" i="1" s="1"/>
  <c r="AA949" i="1"/>
  <c r="AB949" i="1" s="1"/>
  <c r="AA950" i="1"/>
  <c r="AB950" i="1" s="1"/>
  <c r="AA951" i="1"/>
  <c r="AB951" i="1" s="1"/>
  <c r="AA952" i="1"/>
  <c r="AB952" i="1" s="1"/>
  <c r="AA953" i="1"/>
  <c r="AB953" i="1" s="1"/>
  <c r="AA954" i="1"/>
  <c r="AB954" i="1" s="1"/>
  <c r="AA955" i="1"/>
  <c r="AB955" i="1" s="1"/>
  <c r="AA956" i="1"/>
  <c r="AB956" i="1" s="1"/>
  <c r="AA957" i="1"/>
  <c r="AB957" i="1" s="1"/>
  <c r="AA958" i="1"/>
  <c r="AB958" i="1" s="1"/>
  <c r="AA959" i="1"/>
  <c r="AB959" i="1" s="1"/>
  <c r="AA960" i="1"/>
  <c r="AB960" i="1" s="1"/>
  <c r="AA961" i="1"/>
  <c r="AB961" i="1" s="1"/>
  <c r="AA962" i="1"/>
  <c r="AB962" i="1" s="1"/>
  <c r="AA963" i="1"/>
  <c r="AB963" i="1" s="1"/>
  <c r="AA964" i="1"/>
  <c r="AB964" i="1" s="1"/>
  <c r="AA965" i="1"/>
  <c r="AB965" i="1" s="1"/>
  <c r="AA966" i="1"/>
  <c r="AB966" i="1" s="1"/>
  <c r="AA967" i="1"/>
  <c r="AB967" i="1" s="1"/>
  <c r="AA968" i="1"/>
  <c r="AB968" i="1" s="1"/>
  <c r="AA969" i="1"/>
  <c r="AB969" i="1" s="1"/>
  <c r="AA970" i="1"/>
  <c r="AB970" i="1" s="1"/>
  <c r="AA971" i="1"/>
  <c r="AB971" i="1" s="1"/>
  <c r="AA972" i="1"/>
  <c r="AB972" i="1" s="1"/>
  <c r="AA973" i="1"/>
  <c r="AB973" i="1" s="1"/>
  <c r="AA974" i="1"/>
  <c r="AB974" i="1" s="1"/>
  <c r="AA975" i="1"/>
  <c r="AB975" i="1" s="1"/>
  <c r="AA976" i="1"/>
  <c r="AB976" i="1" s="1"/>
  <c r="AA977" i="1"/>
  <c r="AB977" i="1" s="1"/>
  <c r="AA978" i="1"/>
  <c r="AB978" i="1" s="1"/>
  <c r="AA979" i="1"/>
  <c r="AB979" i="1" s="1"/>
  <c r="AA980" i="1"/>
  <c r="AB980" i="1" s="1"/>
  <c r="AA981" i="1"/>
  <c r="AB981" i="1" s="1"/>
  <c r="AA982" i="1"/>
  <c r="AB982" i="1" s="1"/>
  <c r="AA983" i="1"/>
  <c r="AB983" i="1" s="1"/>
  <c r="AA984" i="1"/>
  <c r="AB984" i="1" s="1"/>
  <c r="AA985" i="1"/>
  <c r="AB985" i="1" s="1"/>
  <c r="AA986" i="1"/>
  <c r="AB986" i="1" s="1"/>
  <c r="AA987" i="1"/>
  <c r="AB987" i="1" s="1"/>
  <c r="AA988" i="1"/>
  <c r="AB988" i="1" s="1"/>
  <c r="AA989" i="1"/>
  <c r="AB989" i="1" s="1"/>
  <c r="AA990" i="1"/>
  <c r="AB990" i="1" s="1"/>
  <c r="AA991" i="1"/>
  <c r="AB991" i="1" s="1"/>
  <c r="AA992" i="1"/>
  <c r="AB992" i="1" s="1"/>
  <c r="AA993" i="1"/>
  <c r="AB993" i="1" s="1"/>
  <c r="AA994" i="1"/>
  <c r="AB994" i="1" s="1"/>
  <c r="AA995" i="1"/>
  <c r="AB995" i="1" s="1"/>
  <c r="AA996" i="1"/>
  <c r="AB996" i="1" s="1"/>
  <c r="AA997" i="1"/>
  <c r="AB997" i="1" s="1"/>
  <c r="AA998" i="1"/>
  <c r="AB998" i="1" s="1"/>
  <c r="AA999" i="1"/>
  <c r="AB999" i="1" s="1"/>
  <c r="AA1000" i="1"/>
  <c r="AB1000" i="1" s="1"/>
  <c r="AA1001" i="1"/>
  <c r="AB1001" i="1" s="1"/>
  <c r="AA1002" i="1"/>
  <c r="AB1002" i="1" s="1"/>
  <c r="AA1003" i="1"/>
  <c r="AB1003" i="1" s="1"/>
  <c r="AA1004" i="1"/>
  <c r="AB1004" i="1" s="1"/>
  <c r="AA1005" i="1"/>
  <c r="AB1005" i="1" s="1"/>
  <c r="AA1006" i="1"/>
  <c r="AB1006" i="1" s="1"/>
  <c r="AA1007" i="1"/>
  <c r="AB1007" i="1" s="1"/>
  <c r="AA1008" i="1"/>
  <c r="AB1008" i="1" s="1"/>
  <c r="AA1009" i="1"/>
  <c r="AB1009" i="1" s="1"/>
  <c r="AA1010" i="1"/>
  <c r="AB1010" i="1" s="1"/>
  <c r="AA1011" i="1"/>
  <c r="AB1011" i="1" s="1"/>
  <c r="AA1012" i="1"/>
  <c r="AB1012" i="1" s="1"/>
  <c r="AA1013" i="1"/>
  <c r="AB1013" i="1" s="1"/>
  <c r="AA1014" i="1"/>
  <c r="AB1014" i="1" s="1"/>
  <c r="AA1015" i="1"/>
  <c r="AB1015" i="1" s="1"/>
  <c r="AA1016" i="1"/>
  <c r="AB1016" i="1" s="1"/>
  <c r="AA1017" i="1"/>
  <c r="AB1017" i="1" s="1"/>
  <c r="AA1018" i="1"/>
  <c r="AB1018" i="1" s="1"/>
  <c r="AA1019" i="1"/>
  <c r="AB1019" i="1" s="1"/>
  <c r="AA1020" i="1"/>
  <c r="AB1020" i="1" s="1"/>
  <c r="AA1021" i="1"/>
  <c r="AB1021" i="1" s="1"/>
  <c r="AA1022" i="1"/>
  <c r="AB1022" i="1" s="1"/>
  <c r="AA1023" i="1"/>
  <c r="AB1023" i="1" s="1"/>
  <c r="AA1024" i="1"/>
  <c r="AB1024" i="1" s="1"/>
  <c r="AA1025" i="1"/>
  <c r="AB1025" i="1" s="1"/>
  <c r="AA1026" i="1"/>
  <c r="AB1026" i="1" s="1"/>
  <c r="AA1027" i="1"/>
  <c r="AB1027" i="1" s="1"/>
  <c r="AA1028" i="1"/>
  <c r="AB1028" i="1" s="1"/>
  <c r="AA1029" i="1"/>
  <c r="AB1029" i="1" s="1"/>
  <c r="AA1030" i="1"/>
  <c r="AB1030" i="1" s="1"/>
  <c r="AA1031" i="1"/>
  <c r="AB1031" i="1" s="1"/>
  <c r="AA1032" i="1"/>
  <c r="AB1032" i="1" s="1"/>
  <c r="AA1033" i="1"/>
  <c r="AB1033" i="1" s="1"/>
  <c r="AA1034" i="1"/>
  <c r="AB1034" i="1" s="1"/>
  <c r="AA1035" i="1"/>
  <c r="AB1035" i="1" s="1"/>
  <c r="AA1036" i="1"/>
  <c r="AB1036" i="1" s="1"/>
  <c r="AA1037" i="1"/>
  <c r="AB1037" i="1" s="1"/>
  <c r="AA1038" i="1"/>
  <c r="AB1038" i="1" s="1"/>
  <c r="AA1039" i="1"/>
  <c r="AB1039" i="1" s="1"/>
  <c r="AA1040" i="1"/>
  <c r="AB1040" i="1" s="1"/>
  <c r="AA1041" i="1"/>
  <c r="AB1041" i="1" s="1"/>
  <c r="AA1042" i="1"/>
  <c r="AB1042" i="1" s="1"/>
  <c r="AA1043" i="1"/>
  <c r="AB1043" i="1" s="1"/>
  <c r="AA1044" i="1"/>
  <c r="AB1044" i="1" s="1"/>
  <c r="AA1045" i="1"/>
  <c r="AB1045" i="1" s="1"/>
  <c r="AA1046" i="1"/>
  <c r="AB1046" i="1" s="1"/>
  <c r="AA1047" i="1"/>
  <c r="AB1047" i="1" s="1"/>
  <c r="AA1048" i="1"/>
  <c r="AB1048" i="1" s="1"/>
  <c r="AA1049" i="1"/>
  <c r="AB1049" i="1" s="1"/>
  <c r="AA1050" i="1"/>
  <c r="AB1050" i="1" s="1"/>
  <c r="AA1051" i="1"/>
  <c r="AB1051" i="1" s="1"/>
  <c r="AA1052" i="1"/>
  <c r="AB1052" i="1" s="1"/>
  <c r="AA1053" i="1"/>
  <c r="AB1053" i="1" s="1"/>
  <c r="AA1054" i="1"/>
  <c r="AB1054" i="1" s="1"/>
  <c r="AA1055" i="1"/>
  <c r="AB1055" i="1" s="1"/>
  <c r="AA1056" i="1"/>
  <c r="AB1056" i="1" s="1"/>
  <c r="AA1057" i="1"/>
  <c r="AB1057" i="1" s="1"/>
  <c r="AA1058" i="1"/>
  <c r="AB1058" i="1" s="1"/>
  <c r="AA1059" i="1"/>
  <c r="AB1059" i="1" s="1"/>
  <c r="AA1060" i="1"/>
  <c r="AB1060" i="1" s="1"/>
  <c r="AA1061" i="1"/>
  <c r="AB1061" i="1" s="1"/>
  <c r="AA1062" i="1"/>
  <c r="AB1062" i="1" s="1"/>
  <c r="AA1063" i="1"/>
  <c r="AB1063" i="1" s="1"/>
  <c r="AA1064" i="1"/>
  <c r="AB1064" i="1" s="1"/>
  <c r="AA1065" i="1"/>
  <c r="AB1065" i="1" s="1"/>
  <c r="AA1066" i="1"/>
  <c r="AB1066" i="1" s="1"/>
  <c r="AA1067" i="1"/>
  <c r="AB1067" i="1" s="1"/>
  <c r="AA1068" i="1"/>
  <c r="AB1068" i="1" s="1"/>
  <c r="AA1069" i="1"/>
  <c r="AB1069" i="1" s="1"/>
  <c r="AA1070" i="1"/>
  <c r="AB1070" i="1" s="1"/>
  <c r="AA1071" i="1"/>
  <c r="AB1071" i="1" s="1"/>
  <c r="AA1072" i="1"/>
  <c r="AB1072" i="1" s="1"/>
  <c r="AA1073" i="1"/>
  <c r="AB1073" i="1" s="1"/>
  <c r="AA1074" i="1"/>
  <c r="AB1074" i="1" s="1"/>
  <c r="AA1075" i="1"/>
  <c r="AB1075" i="1" s="1"/>
  <c r="AA1076" i="1"/>
  <c r="AB1076" i="1" s="1"/>
  <c r="AA1077" i="1"/>
  <c r="AB1077" i="1" s="1"/>
  <c r="AA1078" i="1"/>
  <c r="AB1078" i="1" s="1"/>
  <c r="AA1079" i="1"/>
  <c r="AB1079" i="1" s="1"/>
  <c r="AA1080" i="1"/>
  <c r="AB1080" i="1" s="1"/>
  <c r="AA1081" i="1"/>
  <c r="AB1081" i="1" s="1"/>
  <c r="AA1082" i="1"/>
  <c r="AB1082" i="1" s="1"/>
  <c r="AA1083" i="1"/>
  <c r="AB1083" i="1" s="1"/>
  <c r="AA1084" i="1"/>
  <c r="AB1084" i="1" s="1"/>
  <c r="AA1085" i="1"/>
  <c r="AB1085" i="1" s="1"/>
  <c r="AA1086" i="1"/>
  <c r="AB1086" i="1" s="1"/>
  <c r="AA1087" i="1"/>
  <c r="AB1087" i="1" s="1"/>
  <c r="AA1088" i="1"/>
  <c r="AB1088" i="1" s="1"/>
  <c r="AA1089" i="1"/>
  <c r="AB1089" i="1" s="1"/>
  <c r="AA1090" i="1"/>
  <c r="AB1090" i="1" s="1"/>
  <c r="AA1091" i="1"/>
  <c r="AB1091" i="1" s="1"/>
  <c r="AA1092" i="1"/>
  <c r="AB1092" i="1" s="1"/>
  <c r="AA1093" i="1"/>
  <c r="AB1093" i="1" s="1"/>
  <c r="AA1094" i="1"/>
  <c r="AB1094" i="1" s="1"/>
  <c r="AA1095" i="1"/>
  <c r="AB1095" i="1" s="1"/>
  <c r="AA1096" i="1"/>
  <c r="AB1096" i="1" s="1"/>
  <c r="AA1097" i="1"/>
  <c r="AB1097" i="1" s="1"/>
  <c r="AA1098" i="1"/>
  <c r="AB1098" i="1" s="1"/>
  <c r="AA1099" i="1"/>
  <c r="AB1099" i="1" s="1"/>
  <c r="AA1100" i="1"/>
  <c r="AB1100" i="1" s="1"/>
  <c r="AA1101" i="1"/>
  <c r="AB1101" i="1" s="1"/>
  <c r="AA1102" i="1"/>
  <c r="AB1102" i="1" s="1"/>
  <c r="AA1103" i="1"/>
  <c r="AB1103" i="1" s="1"/>
  <c r="AA1104" i="1"/>
  <c r="AB1104" i="1" s="1"/>
  <c r="AA1105" i="1"/>
  <c r="AB1105" i="1" s="1"/>
  <c r="AA1106" i="1"/>
  <c r="AB1106" i="1" s="1"/>
  <c r="AA1107" i="1"/>
  <c r="AB1107" i="1" s="1"/>
  <c r="AA1108" i="1"/>
  <c r="AB1108" i="1" s="1"/>
  <c r="AA1109" i="1"/>
  <c r="AB1109" i="1" s="1"/>
  <c r="AA1110" i="1"/>
  <c r="AB1110" i="1" s="1"/>
  <c r="AA1111" i="1"/>
  <c r="AB1111" i="1" s="1"/>
  <c r="AA1112" i="1"/>
  <c r="AB1112" i="1" s="1"/>
  <c r="AA1113" i="1"/>
  <c r="AB1113" i="1" s="1"/>
  <c r="AA1114" i="1"/>
  <c r="AB1114" i="1" s="1"/>
  <c r="AA1115" i="1"/>
  <c r="AB1115" i="1" s="1"/>
  <c r="AA1116" i="1"/>
  <c r="AB1116" i="1" s="1"/>
  <c r="AA1117" i="1"/>
  <c r="AB1117" i="1" s="1"/>
  <c r="AA1118" i="1"/>
  <c r="AB1118" i="1" s="1"/>
  <c r="AA1119" i="1"/>
  <c r="AB1119" i="1" s="1"/>
  <c r="AA1120" i="1"/>
  <c r="AB1120" i="1" s="1"/>
  <c r="AA1121" i="1"/>
  <c r="AB1121" i="1" s="1"/>
  <c r="AA1122" i="1"/>
  <c r="AB1122" i="1" s="1"/>
  <c r="AA1123" i="1"/>
  <c r="AB1123" i="1" s="1"/>
  <c r="AA1124" i="1"/>
  <c r="AB1124" i="1" s="1"/>
  <c r="AA1125" i="1"/>
  <c r="AB1125" i="1" s="1"/>
  <c r="AA1126" i="1"/>
  <c r="AB1126" i="1" s="1"/>
  <c r="AA1127" i="1"/>
  <c r="AB1127" i="1" s="1"/>
  <c r="AA1128" i="1"/>
  <c r="AB1128" i="1" s="1"/>
  <c r="AA1129" i="1"/>
  <c r="AB1129" i="1" s="1"/>
  <c r="AA1130" i="1"/>
  <c r="AB1130" i="1" s="1"/>
  <c r="AA1131" i="1"/>
  <c r="AB1131" i="1" s="1"/>
  <c r="AA1132" i="1"/>
  <c r="AB1132" i="1" s="1"/>
  <c r="AA1133" i="1"/>
  <c r="AB1133" i="1" s="1"/>
  <c r="AA1134" i="1"/>
  <c r="AB1134" i="1" s="1"/>
  <c r="AA1135" i="1"/>
  <c r="AB1135" i="1" s="1"/>
  <c r="AA1136" i="1"/>
  <c r="AB1136" i="1" s="1"/>
  <c r="AA1137" i="1"/>
  <c r="AB1137" i="1" s="1"/>
  <c r="AA1138" i="1"/>
  <c r="AB1138" i="1" s="1"/>
  <c r="AA1139" i="1"/>
  <c r="AB1139" i="1" s="1"/>
  <c r="AA1140" i="1"/>
  <c r="AB1140" i="1" s="1"/>
  <c r="AA1141" i="1"/>
  <c r="AB1141" i="1" s="1"/>
  <c r="AA1142" i="1"/>
  <c r="AB1142" i="1" s="1"/>
  <c r="AA1143" i="1"/>
  <c r="AB1143" i="1" s="1"/>
  <c r="AA1144" i="1"/>
  <c r="AB1144" i="1" s="1"/>
  <c r="AA1145" i="1"/>
  <c r="AB1145" i="1" s="1"/>
  <c r="AA1146" i="1"/>
  <c r="AB1146" i="1" s="1"/>
  <c r="AA1147" i="1"/>
  <c r="AB1147" i="1" s="1"/>
  <c r="AA1148" i="1"/>
  <c r="AB1148" i="1" s="1"/>
  <c r="AA1149" i="1"/>
  <c r="AB1149" i="1" s="1"/>
  <c r="AA1150" i="1"/>
  <c r="AB1150" i="1" s="1"/>
  <c r="AA1151" i="1"/>
  <c r="AB1151" i="1" s="1"/>
  <c r="AA1152" i="1"/>
  <c r="AB1152" i="1" s="1"/>
  <c r="AA1153" i="1"/>
  <c r="AB1153" i="1" s="1"/>
  <c r="AA1154" i="1"/>
  <c r="AB1154" i="1" s="1"/>
  <c r="AA1155" i="1"/>
  <c r="AB1155" i="1" s="1"/>
  <c r="AA1156" i="1"/>
  <c r="AB1156" i="1" s="1"/>
  <c r="AA1157" i="1"/>
  <c r="AB1157" i="1" s="1"/>
  <c r="AA1158" i="1"/>
  <c r="AB1158" i="1" s="1"/>
  <c r="AA1159" i="1"/>
  <c r="AB1159" i="1" s="1"/>
  <c r="AA1160" i="1"/>
  <c r="AB1160" i="1" s="1"/>
  <c r="AA1161" i="1"/>
  <c r="AB1161" i="1" s="1"/>
  <c r="AA1162" i="1"/>
  <c r="AB1162" i="1" s="1"/>
  <c r="AA1163" i="1"/>
  <c r="AB1163" i="1" s="1"/>
  <c r="AA1164" i="1"/>
  <c r="AB1164" i="1" s="1"/>
  <c r="AA1165" i="1"/>
  <c r="AB1165" i="1" s="1"/>
  <c r="AA1166" i="1"/>
  <c r="AB1166" i="1" s="1"/>
  <c r="AA1167" i="1"/>
  <c r="AB1167" i="1" s="1"/>
  <c r="AA1168" i="1"/>
  <c r="AB1168" i="1" s="1"/>
  <c r="AA1169" i="1"/>
  <c r="AB1169" i="1" s="1"/>
  <c r="AA1170" i="1"/>
  <c r="AB1170" i="1" s="1"/>
  <c r="AA1171" i="1"/>
  <c r="AB1171" i="1" s="1"/>
  <c r="AA1172" i="1"/>
  <c r="AB1172" i="1" s="1"/>
  <c r="AA1173" i="1"/>
  <c r="AB1173" i="1" s="1"/>
  <c r="AA1174" i="1"/>
  <c r="AB1174" i="1" s="1"/>
  <c r="AA1175" i="1"/>
  <c r="AB1175" i="1" s="1"/>
  <c r="AA1176" i="1"/>
  <c r="AB1176" i="1" s="1"/>
  <c r="AA1177" i="1"/>
  <c r="AB1177" i="1" s="1"/>
  <c r="AA1178" i="1"/>
  <c r="AB1178" i="1" s="1"/>
  <c r="AA1179" i="1"/>
  <c r="AB1179" i="1" s="1"/>
  <c r="AA1180" i="1"/>
  <c r="AB1180" i="1" s="1"/>
  <c r="AA1181" i="1"/>
  <c r="AB1181" i="1" s="1"/>
  <c r="AA1182" i="1"/>
  <c r="AB1182" i="1" s="1"/>
  <c r="AA1183" i="1"/>
  <c r="AB1183" i="1" s="1"/>
  <c r="AA1184" i="1"/>
  <c r="AB1184" i="1" s="1"/>
  <c r="AA1185" i="1"/>
  <c r="AB1185" i="1" s="1"/>
  <c r="AA1186" i="1"/>
  <c r="AB1186" i="1" s="1"/>
  <c r="AA1187" i="1"/>
  <c r="AB1187" i="1" s="1"/>
  <c r="AA1188" i="1"/>
  <c r="AB1188" i="1" s="1"/>
  <c r="AA1189" i="1"/>
  <c r="AB1189" i="1" s="1"/>
  <c r="AA1190" i="1"/>
  <c r="AB1190" i="1" s="1"/>
  <c r="AA1191" i="1"/>
  <c r="AB1191" i="1" s="1"/>
  <c r="AA1192" i="1"/>
  <c r="AB1192" i="1" s="1"/>
  <c r="AA1193" i="1"/>
  <c r="AB1193" i="1" s="1"/>
  <c r="AA1194" i="1"/>
  <c r="AB1194" i="1" s="1"/>
  <c r="AA1195" i="1"/>
  <c r="AB1195" i="1" s="1"/>
  <c r="AA1196" i="1"/>
  <c r="AB1196" i="1" s="1"/>
  <c r="AA1197" i="1"/>
  <c r="AB1197" i="1" s="1"/>
  <c r="AA1198" i="1"/>
  <c r="AB1198" i="1" s="1"/>
  <c r="AA1199" i="1"/>
  <c r="AB1199" i="1" s="1"/>
  <c r="AA1200" i="1"/>
  <c r="AB1200" i="1" s="1"/>
  <c r="AA1201" i="1"/>
  <c r="AB1201" i="1" s="1"/>
  <c r="AA1202" i="1"/>
  <c r="AB1202" i="1" s="1"/>
  <c r="AA1203" i="1"/>
  <c r="AB1203" i="1" s="1"/>
  <c r="AA1204" i="1"/>
  <c r="AB1204" i="1" s="1"/>
  <c r="AA1205" i="1"/>
  <c r="AB1205" i="1" s="1"/>
  <c r="AA1206" i="1"/>
  <c r="AB1206" i="1" s="1"/>
  <c r="AA1207" i="1"/>
  <c r="AB1207" i="1" s="1"/>
  <c r="AA1208" i="1"/>
  <c r="AB1208" i="1" s="1"/>
  <c r="AA1209" i="1"/>
  <c r="AB1209" i="1" s="1"/>
  <c r="AA1210" i="1"/>
  <c r="AB1210" i="1" s="1"/>
  <c r="AA1211" i="1"/>
  <c r="AB1211" i="1" s="1"/>
  <c r="AA1212" i="1"/>
  <c r="AB1212" i="1" s="1"/>
  <c r="AA1213" i="1"/>
  <c r="AB1213" i="1" s="1"/>
  <c r="AA1214" i="1"/>
  <c r="AB1214" i="1" s="1"/>
  <c r="AA1215" i="1"/>
  <c r="AB1215" i="1" s="1"/>
  <c r="AA1216" i="1"/>
  <c r="AB1216" i="1" s="1"/>
  <c r="AA1217" i="1"/>
  <c r="AB1217" i="1" s="1"/>
  <c r="AA1218" i="1"/>
  <c r="AB1218" i="1" s="1"/>
  <c r="AA1219" i="1"/>
  <c r="AB1219" i="1" s="1"/>
  <c r="AA1220" i="1"/>
  <c r="AB1220" i="1" s="1"/>
  <c r="AA1221" i="1"/>
  <c r="AB1221" i="1" s="1"/>
  <c r="AA1222" i="1"/>
  <c r="AB1222" i="1" s="1"/>
  <c r="AA1223" i="1"/>
  <c r="AB1223" i="1" s="1"/>
  <c r="AA1224" i="1"/>
  <c r="AB1224" i="1" s="1"/>
  <c r="AA1225" i="1"/>
  <c r="AB1225" i="1" s="1"/>
  <c r="AA1226" i="1"/>
  <c r="AB1226" i="1" s="1"/>
  <c r="AA1227" i="1"/>
  <c r="AB1227" i="1" s="1"/>
  <c r="AA1228" i="1"/>
  <c r="AB1228" i="1" s="1"/>
  <c r="AA1229" i="1"/>
  <c r="AB1229" i="1" s="1"/>
  <c r="AA1230" i="1"/>
  <c r="AB1230" i="1" s="1"/>
  <c r="AA1231" i="1"/>
  <c r="AB1231" i="1" s="1"/>
  <c r="AA1232" i="1"/>
  <c r="AB1232" i="1" s="1"/>
  <c r="AA1233" i="1"/>
  <c r="AB1233" i="1" s="1"/>
  <c r="AA1234" i="1"/>
  <c r="AB1234" i="1" s="1"/>
  <c r="AA1235" i="1"/>
  <c r="AB1235" i="1" s="1"/>
  <c r="AA1236" i="1"/>
  <c r="AB1236" i="1" s="1"/>
  <c r="AA1237" i="1"/>
  <c r="AB1237" i="1" s="1"/>
  <c r="AA1238" i="1"/>
  <c r="AB1238" i="1" s="1"/>
  <c r="AA1239" i="1"/>
  <c r="AB1239" i="1" s="1"/>
  <c r="AA1240" i="1"/>
  <c r="AB1240" i="1" s="1"/>
  <c r="AA1241" i="1"/>
  <c r="AB1241" i="1" s="1"/>
  <c r="AA1242" i="1"/>
  <c r="AB1242" i="1" s="1"/>
  <c r="AA1243" i="1"/>
  <c r="AB1243" i="1" s="1"/>
  <c r="AA1244" i="1"/>
  <c r="AB1244" i="1" s="1"/>
  <c r="AA1245" i="1"/>
  <c r="AB1245" i="1" s="1"/>
  <c r="AA1246" i="1"/>
  <c r="AB1246" i="1" s="1"/>
  <c r="AA1247" i="1"/>
  <c r="AB1247" i="1" s="1"/>
  <c r="AA1248" i="1"/>
  <c r="AB1248" i="1" s="1"/>
  <c r="AA1249" i="1"/>
  <c r="AB1249" i="1" s="1"/>
  <c r="AA1250" i="1"/>
  <c r="AB1250" i="1" s="1"/>
  <c r="AA1251" i="1"/>
  <c r="AB1251" i="1" s="1"/>
  <c r="AA1252" i="1"/>
  <c r="AB1252" i="1" s="1"/>
  <c r="AA1253" i="1"/>
  <c r="AB1253" i="1" s="1"/>
  <c r="AA1254" i="1"/>
  <c r="AB1254" i="1" s="1"/>
  <c r="AA1255" i="1"/>
  <c r="AB1255" i="1" s="1"/>
  <c r="AA1256" i="1"/>
  <c r="AB1256" i="1" s="1"/>
  <c r="AA1257" i="1"/>
  <c r="AB1257" i="1" s="1"/>
  <c r="AA1258" i="1"/>
  <c r="AB1258" i="1" s="1"/>
  <c r="AA1259" i="1"/>
  <c r="AB1259" i="1" s="1"/>
  <c r="AA1260" i="1"/>
  <c r="AB1260" i="1" s="1"/>
  <c r="AA1261" i="1"/>
  <c r="AB1261" i="1" s="1"/>
  <c r="AA1262" i="1"/>
  <c r="AB1262" i="1" s="1"/>
  <c r="AA1263" i="1"/>
  <c r="AB1263" i="1" s="1"/>
  <c r="AA1264" i="1"/>
  <c r="AB1264" i="1" s="1"/>
  <c r="AA1265" i="1"/>
  <c r="AB1265" i="1" s="1"/>
  <c r="AA1266" i="1"/>
  <c r="AB1266" i="1" s="1"/>
  <c r="AA1267" i="1"/>
  <c r="AB1267" i="1" s="1"/>
  <c r="AA1268" i="1"/>
  <c r="AB1268" i="1" s="1"/>
  <c r="AA1269" i="1"/>
  <c r="AB1269" i="1" s="1"/>
  <c r="AA1270" i="1"/>
  <c r="AB1270" i="1" s="1"/>
  <c r="AA1271" i="1"/>
  <c r="AB1271" i="1" s="1"/>
  <c r="AA1272" i="1"/>
  <c r="AB1272" i="1" s="1"/>
  <c r="AA1273" i="1"/>
  <c r="AB1273" i="1" s="1"/>
  <c r="AA1274" i="1"/>
  <c r="AB1274" i="1" s="1"/>
  <c r="AA1275" i="1"/>
  <c r="AB1275" i="1" s="1"/>
  <c r="AA1276" i="1"/>
  <c r="AB1276" i="1" s="1"/>
  <c r="AA1277" i="1"/>
  <c r="AB1277" i="1" s="1"/>
  <c r="AA1278" i="1"/>
  <c r="AB1278" i="1" s="1"/>
  <c r="AA1279" i="1"/>
  <c r="AB127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tc={3576d799-8893-4fc3-92c9-9202633b9f3d}</author>
    <author>tc={d487f76f-69bd-4486-ba4e-07fb938eb205}</author>
  </authors>
  <commentList>
    <comment ref="N17" authorId="0" shapeId="0" xr:uid="{3576D799-8893-4FC3-92C9-9202633B9F3D}">
      <text>
        <t>[Threaded comment]
Your version of Excel allows you to read this threaded comment; however, any edits to it will get removed if the file is opened in a newer version of Excel. Learn more: https://go.microsoft.com/fwlink/?linkid=870924
Comment:
    Need to change depending on actual RR details</t>
      </text>
    </comment>
    <comment ref="G68" authorId="1" shapeId="0" xr:uid="{D487F76F-69BD-4486-BA4E-07FB938EB205}">
      <text>
        <t>[Threaded comment]
Your version of Excel allows you to read this threaded comment; however, any edits to it will get removed if the file is opened in a newer version of Excel. Learn more: https://go.microsoft.com/fwlink/?linkid=870924
Comment:
    Dept says it B(G)</t>
      </text>
    </comment>
  </commentList>
</comments>
</file>

<file path=xl/sharedStrings.xml><?xml version="1.0" encoding="utf-8"?>
<sst xmlns="http://schemas.openxmlformats.org/spreadsheetml/2006/main" count="20160" uniqueCount="3278">
  <si>
    <t>To be Reviewed</t>
  </si>
  <si>
    <t>Akrutibandh Status</t>
  </si>
  <si>
    <t>Akrutibandh Date</t>
  </si>
  <si>
    <t>Department</t>
  </si>
  <si>
    <t>Establishment</t>
  </si>
  <si>
    <t>Group</t>
  </si>
  <si>
    <t>Cadre Name</t>
  </si>
  <si>
    <t>Pay Scale</t>
  </si>
  <si>
    <t>Exam Bucket</t>
  </si>
  <si>
    <t>Exam Scheme</t>
  </si>
  <si>
    <t>RR Details - Provided by Depts (Before Reforms)</t>
  </si>
  <si>
    <t>RR Details (After Reforms)</t>
  </si>
  <si>
    <t>Department Response</t>
  </si>
  <si>
    <t>Updated Vacancy
 (9th Feb 26)</t>
  </si>
  <si>
    <t>Requisition Status</t>
  </si>
  <si>
    <t>Requisition Sent</t>
  </si>
  <si>
    <t>Requisition/ Roster Remarks</t>
  </si>
  <si>
    <t>Updated Roster
 (Yes / No)</t>
  </si>
  <si>
    <t>Roster Remarks</t>
  </si>
  <si>
    <t>RR Details - In RRs (Before Reforms)
Nomination Details</t>
  </si>
  <si>
    <t>RR Details - In RRs (Before Reforms) - Promotion details</t>
  </si>
  <si>
    <t>RR Number</t>
  </si>
  <si>
    <t>RR Date</t>
  </si>
  <si>
    <t>Promotion: DR Ratio</t>
  </si>
  <si>
    <t>Active</t>
  </si>
  <si>
    <t>Not Updated as per FD 2016 GR</t>
  </si>
  <si>
    <t>Agriculture</t>
  </si>
  <si>
    <t>Agriculture Establishment</t>
  </si>
  <si>
    <t>A</t>
  </si>
  <si>
    <t>Administrative Service Gr-A Administrative Officer</t>
  </si>
  <si>
    <t>S18 (49100 - 155800)</t>
  </si>
  <si>
    <t>• Education: degree or any other equivalent qualification from the recognized institution.
  • Experience: period of not less than five years on the post not below the rank of the gazetted Officer, Group-B in any Department of the Government or equivalent post in Semi-Government or local authority.</t>
  </si>
  <si>
    <t>Mode of Recruitment: Internal Promotion</t>
  </si>
  <si>
    <t>Accepted</t>
  </si>
  <si>
    <t>Not Sent</t>
  </si>
  <si>
    <t>No</t>
  </si>
  <si>
    <t>Not updated</t>
  </si>
  <si>
    <t>M.A.S. Group-A
  (Dy Director)</t>
  </si>
  <si>
    <t>S20 (56100 - 177500)</t>
  </si>
  <si>
    <t>Maharashtra Agriculture Services</t>
  </si>
  <si>
    <t>• Education: Degree in Agriculture or any other qualification declared by the Government to be equivalent thereto.</t>
  </si>
  <si>
    <t>No changes in RR</t>
  </si>
  <si>
    <t>B (Gazetted)</t>
  </si>
  <si>
    <t>Administrative Service Gr-B
  Asst. Administrative Officer</t>
  </si>
  <si>
    <t>S15 (41800 - 132300)</t>
  </si>
  <si>
    <t>(CPTP) Maharashtra Gazetted Civil Service</t>
  </si>
  <si>
    <t>• Education: degree or any other equivalent qualification from the recognized institution
  • Experience: Superintendent, Group-C, having a regular and continuous service of not less than three years</t>
  </si>
  <si>
    <t>Education: Bachelor's Degree in any stream
 Experience / Additional Skills / Preferential Qualification: Not Required</t>
  </si>
  <si>
    <t>No 
 (submitted to GAD)</t>
  </si>
  <si>
    <t>M.A.S. Gr-B (Jr.) Gazzeted (Agriculture Officer)</t>
  </si>
  <si>
    <t>• Education: Bachelor Degree in Agriculture or Horticulture or Agriculture Engineering or Any other equivalent qualification on same discipline from the recognised institution</t>
  </si>
  <si>
    <t>Agriculture officer (Zilla Parishad) Gr. B (Jr.) (Gazetted)</t>
  </si>
  <si>
    <t>Degree in Agriculture or any other qualification declared by the govt. to be equivalent thereto.</t>
  </si>
  <si>
    <t>M.A.S. Group-B
  (Technical Officer)</t>
  </si>
  <si>
    <t>S16 (44900 - 142400)</t>
  </si>
  <si>
    <t>C</t>
  </si>
  <si>
    <t>Assistant Superintendent</t>
  </si>
  <si>
    <t>S13 (35400 - 112400)</t>
  </si>
  <si>
    <t>Superintendent / Supervisor (NG Admin)</t>
  </si>
  <si>
    <t>• Education: Bachelors Degree from recognized University by Government of Maharashtra
  • Experience: Practical experience of noting and correspondance work for a period of at least 3 years</t>
  </si>
  <si>
    <t>Experience / Additional Skills / Preferential Qualification: Not Required</t>
  </si>
  <si>
    <t>Yes</t>
  </si>
  <si>
    <t>• Education: Bachelors Degreeatleast in 2nd class from recognized University by Government of Maharashtra
  • Experience: Practical experience of noting and correspondance work for a period of at least 3 years</t>
  </si>
  <si>
    <t>AGT-2877/25216/15-A</t>
  </si>
  <si>
    <t>20-10-1978</t>
  </si>
  <si>
    <t>B (Non Gazetted)</t>
  </si>
  <si>
    <t>Stenographer (Lower Grade)</t>
  </si>
  <si>
    <t>S14 (38600 - 122800)</t>
  </si>
  <si>
    <t>Stenographer</t>
  </si>
  <si>
    <t>• Education: Passed the post-secondary school examination.
  • Skill (test): Shorthand speed 100 per minute; English typing speed - 40 or Marathi typing speed - 30.</t>
  </si>
  <si>
    <t>Recruitment rules issued by GAD to be followed for this cadre.</t>
  </si>
  <si>
    <t>Stenographer (Higher Grade)</t>
  </si>
  <si>
    <t>• Education: Passed the post-secondary school examination.
  • Skill (test): Shorthand speed 120 per minute; English typing speed - 40 or Marathi typing speed - 30</t>
  </si>
  <si>
    <t>Clerk Typist</t>
  </si>
  <si>
    <t>S6 (19900 - 63200)</t>
  </si>
  <si>
    <t>Clerk (NG Admin)</t>
  </si>
  <si>
    <t>• Education: Bachelors Degree from recognized University by Government of Maharashtra
  • Skill (test): Marathi 30 marks or English 40 marks examination from the Government Commercial Certificate Examination Board</t>
  </si>
  <si>
    <t>RTR 1013/CR 50/13/14-A
 SRV-2022/CR 58/Desk-12 (Notification)</t>
  </si>
  <si>
    <t>21-02-2018
 01-11-2022</t>
  </si>
  <si>
    <t>Assistant Agriculture Officer</t>
  </si>
  <si>
    <t>S8 (25500 - 81100)</t>
  </si>
  <si>
    <t>Assistant Agriculture Officer (NG Technical)</t>
  </si>
  <si>
    <t>• Education: Diploma in Agriculture or Bachelor Degree in Agriculture or any other equivalent qualification on the same discipline from a recognized institution</t>
  </si>
  <si>
    <t>Rejected</t>
  </si>
  <si>
    <t>• Education: Diploma in Agriculture</t>
  </si>
  <si>
    <t>KRUSHIA-1613/CR191/16-A</t>
  </si>
  <si>
    <t>29-01-2018</t>
  </si>
  <si>
    <t>Senior Clerk</t>
  </si>
  <si>
    <t>• Education: Candidates who have passed Bachelors Degree from recognized University by Government of Maharashtra</t>
  </si>
  <si>
    <t>Possess a Degree</t>
  </si>
  <si>
    <t>Krushiaa-1425/CR 169/16A
 Draft RR</t>
  </si>
  <si>
    <t>Draft RR</t>
  </si>
  <si>
    <t>Steno Typist</t>
  </si>
  <si>
    <t>• Education: Passed the post-secondary school examination.
  • Skill (test): Shorthand speed 80 per minute; English typing speed - 40 or Marathi typing speed - 30</t>
  </si>
  <si>
    <t>under GAD rules</t>
  </si>
  <si>
    <t>Animal Husbandry &amp; Fisheries</t>
  </si>
  <si>
    <t>Animal Husbandry Establishment</t>
  </si>
  <si>
    <t>Livestock Development Officer</t>
  </si>
  <si>
    <t>(New Service) Maharashtra Animal husbandry Services</t>
  </si>
  <si>
    <t>• Education: BVsc</t>
  </si>
  <si>
    <t>Sent</t>
  </si>
  <si>
    <t>Yes (20-03-2025)</t>
  </si>
  <si>
    <t>Post not sanctioned</t>
  </si>
  <si>
    <t>Senior Lecturer, Government Technical College</t>
  </si>
  <si>
    <t>S22 (60000 - 190800)</t>
  </si>
  <si>
    <t>• Education: MVsc
  • Experience: 5 Year</t>
  </si>
  <si>
    <t>Fodder Development Officers</t>
  </si>
  <si>
    <t>• Education: Agriculture graduate/Agriculture Engg.
  • Experience, Skill: 3 Years Exp Fooder Development Activties</t>
  </si>
  <si>
    <t>Education: Agriculture graduate/Agriculture
Engg.
Experience / Additional Skills / Preferential
Qualification: Not Required</t>
  </si>
  <si>
    <t>Under process</t>
  </si>
  <si>
    <t>Lab Technician</t>
  </si>
  <si>
    <t>Dying - Merger</t>
  </si>
  <si>
    <t>• Education: Graduate degree in Chemistry/Bio Technology/Biology/Microbiology or Veterinary Science of AH from a Statutory university or any other qualification declared equivalent to it by the Govt.</t>
  </si>
  <si>
    <t>Proposed to be dying cadre after consultation from department</t>
  </si>
  <si>
    <t>Stastical Investigator</t>
  </si>
  <si>
    <t>Research / Statistical Assistant (NG Technical)</t>
  </si>
  <si>
    <t>• Education: Graduate degree in Statistics, Mathematics, Economics, or Commerce from a Statutory university or any other qualification declared equivalent to it by the Govt.</t>
  </si>
  <si>
    <t>1) Master's Degree in Mathematics or Statistics or Biometry</t>
  </si>
  <si>
    <t>PAVIA-2680/30042/ADF-3</t>
  </si>
  <si>
    <t>Steno (Lower)</t>
  </si>
  <si>
    <t>• Education: Hold a degree in any statutory university or any other qualification declared equivalent to it by the Govt.
  • Skill (test): Passed Government Commercial certificate with a minimum Shorthand speed of 100 WPM and Marathi/English Typing Speed of at least 40 WPM.</t>
  </si>
  <si>
    <t>Steno (Higher)</t>
  </si>
  <si>
    <t>• Education: Degree from any statutory university or equivalent qualification declared by the Govt.
  • Skill (test): Government Commercial certificate with minimum Shorthand speed of 120 WPM and Marathi/English Typing Speed of at least 40 WPM.</t>
  </si>
  <si>
    <t>Junior Clerk</t>
  </si>
  <si>
    <t>• Education: Must hold a degree.
  • Skill (test): Must have passed Government Commercial certificate in Marathi Typing Speed of at least 30 WPM or 40 WPM English.</t>
  </si>
  <si>
    <t>Clause No. 3 (b)
 (ii) who possess a degree; and
 (iii) possess the Government Commercial Certificate or Computer Typing Certificate with
 a speed of not less than 30 words per minute in Marathi Typewriting or 40 words per minute in English Typewriting</t>
  </si>
  <si>
    <t>Wireman</t>
  </si>
  <si>
    <t>Technical Staff (ITI) (NG Technical)</t>
  </si>
  <si>
    <t>• Education: passes a certificate in the trade of wireman from any Industrial Training Institute or from any other recognized Institution
  • Experience: At least one year experience in maintaining and repairing electrical equipments</t>
  </si>
  <si>
    <t>Education: SSC + ITI / Vocational Course from Government recognised institution in relevant trade
  Experience / Preferential Qualification: Not Required</t>
  </si>
  <si>
    <t>PAVIA-2680/30279-(353)</t>
  </si>
  <si>
    <t>14.05.1084</t>
  </si>
  <si>
    <t>Boiler Attendent</t>
  </si>
  <si>
    <t>• Education: Must have passed the secondary school leaving examination.
  • Experience: Must have a second class certificate from the institute of a boiler and smoke nuisance of Maharashtra State or any other recognized institute. Holder of B or C certificate as specified under rule 41 of the boiler Attendant Rules 2011 will be required.
  • Skill (test): Should be able to maintain records and take temperature reading.</t>
  </si>
  <si>
    <t>Live Stock Supervisor</t>
  </si>
  <si>
    <t>Live Stock Supervisor (NG Technical)</t>
  </si>
  <si>
    <t>• Education: Passed secondary school leaving examination; two year Diploma Course in Live stock Management and Dairy Production from Maharashtra University of Animal and Fishery Science Nagpur; or Bachelor's Degree in Veterinary Science of AH from a Statutory university or equivalent.</t>
  </si>
  <si>
    <t>Education: SSC + Diploma in Livestock Management and Dairy Production from a Government recognised institute
  OR 
  Degree in Veterinary Science from a Government recognised institute
  Experience / Additional Skills / Preferential Qualification: Not Required</t>
  </si>
  <si>
    <t>(ii) Have passed the Secondary School Certificate Examination.
 (iii) Have Passed the Livestock Supervisors Training Course conducted by the Commissionerate of Animal Husbandry or by any Statutory Agricultural University or an equivalent University in the State of Maharashtra.
 or
 (iv) Have Passed two years Diploma Course in the Dairy Farm Mangement and Animal Husbandry conducted by any Statutory Agricultrual University or an equivalent University in the State of Maharashtra or Maharashtra State Board of Technical Education.
 or
 (v) Have Passed two years Diploma Course in the 'Livestock Mangement and Dairy Production' conducted by Maharashtra Animal &amp; Fishery Science University, Nagpur.
 or
 (vi) Possess a degree in the B. V. Sc. or B. V. Sc. and Animal Husbandry of any statutory Agricultural University or an equivalent University of the State of Maharashtra.</t>
  </si>
  <si>
    <t>PVA. 2012/CR-350 ADF 3</t>
  </si>
  <si>
    <t>Stastical Assistant</t>
  </si>
  <si>
    <t>• Education: Graduate degree in Statistics, Mathematics, Economics, or Commerce from a Statutory university or any other equivalent qualification declared by the Govt.</t>
  </si>
  <si>
    <t>1) Master's degree in mathematics, economics, biometry, commerce or statistics OR; a bachelor's degree in 2nd Class with Mathematics, economics, commerce, biometry or statistics OR; bachelor's degree in mathematics or Statistics or biometry
 Preference will be given to Master's degree &gt; Bachelor's Degree in 2nd class &gt; Bachelor's degree</t>
  </si>
  <si>
    <t>Refrigerator Mechanic</t>
  </si>
  <si>
    <t>• Education: Must have passed the secondary school leaving examination. Holder of a Diploma or certificate in Refrigeration or Air Conditioning from an industrial training institute or an institution recognized by the Govt or any other qualification declared equivalent to it by the Govt.</t>
  </si>
  <si>
    <t>CLAUSE 11. Appointment to the post of Refrigerator mechanic shall be made by nomination from among following cadidates, who -
  i. unless already in the service of government are not more than thirty years of age.
 Experience: possess practical experience of two years in operation and maintenance of Refrigeration and Air Conditioning Plants gained after acquiring the qualifications mentioned in clause ii and III of this rule.</t>
  </si>
  <si>
    <t>PAVIA-2680/30279/(353)-ADF5</t>
  </si>
  <si>
    <t>18.05.1984</t>
  </si>
  <si>
    <t>Plant Operator</t>
  </si>
  <si>
    <t>• Education: Must have passed the secondary school leaving examination. Holds national vocational certificate for successfully completing the course in mechanical refrigeration and air Conditioning/Mechanical Craftman or any other equivalent qualification declared by the Govt.
  • Experience: 2 years of practical experience in the maintenance and repair of diesel engine refrigeration, air conditioning systems and equipment.</t>
  </si>
  <si>
    <t>RR Not Prepared</t>
  </si>
  <si>
    <t>Fisheries Establishment</t>
  </si>
  <si>
    <t>Assistant Commissioner Of Fisheries (Tech.)</t>
  </si>
  <si>
    <t>• Education: B.Fsc.</t>
  </si>
  <si>
    <t>Administrative Officer And Others</t>
  </si>
  <si>
    <t>• Education: Any Graduate</t>
  </si>
  <si>
    <t>Fisheries Development Officer And Others (Tech.)</t>
  </si>
  <si>
    <t>Assistant Fisheries Development Officer</t>
  </si>
  <si>
    <t>Assistant Fisheries Development Officer (NG Technical)</t>
  </si>
  <si>
    <t>1) B.F.Sc atleast II Class</t>
  </si>
  <si>
    <t>Matsya 2013/CR 218/Paduma 12</t>
  </si>
  <si>
    <t>23-08-2016</t>
  </si>
  <si>
    <t>Mechanical Instructor</t>
  </si>
  <si>
    <t>Junior Engineer and Equivalent (NG Technical)</t>
  </si>
  <si>
    <t>• Education: Diploma in Mechanical Engineering</t>
  </si>
  <si>
    <t>Education: SSC + Diploma or Degree in Relevant Stream
  Experience / Additional Skills / Preferential Qualification: Not Required</t>
  </si>
  <si>
    <t>1) Diploma in Mechanical Engineering
 2) Practical Experience of atleast 10 years in installation overhaul and repairs to high-speed marine diesel engines OR I Class driver's certificate of Mercantile Marine Department and practical experience of atleast 10 years in installation overhaul and repairs to marine diesel engines.
 3) Ability to impart instructions</t>
  </si>
  <si>
    <t>Requisition sent on 19th January 2026</t>
  </si>
  <si>
    <t>Librarian</t>
  </si>
  <si>
    <t>S7 (21700 - 69100)</t>
  </si>
  <si>
    <t>Non Gazetted Librarian and Equivalent (NG Admin)</t>
  </si>
  <si>
    <t>• Education: Diploma or Certificate in librarianship</t>
  </si>
  <si>
    <t>Education: Bachelor's Degree in any stream + Diploma/ Degree in Library Science
  Experience / Additional Skills / Preferential Qualification: Not Required</t>
  </si>
  <si>
    <t>1) Diploma or Certificate in Librarianship from a recognised Institution</t>
  </si>
  <si>
    <t>Clause No. B 
 (ii) hold a degree in arts, science, commerce or Law of a recognized university</t>
  </si>
  <si>
    <t>FST 1001/2039-I-G</t>
  </si>
  <si>
    <t>29-03-1963</t>
  </si>
  <si>
    <t>Statistical Assistant</t>
  </si>
  <si>
    <t>• Education: Degree with Statstical/Economics</t>
  </si>
  <si>
    <t>Education: Graduate degree in Statistics, Mathematics, Economics, or Commerce 
  Experience / Additional Skills / Preferential Qualification: Not Required</t>
  </si>
  <si>
    <t>1) Bachelor's degree in Statistics, Mathematics or Economics with papers in Statistics of a recognised university.</t>
  </si>
  <si>
    <t>FST 1662/338 7-G</t>
  </si>
  <si>
    <t>19-06-1969</t>
  </si>
  <si>
    <t>Pending with the Department</t>
  </si>
  <si>
    <t>Cooperative Marketing</t>
  </si>
  <si>
    <t>Cooperation (Administration Dept) Establishment</t>
  </si>
  <si>
    <t>Deputy Registrar, Co-operative Societies Group-A</t>
  </si>
  <si>
    <t>• Education: A degree of a statutory university or any other qualification declared by the government to be equivalent thereto.</t>
  </si>
  <si>
    <t>Yes - 05-05-2025</t>
  </si>
  <si>
    <t>Assistant Registrar, Co-operative Societies Group-B</t>
  </si>
  <si>
    <t>Cooperation (Audit Dept) Establishment</t>
  </si>
  <si>
    <t>Special Auditor, Co-operative Societies (Audit), Group -A</t>
  </si>
  <si>
    <t>• Education: Degree in Commerce or equivalent; or Chartered Accountant; or Cost Accountant.
  • Experience: At least three years experience in field of audit or management of Cooperative Societies.</t>
  </si>
  <si>
    <t>Special Auditor, Co-operative Societies (Audit), Group -B</t>
  </si>
  <si>
    <t>• Education:
  (A) Passes a degree in Commerce or any other qualification to be declared equivalent thereto; or (B) Who is a Chartered Accountant registered under the Chartered Accountants Act 1949, (38 of 1949); or ( C ) Who is a Cost Accountant registered under the Cost and Works Accountants Act 1959 (23 of 1959)</t>
  </si>
  <si>
    <t>Cooperation Establishment</t>
  </si>
  <si>
    <t>Co-operative officer Grade-2</t>
  </si>
  <si>
    <t>Administrative (Non-Gazetted) (NG Admin)</t>
  </si>
  <si>
    <t>• Education: Degree in Arts with Economics or Degree in Commerce or Agriculture or Science or Law of recognized University</t>
  </si>
  <si>
    <t>Education: Bachelor's Degree in any stream
  Experience / Additional Skills / Preferential Qualification: Not Required</t>
  </si>
  <si>
    <t>1) Degree in Arts (Ecconomics) or a Degree in Commerce or Agriculture or Science or Law of a recognised University</t>
  </si>
  <si>
    <t>CEN 1064/23690-C-3</t>
  </si>
  <si>
    <t>Auditor Grade - 2</t>
  </si>
  <si>
    <t>Auditor (Commerce Specific) (NG Technical)</t>
  </si>
  <si>
    <t>• Education: A second class Commerce degree with Advanced accountancy and auditing of a recognized University
  • Skill (test): Advanced accountancy and auditing</t>
  </si>
  <si>
    <t>1) Second Class degree in Commerce with advanced accountancy and auditing of a recognised University</t>
  </si>
  <si>
    <t>Co-operative officer Grade-1</t>
  </si>
  <si>
    <t>• Education: Degree in Arts with Economics or Degree in Commerce or Agriculture or Science or Law in Second class of recognized University</t>
  </si>
  <si>
    <t>by nomination from amongst the candidates who possess a degree in Arts with Economics or a degree in Commerce or Agriculture or Science or Law of a recognised University.</t>
  </si>
  <si>
    <t>Govrernment Resolution no CEN 1064/23690-C-3</t>
  </si>
  <si>
    <t>Auditor Grade - 1</t>
  </si>
  <si>
    <t>• Education: A second class Commerce degree with Advanced accountancy and auditing of a recognized University</t>
  </si>
  <si>
    <t>Lower Grade Stenographer</t>
  </si>
  <si>
    <t>• Education: Passed the Secondary School Certificate Examination
  • Skill (test): Shorthand 100 w.p.m. and Typing 30 w.p.m. Marathi or 40 w.p.m. English</t>
  </si>
  <si>
    <t>Higher Grade Stenographer</t>
  </si>
  <si>
    <t>• Education: Passed the Secondary School Certificate Examination
  • Skill (test): Shorthand 120 w.p.m. and Typing 30 w.p.m. Marathi or 40 w.p.m. English</t>
  </si>
  <si>
    <t>Junior Clerk(Admin)</t>
  </si>
  <si>
    <t>• Education: Degree of recognized University
  • Skill (test): Typing 30 w.p.m.Marathi or 40 w.p.m. English</t>
  </si>
  <si>
    <t>Part - A
 (ii) must have passed S.S.C. or its equivalent examination and</t>
  </si>
  <si>
    <t>Junior Clerk(Audit Dept)</t>
  </si>
  <si>
    <t>Assistant Co-operative Officer</t>
  </si>
  <si>
    <t>Administrative Assistant (NG Admin)</t>
  </si>
  <si>
    <t>• Education: Degree in Arts, Science, Agriculture, Commerce or Law of recognized University</t>
  </si>
  <si>
    <t>1) Degree in Arts (Ecconomics) or a Degree in Agriculture or Commerce of a recognised University</t>
  </si>
  <si>
    <t>Sub-Auditor</t>
  </si>
  <si>
    <t>Non-Gazetted Combined Technical Scheme (Maharashtra Civil Service Non-Gazetted (Group B(NG) &amp; Group C) Examination)</t>
  </si>
  <si>
    <t>• Education: Degree of Commerce with Advanced Accountancy and Auditing from a recognized University</t>
  </si>
  <si>
    <t>As per RR, This post is now converted into Senior Clerk. Recruitment Rules of Senior Clerk will apply.</t>
  </si>
  <si>
    <t>Non-Gazetted Combined Administrative Scheme (Maharashtra Civil Service Non-Gazetted (Group B(NG) &amp; Group C) Examination)</t>
  </si>
  <si>
    <t>Part - A
 (ii) must possess a degree in Arts, Science, Agricultural Commerce, or Law of a recognised University</t>
  </si>
  <si>
    <t>Steno - Typist(Admin)</t>
  </si>
  <si>
    <t>Steno - Dying</t>
  </si>
  <si>
    <t>• Education: Passed the Secondary School Certificate Examination
  • Skill (test): Shorthand 80 w.p.m. and Typing 30 w.p.m. Marathi or 40 w.p.m. English</t>
  </si>
  <si>
    <t>Steno - Typist(Audit Dept)</t>
  </si>
  <si>
    <t>Pending with HPC</t>
  </si>
  <si>
    <t>Energy</t>
  </si>
  <si>
    <t>Energy Establishment</t>
  </si>
  <si>
    <t>Assistant Electrical Inspector</t>
  </si>
  <si>
    <t>Cannot be bucketed</t>
  </si>
  <si>
    <t>• Education: B.E.Electrical
  • Experience: 3 year
  • Skill (test): NA</t>
  </si>
  <si>
    <t xml:space="preserve"> Experience / Additional Skills / Preferential Qualification: Not Required</t>
  </si>
  <si>
    <t>Electrical Inspector</t>
  </si>
  <si>
    <t>S23 (67700 - 208700)</t>
  </si>
  <si>
    <t>Internal Promotion / Deputation</t>
  </si>
  <si>
    <t>• Education: B.E. Electrical
  • Experience: 8 years</t>
  </si>
  <si>
    <t>Assistant Engineer Grade-II</t>
  </si>
  <si>
    <t>Maharashtra Engineering Service (MES)</t>
  </si>
  <si>
    <t>Gazetted Combined Scheme (Maharashtra Civil Service Gazetted (Group A &amp; Group B) Examination)</t>
  </si>
  <si>
    <t>• Education: B.E.Electrical</t>
  </si>
  <si>
    <t>Electricity Duty Inspector</t>
  </si>
  <si>
    <t>• Education: Arts, Science, Commerce or Law Degree
  • Experience: 5 years</t>
  </si>
  <si>
    <t>Junior Engineer</t>
  </si>
  <si>
    <t>• Education: D.E.Electrical</t>
  </si>
  <si>
    <t>• Education: Diploma of 3 years in electrical engineering</t>
  </si>
  <si>
    <t>SEPRANI.1006/CR 185/AASTHA-2</t>
  </si>
  <si>
    <t>• Education: Any Graduate
  • Skill (test): Typing, Marathi- 30wpm, English- 40wpm</t>
  </si>
  <si>
    <t>• Education: Any Graduate
  • Skill (test): Typing (Marathi- 30wpm, English- 40wpm)</t>
  </si>
  <si>
    <t>Clause 5 (b)
 (ii)possess a degree from a recognized (statutory) university</t>
  </si>
  <si>
    <t>RTR. 1087/105158 (155) / Aastha–2
 RTR-1009/C.R. 252/Estt. 2</t>
  </si>
  <si>
    <t>15-04-1994
 03-03-2014</t>
  </si>
  <si>
    <t>Junior Auditor</t>
  </si>
  <si>
    <t>Dying</t>
  </si>
  <si>
    <t>• Education: B.com</t>
  </si>
  <si>
    <t>Updated as per FD 2016 GR</t>
  </si>
  <si>
    <t>Finance (GST)</t>
  </si>
  <si>
    <t>GST Establishment</t>
  </si>
  <si>
    <t>Assistant Commissioner of State Tax</t>
  </si>
  <si>
    <t>• Education: Degree from Recognized University OR Any Equivalent Qualification recognized by Maharashtra Government</t>
  </si>
  <si>
    <t>YES</t>
  </si>
  <si>
    <t>State Tax Inspector</t>
  </si>
  <si>
    <t>Accountant and Equivalent (NG Technical)</t>
  </si>
  <si>
    <t>1) Posses a degree</t>
  </si>
  <si>
    <t>Vikni-1012/CR 140/Vi.Pra.2</t>
  </si>
  <si>
    <t>• Education: S.S.C.
  • Skill (test): 100 wpm short hand and 40 wpm English Typing or 30 wpm Marathi typing</t>
  </si>
  <si>
    <t>• Education: S.S.C.N.
  • Skill (test): 120 wpm short hand and 40 wpm English typing or 30 wpm Marathi typing</t>
  </si>
  <si>
    <t>Manager</t>
  </si>
  <si>
    <t>S10 (29200 - 92300)</t>
  </si>
  <si>
    <t>• Education: S.S.C.
  • Experience: Catering Establishment Experience 3 years</t>
  </si>
  <si>
    <t>1) Passed Secondary School Certificate examination or any other examination recognised by the State Government 
 2) Minimum 3 years experience in running a catering establishment in a managerial capacity: provided candidate posses a diploma from any institute of catering technology recognised by the State Government for the purposes of these rules and who also posses 2 year experience in running a catering establishment.</t>
  </si>
  <si>
    <t>F.D/STD. 1067/97/76/ADM-6</t>
  </si>
  <si>
    <t>Coupon Seller</t>
  </si>
  <si>
    <t>S5 (18000 56900)</t>
  </si>
  <si>
    <t>• Education: S.S.C.
  • Experience: Previous Experience as Coupon Seller in any Catering Establishment</t>
  </si>
  <si>
    <t>No changes proposed since the cadre cannot be bucketed in a combined scheme.</t>
  </si>
  <si>
    <t>Accounts Clerk</t>
  </si>
  <si>
    <t>• Education: S.S.C.
  • Experience: Previous experience as Account Clerk in any Govt. or Private Commercial Catering Establishment</t>
  </si>
  <si>
    <t>Clause No. 5
 who have passed the Secondary School Certificate examination or an examination recognised by the State Government as equivalent thereto
 Provided that preference may be given to candidates who have previous experience as Account Clerk, either in any Government or private commercial or catering establishment or to those who possess a diploma in commerce or accountancy from any Institute recognised by the state Government in this behalf</t>
  </si>
  <si>
    <t>Store Keeper</t>
  </si>
  <si>
    <t>Storekeeper (NG Admin)</t>
  </si>
  <si>
    <t>• Education: S.S.C.
  • Experience: Previous experience as Store keeper or Account Clerk in any Catering Commercial Establishment</t>
  </si>
  <si>
    <t>1) Passed Secondary School Certificate examination or any other examination recognised by the State Government 
 Preference may be given to candidates who have previous experience as Store Keeper or Accounts Clerk in any catering or commercial establishment</t>
  </si>
  <si>
    <t>Accountant</t>
  </si>
  <si>
    <t>• Education: S.S.C. Government Commercial Diploma or any other Diploma in Commerce or Accountancy</t>
  </si>
  <si>
    <t>b) by nomination from amongst candidates who.-
  (ii) have passed the Secondary School Certificate Examination or an examination recognised by the State Government as equivalent thereto: in Commerce or Accountancy recognised by the State Government as equivalent thereto:
 Provided that, in the case of a candidate who have a minimum experience of two years as an accounts clerk in any Government or commercial establishment, the qualification in sub-clause (iii) of clause (b) may be relaxed.</t>
  </si>
  <si>
    <t>FD/STD1067/97/76/ADM-6</t>
  </si>
  <si>
    <t>1.3.1977</t>
  </si>
  <si>
    <t>Leading Fireman</t>
  </si>
  <si>
    <t>Fire Service Officer / Fireman / Rescuer / Demonstrator (Fire Service) (NG Technical)</t>
  </si>
  <si>
    <t>• Education: S.S.C.
  • Physical Qualification (test): height: 165 cm, chest: 81 cm and by expanding 86 cm, weight: 50 kg and above, eyesight: Normal</t>
  </si>
  <si>
    <t>Education: SSC + Fire Safety Diploma from a Government recognised institution
  Experience / Additional Skills: Not Required
  Physical Qualification: As may be required</t>
  </si>
  <si>
    <t>1) Passes Secondary School Certificate Examination or equivalent examination recognised by State Government 
 2) Physical Qualification: Height - Min 165 cm, Chest - 81 cm, Minimum 50 Kg weight</t>
  </si>
  <si>
    <t>Vikpra 1093/CR 224/93/Vikrikar(Prashashan-1)</t>
  </si>
  <si>
    <t>29.12.2001</t>
  </si>
  <si>
    <t>• Education: Degree, diploma in library science or equivalent
  Experience: not less than 5 years
  • Skill: Library of standing</t>
  </si>
  <si>
    <t>1) Recognized Diploma in Librarian provided preference may given to candidate possessing practical experience in Librarian work.</t>
  </si>
  <si>
    <t>STD- 1477/108/77/ADH-6</t>
  </si>
  <si>
    <t>24-01-1979</t>
  </si>
  <si>
    <t>Supervisor</t>
  </si>
  <si>
    <t>• Education: S.S.C.
  • Experience: Previous Experience as Canteen Supervisor in a Catering Establishment</t>
  </si>
  <si>
    <t>FD/STD.1067/97/76/ADM-6</t>
  </si>
  <si>
    <t>31-03-1977</t>
  </si>
  <si>
    <t>Tax Assistant</t>
  </si>
  <si>
    <t>• Education: Degree
  • Skill (test): Marathi 30 wpm and English 40 wpm skill test</t>
  </si>
  <si>
    <t>by nomination on the basis of result of Competitive Examination held by the Commission who,
 (il) possess a degree or any other qualification. declared by the Governmant to be equivalent thereto; and
 (ii)possess the Government Commercial Certificate with speed of not less than 30 words per minute in Marathi and 40 words per minute in English Typewriting.</t>
  </si>
  <si>
    <t>VKVIIIII/CR165/VIPRA-1</t>
  </si>
  <si>
    <t>11.6.13</t>
  </si>
  <si>
    <t>Assistant Manager</t>
  </si>
  <si>
    <t>• Education: S.S.C.
  • Experience: 1 years Catering Establishment Experience</t>
  </si>
  <si>
    <t>1) SSC or any examination recognised by the state government as equivalent thereto;
 2) Minimum experience of 1 year in running a catering establishment either in managerial capacity or as an accountant provided that in case of candidates who possess a diploma in any institute of catering technology recognised by the state governement for the purpose of these rules, the condition about minimum experience may be relaxed.</t>
  </si>
  <si>
    <t>F.D./STD.1067/97/76/ADM-6</t>
  </si>
  <si>
    <t>StenoTypist</t>
  </si>
  <si>
    <t>• Education: S.S.C.
  • Skill (test): 80 wpm short hand, 40 wpm English typing or 30 wpm Marathi typing</t>
  </si>
  <si>
    <t>Finance (Insurance)</t>
  </si>
  <si>
    <t>Insurance Establishment</t>
  </si>
  <si>
    <t>Asssitent Director of Insurance</t>
  </si>
  <si>
    <t>• Education: Art, Science, Commerce and Law Graduate, Associateship examination of the Federation of Insurance Institutes.
  Experience: Not less than Two Years in Handling Insurance Matters.</t>
  </si>
  <si>
    <t>Deputy Director</t>
  </si>
  <si>
    <t>• Education: Art, Science, Commerce and Law Graduate; Hold fellowship of the Federation of Insurance Institutes with specialisation in life or general insurance subjects or in both branches
  Experience: Not less than 5 years Supervisory/ Executive Experience in any General Insurance Org.</t>
  </si>
  <si>
    <t>Junior Technical Officer</t>
  </si>
  <si>
    <t>• Education: Art, Science, Commerce and Law Graduate
  Experience: Not less than Two Years in Handling Insurance Matters
  • Skill (test): Licentiate of the Federation of Insurance Institutes</t>
  </si>
  <si>
    <t>Technical Assistant</t>
  </si>
  <si>
    <t>ClerkcumTypist</t>
  </si>
  <si>
    <t>• Education: Any Graduate
  t applicable
  • Skill (test): Typing Eng 30 and Marathi 40 Wpm</t>
  </si>
  <si>
    <t>Finance (Local Fund Audit &amp; Treasury)</t>
  </si>
  <si>
    <t>Local Fund Audit Establishment</t>
  </si>
  <si>
    <t>Jr. Auditor</t>
  </si>
  <si>
    <t>• Education: Bachelor of Commerce/ Bachelor of Arts/ Science with Mathematics and Statistics with 55 % marks</t>
  </si>
  <si>
    <t>Education: Bachelor's Degree in Commerce
  Experience / Additional Skills: Not Required</t>
  </si>
  <si>
    <t>Requisition sent to TCS for 221 posts</t>
  </si>
  <si>
    <t>1) Degree with atleast 55% marks in Commerce; OR a degree in Arts with atleast 55% marks with statistics, mathematics or economics as the principal subject; OR a degree in science with atleast with atleast 55% marks with statistics or mathematics as the principal subject; OR has passed the final examination of cost accountancy conducted by Institute of Cost and Works Acccountants of India; OR a degree in Business Administration; OR any degree and has also passed the intermediate exmaination for CA; OR a degree in engineering with specifications in computer technology, computer science or Information technology.</t>
  </si>
  <si>
    <t>SEVAPRA-11.07/CR196/2/KOSHA PRASHA-3</t>
  </si>
  <si>
    <t>Clerk cumTypist</t>
  </si>
  <si>
    <t>• Education: Any Graduates</t>
  </si>
  <si>
    <t>Treasury Establishment</t>
  </si>
  <si>
    <t>Assistant Director</t>
  </si>
  <si>
    <t>• Education: Possess any of the following qualifications: a degree with at least fifty five percent marks in Commerce; or passed final examination of chartered accountant conducted by Institute of Chartered Accounts of India; or passed final examination of cost accountancy conducted by the Institute of Cost andWorks Accountants of India; or Master's degree in Commerce; or Master of Business Administration (M.B.A.) in Finance approved by All India Council for Technical Education (AICTE).</t>
  </si>
  <si>
    <t>Requisition sent to MPSC for 32 posts</t>
  </si>
  <si>
    <t>Assistant Accounts Officer</t>
  </si>
  <si>
    <t>• Education:
  • A degree with at least 55% marks in Commerce faculty.
  • A degree with at least 55% marks in Arts with Statistics, Mathematics, or Economics as a main subject.
  • A degree with at least 55% marks in Science faculty with Statistics or Mathematics as a main subject.
  • A degree in Business Administration / Financial Management with Specialization in Finance.
  • Skill (test):
  • Passed the final examination of Cost Accounting conducted by the Institute of Cost and Works Accountants of India.
  • Passed Professional Competence Examination conducted by the Institute of Chartered Accountants of India.</t>
  </si>
  <si>
    <t>Requisition file pending at GAD for 217 posts</t>
  </si>
  <si>
    <t>Accounts Officer</t>
  </si>
  <si>
    <t>• Education:
  a) A degree with at least fifty-five percent marks in Commerce, or
  b) Passed final examination of chartered accountant conducted by Institute of Chartered Accounts of India, or
  c) Passed the final examination of cost accountancy conducted by the Institute of Cost and Works Accountants of India, or
  d) Master's degree in Commerce, or
  e) Master of Business Administration (M.B.A.) in Finance approved by AICTE.</t>
  </si>
  <si>
    <t>Requisition file pending at GAD for 60 posts</t>
  </si>
  <si>
    <t>• Education: S.S.C possess government commercial certificate
  • Skill (test): Shorthand speed not less than 100 w.p.m, English typing speed not less than 40 w.p.m, or Marathi typing speed not less than 30 w.p.m</t>
  </si>
  <si>
    <t>• Education: S.S.C possess government commercial certificate
  • Skill (test): Shorthand speed of not less than 120 w.p.m; English typing speed of not less than 40 w.p.m or Marathi typing speed of 30 w.p.m</t>
  </si>
  <si>
    <t>Junior Accountant</t>
  </si>
  <si>
    <t>• Education: Degree</t>
  </si>
  <si>
    <t>Requition sent for 456 posts and recruitment process is in final stage</t>
  </si>
  <si>
    <t>(il) possess a degree and
 (ii)possess the Government Commercial Certificate with speed of not less than 30 words per minute in Marathi and 40 words per minute in English Typewriting.</t>
  </si>
  <si>
    <t>sevaapra-2023/pra.kra.06/kosha(prasha3)</t>
  </si>
  <si>
    <t>09.09.2024</t>
  </si>
  <si>
    <t>Requisition sent to MPSC for 443 posts</t>
  </si>
  <si>
    <t>Telephone Operator</t>
  </si>
  <si>
    <t>• Education: S.S.C. No
  • Experience: Training and experience as telephone operator
  • Preference: Preference will be given to person having training and experience as telephone operator</t>
  </si>
  <si>
    <t>Stenotypist</t>
  </si>
  <si>
    <t>• Education: S.S.C. possess government commercial certificate
  • Skill (test): Shorthand speed not less than 80 w.p.m; English typing speed not less than 40 w.p.m or Marathi typing speed not less than 30 w.p.m</t>
  </si>
  <si>
    <t>Food &amp; Civil Supply</t>
  </si>
  <si>
    <t>Controller of Legal Metrology Establishment</t>
  </si>
  <si>
    <t>Inspector</t>
  </si>
  <si>
    <t>Maharashtra (Inspector, Legal Metrology) Services</t>
  </si>
  <si>
    <t>• Education: Degree in Mechanical or Electrical or Electronics or Computer Engineering or Degree of Science (Physics as one of the compulsory subject)</t>
  </si>
  <si>
    <t>Dy. Controller</t>
  </si>
  <si>
    <t>S17 (47600 - 151100)</t>
  </si>
  <si>
    <t>• Education: Master’s Degree in Physics/Mathematics/Electronics OR Degree in Mechanical/Electrical/Electronics Engg.</t>
  </si>
  <si>
    <t>Clerk/ Typist</t>
  </si>
  <si>
    <t>• Education: degree
  • Skill (test): Typing Certificate with Marathi 30 w.p.m. or English 40 w.p.m. typing</t>
  </si>
  <si>
    <t>Lab Assistant</t>
  </si>
  <si>
    <t>Chemist / Lab Technician / Lab Assistant / Pharmacist (NG Technical)</t>
  </si>
  <si>
    <t>• Education: ITI</t>
  </si>
  <si>
    <t>Education: Bachelor's Degree in Science (Relevant Stream)
  Experience / Additional Skills: Not Required</t>
  </si>
  <si>
    <t>3. Appointment to the post of Laboratory Assistant in the Department of Legal Metrology will be made by nomination from among the candidates fulfilling the following conditions: 
 (2) Who has passed the Secondary School Certificate Examination and 
 (3) Who has passed the Industrial Training Institute Certificate Examination (Fitter Trade) from a recognized institution.
 4. The person appointed to the post will be eligible for transfer anywhere in the state of Maharashtra.
 5. If a person appointed to the post of Laboratory Assistant or has already passed the exam in the previous year, he/she will have to pass the exam as per the rules made in this regard.</t>
  </si>
  <si>
    <t>VayMaSha-1194/2263/(C.R. 2876)/Na.Pu. 14</t>
  </si>
  <si>
    <t>08.01.1997</t>
  </si>
  <si>
    <t>Field Assistant</t>
  </si>
  <si>
    <t>Clause 3(B)
 by nomination from amongst the candidate selected by the selection Committee who,
 (ii) have passed Secondary School Certificate Examiniation; and
 (iii) possess ITI Certificate in fitter or machinist or electrical or electronics trade from the Government approved Industrial Training Institute.</t>
  </si>
  <si>
    <t>वैमाशा/२०१७/३०१/प्र.क्र. ७२/ग्रा.सं.३</t>
  </si>
  <si>
    <t>29.06.2021</t>
  </si>
  <si>
    <t>Directorate of Civil Supply and Ration Cards Controller Establishment</t>
  </si>
  <si>
    <t>Assistant Controller ration</t>
  </si>
  <si>
    <t>• Education: Holds graduate degree or any other qualification declared as equivalent by the Government
  Experience: Not more than 33 years of age
  • Skill: Adequate knowledge of Marathi language</t>
  </si>
  <si>
    <t>ClerkTypist/Junior Clerk</t>
  </si>
  <si>
    <t>• Education: Degree; and Government Commerce Certificate or Computer Typing Certificate.
  • Skill (test): Marathi Typing speed of at least 30 words per minute or English Typing speed of at least 40 words per minute.</t>
  </si>
  <si>
    <t>Divisional Supply Office Establishment</t>
  </si>
  <si>
    <t>Inspecting Officer (Supply)/Superintendent/Circular Officer/Warehouse Manager, Grade1,/Warehouse Supervisor Cadre</t>
  </si>
  <si>
    <t>• Education: Degree in any discipline from any statutory university or any other educational qualification declared to be equivalent by the Govt.</t>
  </si>
  <si>
    <t>Supply Inspector/Chief Clerk (Supply)/Grain Purchase Inspector/Warehouse Manager, GradeII</t>
  </si>
  <si>
    <t>• Education: Degree of Statutory University, with preference for a Degree in Science or Technology in Food Science subject
  • Skill (test): Nirank
  • Preference: Candidate holding Degree in Science or Technology in Food Science subject preferred</t>
  </si>
  <si>
    <t>Clause No. 3
 ii) those who hold a degree from a Statutory University however,
 preference will be given to candidates holding a degree in science or technology in the subject of food science</t>
  </si>
  <si>
    <t>EST 2885/2646/CR 218/15</t>
  </si>
  <si>
    <t>ClerkTypist/Junior Clerk/Warehouse Clerk</t>
  </si>
  <si>
    <t>• Education: Degree, Government Commerce Certificate or Computer Typing Certificate.
  • Skill (test): Marathi Typing at least 30 words per minute or English Typing at least 40 words per minute; Nirank</t>
  </si>
  <si>
    <t>Financial Advisor Office Establishment</t>
  </si>
  <si>
    <t>• Education: Any Graduate
  • Skill (test): Skill Test</t>
  </si>
  <si>
    <t>Upper Divisional Clerk</t>
  </si>
  <si>
    <t>Clause 5(b)
 (ii) who possess a degree of a statutory university or any other qualification declared equivalent by the Government.</t>
  </si>
  <si>
    <t>MIS-1013/C.R.79/2013/C.S.12</t>
  </si>
  <si>
    <t>State Consumer Grievance Redressal Commission, Mumbai Establishment</t>
  </si>
  <si>
    <t>Registrar</t>
  </si>
  <si>
    <t>(New Service) Maharashtra Legal Services</t>
  </si>
  <si>
    <t>• Education: LLB
  • Skill (test): MSCIT</t>
  </si>
  <si>
    <t>Education: Bachelor's Degree in Law
 Experience: 3 years
 Additional Skills: Not Required</t>
  </si>
  <si>
    <t>Yes (31-12-2020)</t>
  </si>
  <si>
    <t>Steno LG</t>
  </si>
  <si>
    <t>• Education: SSC, MSCIT
  • Skill (test): GCC 100WPM, GCC English T/Y40 wpm OR Marathi Typing with a speed not less than 30wpm</t>
  </si>
  <si>
    <t>Yes
 31.8.24</t>
  </si>
  <si>
    <t>Steno HG</t>
  </si>
  <si>
    <t>• Education: SSC, MSCIT
  • Skill (test): GCC 120WPM, GCC English T/Y40 wpm OR Marathi Typing with a speed not less than 30wpm</t>
  </si>
  <si>
    <t>Asst. Supdt.</t>
  </si>
  <si>
    <t>• Education: Graduate
  • Skill (test): GCC English T/Y 40 wpm OR Marathi Typing with a speed not less than 30wpm, MSCIT</t>
  </si>
  <si>
    <t>TCS</t>
  </si>
  <si>
    <t>Yes (31-08-24)</t>
  </si>
  <si>
    <t>Clause 4
 (ii) possessed a degree</t>
  </si>
  <si>
    <t>CPR2014/199/CR69/CP-4</t>
  </si>
  <si>
    <t>03.01.2015</t>
  </si>
  <si>
    <t>Shirstedar/Supdt/PRO</t>
  </si>
  <si>
    <t>• Education: Graduate
  • Skill (test): GCC English T/Y40 wpm OR Marathi Typing with a speed not less than 30wpm, MSCIT</t>
  </si>
  <si>
    <t>Clause 3(b)
 (ii) possessed a degree</t>
  </si>
  <si>
    <t>Clerkcumtypist/Jr. Clerk / Bailiff</t>
  </si>
  <si>
    <t>• Education: Graduate, MSCIT
  • Skill (test): GCC English Typing 40 wpm OR Marathi Typing 30 wpm</t>
  </si>
  <si>
    <t>Yes (31-12-20)</t>
  </si>
  <si>
    <t>Clause No. 3
 Those who hold a degree</t>
  </si>
  <si>
    <t>CPR 2014/199/C.R.69/CP-4</t>
  </si>
  <si>
    <t>Sr. Clerk/Sr. Rk/Rk</t>
  </si>
  <si>
    <t>• Education: Graduate, MSCIT
  • Skill (test): GCC English T/Y 40 wpm OR Marathi Typing with a speed not less than 30wpm</t>
  </si>
  <si>
    <t>Clause No. 5
 Those who hold a degree</t>
  </si>
  <si>
    <t>Forest</t>
  </si>
  <si>
    <t>Forest Establishment</t>
  </si>
  <si>
    <t>Forest Veteriry Officer</t>
  </si>
  <si>
    <t>• Education: Degree in Veterinary Science and Animal Husbandry</t>
  </si>
  <si>
    <t>Asstt Conservator of Forest</t>
  </si>
  <si>
    <t>Maharashtra Forest Services</t>
  </si>
  <si>
    <t>• Education: Degree of a statutory university with at least one of the subjects of Botany, Chemistry, Forestry, Geology, Mathematics, Physics, Statistics, Zoology, Horticulture, Animal Subandary and Veteriry Science or a Bachelors degree in Agriculture Engineering</t>
  </si>
  <si>
    <t>Forest Statisticion</t>
  </si>
  <si>
    <t>• Education:
  (i) Master degree or higher degree of any statutory University in Statistics or with Statistics as a special subject; or
  (ii) Bachelors degree of any statutory University, at least in the second class, and a post graduate degree or diploma of any statutory University or of any recognized institution with statistics as a special subject; or
  (iii) Honors degree in statistics of any statutory foreign university or BSc (Economics) degree of the London University with statistics as a special subject; or
  (iv) Master degree in Mathematics with a post graduate degree or Diploma in statistics of any Statutory University or of any recognized institution such as the IARS New Delhi or ISI Culcata; or
  (v) Master degree in Mathematics with a Post Graduate Degree or Diploma of any statutory University or of any recognized institution with statistics as a special subject
  • Experience: Experience of statistical works for not less than five years</t>
  </si>
  <si>
    <t>-</t>
  </si>
  <si>
    <t>Deputy Forest Engineer</t>
  </si>
  <si>
    <t>• Education: Degree in Civil Engineering of a recognized university or institute or any equivalent qualification or a diploma in Civil Engineering of the board of technical examination, Maharashtra State, and thereafter have passed section A and B of associate members examination of institute of Engineering
  • Experience: 1 year</t>
  </si>
  <si>
    <t>Education: Bachelor's Degree in Engineering (Relevant Stream)
 Experience / Additional Skills: Not Required</t>
  </si>
  <si>
    <t>Asstt Director</t>
  </si>
  <si>
    <t>• Education: No</t>
  </si>
  <si>
    <t>Hand Craft Instructor</t>
  </si>
  <si>
    <t>• Education: Any Bachelor's Degree with the main subject in Bamboo Handicraft Design or Industrial Product Design or Furniture Design
  • Experience: 1 year in rural Development and rural employment</t>
  </si>
  <si>
    <t>Asstt. Chemical Analayser</t>
  </si>
  <si>
    <t>• Education: RR yet to be published
  • Experience: RR yet to be published
  • Skill (test): RR yet to be published</t>
  </si>
  <si>
    <t>Asstt Forest Statistics</t>
  </si>
  <si>
    <t>(New Service) Maharashtra Statistical Services</t>
  </si>
  <si>
    <t>• Education: Post Graduate Degree in Statistics, Mathematics, Economics or Commerce of a recognized University</t>
  </si>
  <si>
    <t>Asstt Engineer</t>
  </si>
  <si>
    <t>• Education: Bachelor's Degree</t>
  </si>
  <si>
    <t>Range Forest Officer</t>
  </si>
  <si>
    <t>• Education: Bachelor's degree in Science with any one of the subjects of Botany, Chemistry, Forestry, Geology, Mathematics, Physics, Statistics, Zoology, Horticulture, Agriculture, Computer Application or Computer Science or degree in Engineering in the faculty Agriculture or Chemical or Civil or Computer or Electrical or Eletronic or Mechanical or Environmental Science or Veteriry Science OR a Bachelor's degree with Mathematics other than Science faculty; candidates should have passed the Higher Secondary Certificate Examination in Science faculty.
  • Skill (test): NA
  • Physical Qualification (test): Physical Standards as per RR; 25/16 Km walking test after recommendation from MPSC</t>
  </si>
  <si>
    <t>• Education: Bachelor's - Any Graduate</t>
  </si>
  <si>
    <t>• Education: Diploma in Civil Engineering</t>
  </si>
  <si>
    <t>RTR. 1089/1183/Estt-2
 (Forest dept uses PWD RR for this cadre)</t>
  </si>
  <si>
    <t>Lower Grade Steno</t>
  </si>
  <si>
    <t>• Education: Passed the Secondary School Certificate Examination.
  • Skill (test): Possesses Government Commercial Certificate with Shorthand (speed not less than 100 wpm) and English Typewriting (speed not less than 40 wpm) or Marathi Typewriting (speed not less than 30 wpm). Shorthand Test is required.</t>
  </si>
  <si>
    <t>Higher Grade Steno</t>
  </si>
  <si>
    <t>• Education: Secondary School Certificate Examination
  • Skill (test): Government Commercial Certificate with shorthand speed of not less than 120 w.p.m. and typewriting speed of not less than 40 w.p.m. in English or 30 w.p.m. in Marathi. Shorthand Tes.</t>
  </si>
  <si>
    <t>• Education: Possesses a degree</t>
  </si>
  <si>
    <t>il) possess a degree</t>
  </si>
  <si>
    <t>FST02/09/CR86/F4</t>
  </si>
  <si>
    <t>30.06.2011</t>
  </si>
  <si>
    <t>Library Attendant</t>
  </si>
  <si>
    <t>• Education: No
  • Other Details: Notified RR yet to be published. Draft RR dated 30.9.1976 are being used for recruitment.</t>
  </si>
  <si>
    <t>1) Passed the SSC Examination or any other equivalent examination by Government 
 2) Possess a certificate of Librarianship conducted by the Directorate of Library
 Note: In case of two or more candidate has obtain equal mark preference given to those having experience in computer work with at least 1 year of work in an academic or industrial or Government Library</t>
  </si>
  <si>
    <t>FST-02/25/C.R.34/F-4</t>
  </si>
  <si>
    <t>Draft RR - Jan 2026</t>
  </si>
  <si>
    <t>House Master</t>
  </si>
  <si>
    <t>• Education: Passed S.S.C. Examination with English or its equivalent examination, Junior Primary School Certificate Examination, or Diploma in Education Examination.</t>
  </si>
  <si>
    <t>Physical Drill Trainer</t>
  </si>
  <si>
    <t>No data provided</t>
  </si>
  <si>
    <t>Senior Statistical Asstt</t>
  </si>
  <si>
    <t>• Education:
  i) Master Degree in Mathematics, Economics, Commerce, Agriculture or Statistics; or
  ii) A Bachelors Degree in at least Second Class with Mathematics, Economics, Commerce, Agriculture or Statistics
  • Experience: Statistical work in Forestry Sector (Preference)
  • Preference: Candidates who possess experience of statistical wotk in Forestry Sector</t>
  </si>
  <si>
    <t>1) Master's degree in mathematics, economics, commerce, agriculture or statistics, OR;
 Bachelor's degree in atleast 2nd Class with Mathematics, economics, commerce, agriculture or Statistics as a subject provided
 2) Preference will be given to candidates who possess experience of statistical work in Forestry sector.</t>
  </si>
  <si>
    <t>FST.1282/93787/C.R.266/F4</t>
  </si>
  <si>
    <t>18-08-1988</t>
  </si>
  <si>
    <t>Clerk</t>
  </si>
  <si>
    <t>• Education: Possesses a degree
  • Skill (test): Govt Commercial Certificate or Computer Typing Certificate with a speed of not less than 30 words per minutes in Marathi Typewriting or 40 words per minutes in English Typewriting</t>
  </si>
  <si>
    <t>Forest Guard</t>
  </si>
  <si>
    <t>Forest Guard (NG Technical)</t>
  </si>
  <si>
    <t>• Education: HSSC with Science or Mathematics or Geography or Economics subject</t>
  </si>
  <si>
    <t>1) HSC certificate 
 2) Phyiscal Qualification - 
 Male: 163 cm height; 79 cm chest (deflated) 84 cm (expanded); weight proportionate to height and age as per medical standards
 Female: 150 cm height; weight proportionate to height and age as per medical standards
 3) Must have the following standard of distant and near vision with or without glasses namely -
 Distant Vision
 Better eye: 6/6 or 6/9, Worse Eye: 6/12 or 6/9
 Near Vision Better eye: J.1, Worse eye: J.11
 Relaxation provided to reserved categories as stated in Clause 9 in the RR</t>
  </si>
  <si>
    <t>Drill Teacher</t>
  </si>
  <si>
    <t>• Education: A Bachelor's Degree in Physical Education (B.P.Ed.) from a Statutory University or Any other qualification declared by the Government to be equivalent thereto.
  • Experience: At least one year working in the said position in a government or aided semi-government school or college.
  • Physical Qualification (test): Male Candidate-1500 meters running/walking test (completed within 12 minutes); Female Candidate-800 meters running/walking test (completed within 8 minutes).
  • Preference: Candidates with five years of direct work experience in military service.</t>
  </si>
  <si>
    <t>Contractual</t>
  </si>
  <si>
    <t>Launch Driver</t>
  </si>
  <si>
    <t>To be outsourced</t>
  </si>
  <si>
    <t>Junior Statistical Asstt</t>
  </si>
  <si>
    <t>• Education: Bachelors Degree with Mathematics, Economics, Commerce, Agriculture or Statistics as a subject
  • Experience: Experience of statistical work in Forestry Sector (mentioned as preference)
  • Preference: Experience of statistical work in Forestry Sector</t>
  </si>
  <si>
    <t>1) Bachelor's degree in Mathematics, economics, commerce, agriculture or statistics as a subject.
 2) Preference will be given to candidates who possess experience of statistical work in Forestry sector.</t>
  </si>
  <si>
    <t>Wireless Technician</t>
  </si>
  <si>
    <t>(i) Passed the Secondary School Certificate Examination any
 other equivalent examination declared by the Government
 thereto;
 (ii) Passed any one of the following courses through the
 Maharashtra State Board of Technical Education;
 (a) Diploma in Electronics and Radio Engineering; or
 (b) Diploma in Electronics and Telecommunication
 Engineering; or
 (c) Diploma in Industrial Electronics; or
 (d) Diploma in Computer Engineering; or
 (e) Diploma in Information Technology.
 (III) Experience.-
 (i) He shall possess minimum one year hands-on work
 experience in the field related to the educational qualification
 mentioned above, from a Government recognized or registered
 Institution or in an Industry or a Research and Development
 Institution; or
 (ii) He shall possess a relevant Apprenticeship Training
 Certificate (ATC) of minimum one year</t>
  </si>
  <si>
    <t>00-01-1900</t>
  </si>
  <si>
    <t>Wireless Operator</t>
  </si>
  <si>
    <t>• Education: SSC
  • Skill (test): Possess non-commercial Wireless Operator's licence
  • Preference: Class II operator for Wireless Operator's licence</t>
  </si>
  <si>
    <t>Education: SSC + ITI / Vocational Course from Government recognised institution in relevant trade
 Experience / Preferential Qualification: Not Required</t>
  </si>
  <si>
    <t>Surveyor</t>
  </si>
  <si>
    <t>• Education: Higher Secondary School Certificate Examination
  • Skill (test): Possesses Surveyor Training Course Certificate of a recognized Institution Skill Test conducted by Dept / other agency</t>
  </si>
  <si>
    <t>GAD (Ex Servicemen)</t>
  </si>
  <si>
    <t>Ex Servicemen Establishment</t>
  </si>
  <si>
    <t>Dy Dir/ ZSWO/
  OIC PCTC
District Sainik Welfare Officer</t>
  </si>
  <si>
    <t>Major &amp; above or equivalent in Airforce &amp; Navy</t>
  </si>
  <si>
    <t>Director</t>
  </si>
  <si>
    <t>S25 (78800 - 209200)</t>
  </si>
  <si>
    <t>• Education: Brig/Col or equivalent in Airforce &amp; Navy</t>
  </si>
  <si>
    <t>Steno (Marathi)</t>
  </si>
  <si>
    <t>• Education: Military Service/ if not available, civilian candidate having qualification mentioned in coln 13; SSC Pass
  • Skill (test): English typing 40wpm; Marathi typing 30wpm; short hand 100wpm</t>
  </si>
  <si>
    <t>Not Required</t>
  </si>
  <si>
    <t>Steno (English)</t>
  </si>
  <si>
    <t>• Education: SSC Pass
  • Experience: Military Service/ civilian candidate having qualification mentioned in coln 13
  • Skill (test): English typing 40 wpm &amp; short hand 120wpm</t>
  </si>
  <si>
    <t>Clerk-cum-typist</t>
  </si>
  <si>
    <t>• Education: SSC Pass, MSCIT
  • Experience: Military Service
  • Skill (test): Marathi typing 30 wpm &amp; English typing 40 wpm</t>
  </si>
  <si>
    <t>Welfare Organiser</t>
  </si>
  <si>
    <t>• Education: SSC Pass or equivalent MSCIT
  • Experience: Military Service (Minimum Subedar Rank)</t>
  </si>
  <si>
    <t>Hostel Supdt (Male)</t>
  </si>
  <si>
    <t>• Education: SSC Pass or equivalent MSCIT
  • Experience: 5 years (Minimum Nb Subedar Rank)</t>
  </si>
  <si>
    <t>Hostel Supdt (Female)</t>
  </si>
  <si>
    <t>• Education: SSC Pass or equivalent MSCIT
  • Preference: War Widow/Exam Widow</t>
  </si>
  <si>
    <t>PT Instructor</t>
  </si>
  <si>
    <t>• Education: APTC Certificate
  • Experience: Military Service
  • Skill (test): APTC Certificate
  • Preference: Military Service</t>
  </si>
  <si>
    <t>Drill Instructor</t>
  </si>
  <si>
    <t>• Education: No
  • Skill (test): Military Service Drill instructor certificate issued by Defense Authority</t>
  </si>
  <si>
    <t>Deputation</t>
  </si>
  <si>
    <t>GAD (Govt. Transport, Gov. Secretariat, Sahyadri)</t>
  </si>
  <si>
    <t>Government Transport Service Establishment</t>
  </si>
  <si>
    <t>Controller</t>
  </si>
  <si>
    <t>Office Superintendent / Officer Superintendent</t>
  </si>
  <si>
    <t>• Education: No
  • Experience: 3 years on Head Clerk Post Or 3 years expertise On Same cadre of post in GAD Dept.</t>
  </si>
  <si>
    <t>Assistant Superintendent (Workshops)</t>
  </si>
  <si>
    <t>• Education: No
  • Experience: 3 years on Foreman Post (for promotion) or 3 years expertise on same cadre of post in MT Deptt. (for recruitment)</t>
  </si>
  <si>
    <t>Assistant Accounts Officer / Assistant Accounts Officer</t>
  </si>
  <si>
    <t>• Education: No
  • Skill: Transfer or deputation of a suitable person holding equivalent post in the service of the Government.</t>
  </si>
  <si>
    <t>• Education: Bachelor's degree in Commerce with at least 55 percent marks from a statutory university; OR Master's degree in Commerce from a statutory university; OR Master of Business Administration (MBA) in Finance approved by All India Council for Technical Education; OR passed the final examination of Chartered Accountant; OR passed the final examination of Cost Accounting.
  • Experience: Must have served in the District Technical Service Class-III (Group-C) of Zilla Parishads (Accounting) cadre for not less than 3 years.
  • Skill (test): Selection by nomination from among suitable candidates OR by selecting from among the suitable candidates who have passed the exam.</t>
  </si>
  <si>
    <t>Clerk Cum Typist</t>
  </si>
  <si>
    <t>• Education: Graduate
  • Skill (test): Typing, MSCIT TYPING</t>
  </si>
  <si>
    <t>Registration Clerk / Booking Clerk</t>
  </si>
  <si>
    <t>• Education: 12th Pass, MSCIT
  • Experience: 3 Years in Transport Organization
  • Preference: YES</t>
  </si>
  <si>
    <t>Clause 6(b)
 i) must have passed the Secondary School Certificate Examination
 ii) must have at least 3 years of experience working in Transport Management after holding the above qualification</t>
  </si>
  <si>
    <t>SHAPASE. 1098/(109/95)/28-A</t>
  </si>
  <si>
    <t>28-01-1999</t>
  </si>
  <si>
    <t>Store Assistant</t>
  </si>
  <si>
    <t>• Education: 10th Pass, possesses certificate in store keeping from Government recognized institution
  • Experience: 3 years as Store Assistant in govt. or semigov. institution or organization
  • Preference: YES</t>
  </si>
  <si>
    <t>clause 5
 i)must have passed the Secondary School Certificate Examination
 ii) must have at least 2 years of experience working in Transport Management after holding the above qualification</t>
  </si>
  <si>
    <t>Shapase. 1095/(109/95)/28-A</t>
  </si>
  <si>
    <t>28.01.1999</t>
  </si>
  <si>
    <t>Assistant Mechanic</t>
  </si>
  <si>
    <t>• Education: 10th Pass
  • Skill (test): Motor Mechanic ITI TR Licence YES</t>
  </si>
  <si>
    <t>Clause 6(b)
 i) must have passed the Secondary School Certificate Examination
 experiance 1 year 
 IV)Those who are holders of valid license to drive heavy goods vehicles or passenger vehicles
 V) Have one year of experience in repair and maintenance of vehicles (petrol/diesel) of different makes and models after acquiring the qualifications mentioned in rule 6(b) (two) and (three) above.</t>
  </si>
  <si>
    <t>GTS 1095/(109)/95/28A</t>
  </si>
  <si>
    <t>25.11.1998</t>
  </si>
  <si>
    <t>Electric and airconditioned/</t>
  </si>
  <si>
    <t>• Education: 10th Pass, ITI Auto Electrician Trade
  • Experience: 3 years as Electrician in govt. or semigov. institution or organization</t>
  </si>
  <si>
    <t>1) Must have passed the Secondary School Certificate Examination;
 2) Holds a motor vehicle electrical certificate from an industrial institute (ITI) or National Curriculum Training Vocational Training (NCTVT);
 3) After obtaining the above mentioned qualification, he/she shall have three years of practical experience in motor electrical work in a motor vehicle garage or workshop;
 (five) Successfully passed the ITI Auto-electrician trade test
 (vi) Must be a holder of a valid license to drive a motor vehicle.</t>
  </si>
  <si>
    <t>28.1.1999</t>
  </si>
  <si>
    <t>Carpentercumbody repairer</t>
  </si>
  <si>
    <t>• Education: 10th Pass, ITI Carpenter
  • Experience: 3 years experience of carpenter post in govt. or semigov. institution or organization
  • Preference: YES</t>
  </si>
  <si>
    <t>• Education: 10th Pass, ITI Carpenter
 Experience: 2 years experience of carpenter p</t>
  </si>
  <si>
    <t>5.10.1998</t>
  </si>
  <si>
    <t>Assistant Tinsmith</t>
  </si>
  <si>
    <t>• Education: 10th Pass, ITI
  • Experience: 3 years as asst tinsmith post in govt. or semigov. institution or organization</t>
  </si>
  <si>
    <t>• Experience: 3 years experience of carpenter post in govt. or semigov. institution or organization</t>
  </si>
  <si>
    <t>GTS1095/(109/95)/28A</t>
  </si>
  <si>
    <t>Time Keeper</t>
  </si>
  <si>
    <t>• Education: Any Degree
  •Skill: Marathi Typing 30 wpm, English typing 40 wpm</t>
  </si>
  <si>
    <t>Bhandarpal/ Store Keeper</t>
  </si>
  <si>
    <t>• Education: 10th Pass, possesses certificate in store keeping from Government recognized institution
  • Experience: 3 years work on Store Assistant Post
  • Preference: Promotion Post</t>
  </si>
  <si>
    <t>(Nomination to be taken up only if Promotion does not provide good canddiates)
 1) SSC certificate
 2) Storekeeper-specific certification from a govt. recognised institution
 3) 3 years of practical experience after the required education qualifiation
 4) Skill test (ITI)</t>
  </si>
  <si>
    <t>Head Mechanic / Head Mechanic</t>
  </si>
  <si>
    <t>• Education: 10th Pass, Motor Mechanic ITI
  • Skill (test): TR Licence YES</t>
  </si>
  <si>
    <t>1) SSC
 2) ITI in motor-mechanic/NCVT certificate
 3) License for heavy vehicle driving (heavy goods vehicle or tourist vehicle driving license)
 4) 3 years of experience as a auto-repairing mechanic</t>
  </si>
  <si>
    <t>GST 1095/(109)/95/28A</t>
  </si>
  <si>
    <t>Joiner</t>
  </si>
  <si>
    <t>• Education: 10th Pass
  • Experience: 3 years
  • Skill (test): ITI Fitter</t>
  </si>
  <si>
    <t>1) SSC
 2) ITI Certificate (Joiner motor vehicle) + 2 years experience in the same domain
 3) Sufficient knowledge of repairing and replacing locks and hinges of motor vehicle doors, trunks and trunk locks, all types of channels, etc.</t>
  </si>
  <si>
    <t>Promotion</t>
  </si>
  <si>
    <t>Tinsmith</t>
  </si>
  <si>
    <t>Technical Staff (ITI)</t>
  </si>
  <si>
    <t>• Education: 10TH Pass, ITI Promotion Post
  • Experience: 3 years work on Assistant Tinsmith Post
  • Preference: YES</t>
  </si>
  <si>
    <t>1) SSC
 2) Motor Vehicle Trade Certificate from ITI in Tinsmith/Metal Trade OR; NCVT Certificate in steel metal trade</t>
  </si>
  <si>
    <t>GS.T 1095/(109/95)/28-A</t>
  </si>
  <si>
    <t>Upholster</t>
  </si>
  <si>
    <t>• Education: 10th Pass, possesses certificate in Cutting and Sewing trade course from Government recognized institution
  • Experience: 3 years Practical experience in Cutting and Sewing work
  • Skill (test): YES</t>
  </si>
  <si>
    <t>Governor's Secretariat Establishment</t>
  </si>
  <si>
    <t>Officer on special duty</t>
  </si>
  <si>
    <t>• Education: Degree in Jourlism and Mass Media
  • Experience: 5 years Jourlism and Mass Media</t>
  </si>
  <si>
    <t>Mode of Recruitment: Deputation</t>
  </si>
  <si>
    <t>Not required</t>
  </si>
  <si>
    <t>Assistant Section Officer (Secretariet)</t>
  </si>
  <si>
    <t>• Education: Degree
  • Experience: 3 years</t>
  </si>
  <si>
    <t>• Education: Degree
  • Experience: Not less than 3 years service in clerical and accounts cadre in govt, semi-govt, or local or corporate or private sector
  • Skill (test): Govt. Commercial Certificate - Typing Marathi 30/ English 40 Typing</t>
  </si>
  <si>
    <t>RAJ1008/542/CR-287/08/20A</t>
  </si>
  <si>
    <t>24.11.2010</t>
  </si>
  <si>
    <t>Assistant Section Officer Controller)</t>
  </si>
  <si>
    <t>• Education: Degree
  • Experience: Not less than 3 years regular service in that post
  • Skill (test): Typing Marathi 30/ English 40 Typing</t>
  </si>
  <si>
    <t>24-11-2010</t>
  </si>
  <si>
    <t>• Education: No
  • Skill (test): SSC Steno</t>
  </si>
  <si>
    <t>SSC Steno</t>
  </si>
  <si>
    <t>ClerkTypist (Secretariet)</t>
  </si>
  <si>
    <t>• Education: SSC</t>
  </si>
  <si>
    <t>ClerkTypist (Controller)</t>
  </si>
  <si>
    <t>• Education: SSC
  • Skill (test): Typing Marathi 30/ English 40 Typing</t>
  </si>
  <si>
    <t>Telephone Operator (NG Technical)</t>
  </si>
  <si>
    <t>• Education: SSC
 preference to candidates with experience in telephone operating</t>
  </si>
  <si>
    <t>RTR. 1080/50/XII</t>
  </si>
  <si>
    <t>StenoTypist Secretariet)</t>
  </si>
  <si>
    <t>• Education: SSC Steno
  • Skill (test): SSC Steno</t>
  </si>
  <si>
    <t>StenoTypist (Controller)</t>
  </si>
  <si>
    <t>• Education: SSC Marathi
  • Skill (test): Shorthand Speed of 80 words per minute (Marathi), Typing speed Marathi 30/English 40</t>
  </si>
  <si>
    <t>Assistant Garden Supervisor</t>
  </si>
  <si>
    <t>S9 (26400 - 83600)</t>
  </si>
  <si>
    <t>Field Asistant (Sericulture) / Demonstrator (Sericulture) / Assistant Garden Supervisor / Garden Supervisor (NG Technical)</t>
  </si>
  <si>
    <t>• Education: Degree in Agriculture
  • Experience: 3 years</t>
  </si>
  <si>
    <t>Education: SSC + Diploma in Agriculture from a Government recognised institution
  Experience / Additional Skills / Preferential Qualification: Not Required</t>
  </si>
  <si>
    <t>(i)posses a degree in Agriculture:
 (ii) possess experience for a period of not less than three years in the management of a well known gardens or park or a group of small parks and gardens</t>
  </si>
  <si>
    <t>RAJ-1006/659/CR-17/2006/20-A</t>
  </si>
  <si>
    <t>Housekeeper</t>
  </si>
  <si>
    <t>• Education: Degree in Hotel Management</t>
  </si>
  <si>
    <t>Swimming CoachcumLife 
  Guard</t>
  </si>
  <si>
    <t>• Education: SSC
  • Skill (test): MASS certified swimming coach</t>
  </si>
  <si>
    <t>Sahyadri Guest House Establishment</t>
  </si>
  <si>
    <t>ClerkTypist</t>
  </si>
  <si>
    <t>• Education: Degree
  • Skill (test): GCC/TBC Marathi 30 or English 40</t>
  </si>
  <si>
    <t>Head Butler</t>
  </si>
  <si>
    <t>• Education: HSC Diploma/Degree in catering service or house keeping or Hotel Magement
  • Experience: 2 years working experience in Govt/Semi Govt/Cooperative Organization/State Guest House or 3/4/5 Star hotels</t>
  </si>
  <si>
    <t>GAD (Information and Public Relations)</t>
  </si>
  <si>
    <t>Information and Public Relations Establishment</t>
  </si>
  <si>
    <t>Research Officer</t>
  </si>
  <si>
    <t>• Education: Graduation
  • Experience: 3 years
  • Skill (test): Journalism</t>
  </si>
  <si>
    <t>Proposed to be dying cadre after consultation from department. This post will be merged into the Senior Assistant Director (Information) cadre.</t>
  </si>
  <si>
    <t>District Information Officer (36 Posts) / Public Relations Officer (1 Post) / Senior Deputy Editor / (5 Posts) / Senior Assistant Director (Information) (7 Posts)</t>
  </si>
  <si>
    <t>(New Service) Maharashtra Information Services</t>
  </si>
  <si>
    <t>• Education: Graduation
  • Experience: 5 Years
  • Skill (test): Journalism</t>
  </si>
  <si>
    <t>Education: Bachelor's Degree in any stream + Diploma / Degree in Journalism
 Experience / Additional Skills / Preferential Qualification: Not Required</t>
  </si>
  <si>
    <t>Deputy Director (Exhibitions)</t>
  </si>
  <si>
    <t>• Education: Graduation
  • Experience: 5 Years Special Exhibition</t>
  </si>
  <si>
    <t>Proposed to be dying cadre after consultation from department. This post will be merged into the Deputy Director (Information) cadre.</t>
  </si>
  <si>
    <t>Deputy Director (Information)</t>
  </si>
  <si>
    <t>Director (Information)</t>
  </si>
  <si>
    <t>• Education: Graduation
  • Experience: 7 Years
  • Skill (test): Journalism</t>
  </si>
  <si>
    <t>Assistant Director (Information) (31 Posts), Information Officer (23 Posts), Auditor, Books &amp; Publications, Mumbai (1 Post)</t>
  </si>
  <si>
    <t>• Education: Graduation in Jurlisum
  • Experience: 3 Years</t>
  </si>
  <si>
    <t>Librarian Cum Reference List Assistant</t>
  </si>
  <si>
    <t>• Education: Graduation
  • Experience: 3 Years
  • Skill (test): library</t>
  </si>
  <si>
    <t>1) Passed Secondary School Certificate Examination</t>
  </si>
  <si>
    <t>DOP-1188/228/34-A</t>
  </si>
  <si>
    <t>23-01-1989</t>
  </si>
  <si>
    <t>Assistant T.V. Cameraman</t>
  </si>
  <si>
    <t>Photography (NG Technical)</t>
  </si>
  <si>
    <t>• Education: Graduation
  • Experience: 3 Years
  • Skill: Photography</t>
  </si>
  <si>
    <t>Education: Bachelor's Degree in any stream + Certificate in Photography
  Experience / Additional Skills: Not Required</t>
  </si>
  <si>
    <t>Atleast 3 years of experience as a cameraman
 preference shall be given to candidates with experience in any film-producing organisation</t>
  </si>
  <si>
    <t>4762/5/63662-POLL</t>
  </si>
  <si>
    <t>25-04-1958</t>
  </si>
  <si>
    <t>Assistant Television Picture Editor</t>
  </si>
  <si>
    <t>Education: Bachelor's Degree in any stream + Certificate in Photography
 Experience / Additional Skills: Not Required</t>
  </si>
  <si>
    <t>Artist</t>
  </si>
  <si>
    <t>• Education: Graduation
  • Experience: 3 Years
  • Skill (test): Graphic designer</t>
  </si>
  <si>
    <t>Photographer</t>
  </si>
  <si>
    <t>S12 (32000 - 101600)</t>
  </si>
  <si>
    <t>• Education: Graduation
  • Experience: 3 Years
  • Skill (test): Photography</t>
  </si>
  <si>
    <t>1) Degree in any discipline
 2) Must hold a degree in photography, visual arts, or related field (BFA, BA in Photography, etc.) from a recognized college, fine arts college, or a recognized university affiliated to the Central or State Government.</t>
  </si>
  <si>
    <t>Translator</t>
  </si>
  <si>
    <t>Reporter/ Deputy Editor (NG Admin)</t>
  </si>
  <si>
    <t>• Education: Graduation, Jurlisum
  • Experience: 3 Years</t>
  </si>
  <si>
    <t>• Education: Graduation
  • Experience: 3 Years</t>
  </si>
  <si>
    <t>1) Degree in Commerce
 2) atleast 3 years of experience of office administration, in any govt dept or coporation, local authority or Board estd. by govt.</t>
  </si>
  <si>
    <t>DOP-1188/(24)/34-A(III)</t>
  </si>
  <si>
    <t>19.03.1991</t>
  </si>
  <si>
    <t>Exhibition Assistant</t>
  </si>
  <si>
    <t>Deputy Librarian 1 (Alternate)</t>
  </si>
  <si>
    <t>• Education: Bachelor's Library
  • Experience: 3 years</t>
  </si>
  <si>
    <t>1) posses a degree in any faculty 
 2) posses a degree or diploma in Library science and
 3) have 3 years experience as Librarian in the reputed Library gained after acquiring the qualification mentioned in sub clause (ii) above</t>
  </si>
  <si>
    <t>Librarian, Mumbai 1 (Alternate)</t>
  </si>
  <si>
    <t>Education: Bachelor's Degree in any stream + Diploma/ Degree in Library Science
 Experience / Additional Skills / Preferential Qualification: Not Required</t>
  </si>
  <si>
    <t>Stenographer (HG)</t>
  </si>
  <si>
    <t>• Education: Graduation
  • Experience: 3 Years
  • Skill (test): STANO IN 100WPM</t>
  </si>
  <si>
    <t>TV Film Editor</t>
  </si>
  <si>
    <t>• Education: Graduation
  • Experience: 1 Years
  • Skill (test): Photography</t>
  </si>
  <si>
    <t>• Education: Graduation, DIPLOMA IN RADIO
  • Experience: 3 Years</t>
  </si>
  <si>
    <t>Sub Editor</t>
  </si>
  <si>
    <t>• Education: Graduation
  • Experience: 3 Years
  • Skill: Journalism</t>
  </si>
  <si>
    <t>Education: Bachelor's Degree in any stream + Diploma / Degree in Journalism
  Experience / Additional Skills / Preferential Qualification: Not Required</t>
  </si>
  <si>
    <t>1) Graduation degree; Preference will be given to Diploma holders in Journalism
 2) 1 year experience in news coverage/reporting, or Public Relation, newspaper publishing agency, or editor's work in govt or semi-govt industries</t>
  </si>
  <si>
    <t>IPR-1792/724/CR80-92/34-A</t>
  </si>
  <si>
    <t>19-08-1997</t>
  </si>
  <si>
    <t>T.V. Cameraman</t>
  </si>
  <si>
    <t>1) Passed the Secondary School Certificate Examination,
 2) Not less than 5 years of experience as a mobile photographer in making informative/documentary films, especially news films with an educational and cultural background, in an institution related to television/films is required.
 3) Special preference will be given to candidates holding a Diploma in "Cinema Photography" or equivalent or a Diploma in Electronics from Film and Television Institute of India, Pune.</t>
  </si>
  <si>
    <t>DOP-118(25)/34-A</t>
  </si>
  <si>
    <t>13-10-1997</t>
  </si>
  <si>
    <t>Camera Assistant</t>
  </si>
  <si>
    <t>S3 (16600 - 52400)</t>
  </si>
  <si>
    <t>• Education: SSC
  • Experience: 1 Years</t>
  </si>
  <si>
    <t>Clerktypist</t>
  </si>
  <si>
    <t>• Education: Graduation
  • Experience: 3 Years As Per Rules GAD</t>
  </si>
  <si>
    <t>Audio Visual Assistant</t>
  </si>
  <si>
    <t>• Education: Graduation FILM DIPLOMA</t>
  </si>
  <si>
    <t>Assistant Librarian</t>
  </si>
  <si>
    <t>• Education: Graduation
  • Experience: 1 library</t>
  </si>
  <si>
    <t>1) Degree from a recognised university 
 2) Degree in Library Science or equivalent subject</t>
  </si>
  <si>
    <t>Librarian 1 (Alternate)</t>
  </si>
  <si>
    <t>• Education: Bachelor's Library
  • Experience: 1 year
  • Skill (test): NA</t>
  </si>
  <si>
    <t>Calligraphist</t>
  </si>
  <si>
    <t>• Education: Graduation
  • Skill (test): URDU TIYPIG</t>
  </si>
  <si>
    <t>Sub audiovisual compiler</t>
  </si>
  <si>
    <t>• Education: Graduation, FILM DIPLOMA
  • Experience: 1 Years</t>
  </si>
  <si>
    <t>• Education: Graduation
  • Experience: 3 Years
  • Skill (test): STANO IN 80 WPM</t>
  </si>
  <si>
    <t>Senior Mechanical</t>
  </si>
  <si>
    <t>• Education: HSC DIPLOMA</t>
  </si>
  <si>
    <t>GAD (Mantralaya Canteen)</t>
  </si>
  <si>
    <t>Mantralaya Canteen Establishment</t>
  </si>
  <si>
    <t>• Education: Graduation
  • Experience: 3 years
  • Skill (test): MSCIT/Typing</t>
  </si>
  <si>
    <t>Not Applicable</t>
  </si>
  <si>
    <t>GAD (Proper)</t>
  </si>
  <si>
    <t>GAD Proper Establishment</t>
  </si>
  <si>
    <t>Section Officer (Direct recruitment)</t>
  </si>
  <si>
    <t>• Education: Degree or other equivalent Qualification</t>
  </si>
  <si>
    <t>• Education: SSC + Government Commerce Certificate
  • Skill (test): Shorthand Certificate 100 (Marathi) W.P.M; Typing Certificate Marathi 30 W.P.M Or English 40 W.P.M; Marathi Typing certificate</t>
  </si>
  <si>
    <t>Assistant Section Officer</t>
  </si>
  <si>
    <t>• Education: Graduation</t>
  </si>
  <si>
    <t>ASC. 1513/C.R.89/14-A</t>
  </si>
  <si>
    <t>29-05-2018</t>
  </si>
  <si>
    <t>• Education: SSC + Government Commerce Certificate
  • Skill (test): Shorthand Certificate 120 (Marathi) W.P.M, Typing Certificate Marathi 30 W.P.M Or English 40 W.P.M, Marathi Typing certificate</t>
  </si>
  <si>
    <t>• Education: Graduation
  • Skill (test): Typing Certificate Marathi 30 W.P.M Or English 40 W.P.M, Marathi Typing certificate</t>
  </si>
  <si>
    <t>• Education: SSC + Government Commerce Certificate
  • Skill (test): Shorthand Certificate 80 (Marathi) W.P.M, Typing Certificate Marathi 30 W.P.M Or English 40 W.P.M, Marathi Typing certificate</t>
  </si>
  <si>
    <t>Higher &amp; Technical Education</t>
  </si>
  <si>
    <t>Art Directorate Establishment</t>
  </si>
  <si>
    <t>Assistant Professor</t>
  </si>
  <si>
    <t>AL 10 (57,700 - 1,82,400)</t>
  </si>
  <si>
    <t>(New Service) Maharashtra Higher Education (Lecturer / Professor / Associate Professor) Services</t>
  </si>
  <si>
    <t>• Education: Bachelor’s and Master’s Degree in the relevant branch with First Class or equivalent in any one of the two degrees.
  • Experience: 2 Years</t>
  </si>
  <si>
    <t>Head of Department</t>
  </si>
  <si>
    <t>AL 13A (1,31,400 - 2,17,100)</t>
  </si>
  <si>
    <t>(New Service) Maharashtra Higher Education (Principal / HoD) Services</t>
  </si>
  <si>
    <t>• Education: Ph.D. in relevant field and First class at Bachelor’s or Master’s level OR Bachelor’s and Master’s Degree in relevant discipline OR MFA.
  • Experience: Minimum of 12 experience in Teaching / Research / Industry, out of which at least 2 experience shall be post Ph.D. experience minimum at the level of Lecturer (Selection Grade-I) OR minimum of 15 experience in Teaching / Research / Industry, out of which at least 3 experience shall be at the level of Lecturer (Selection Grade-II). Ph.D. with 12 experience OR MFA with 15 experience.
  • Skill (test): NA</t>
  </si>
  <si>
    <t>Mode of Recruitment: Internal Promotion (Not accepted)</t>
  </si>
  <si>
    <t>Associate Professor</t>
  </si>
  <si>
    <t>• Education: Ph.D. degree in the relevant field and First class or equivalent at either Bachelor’s or Master’s level in relevant branch.
  • Experience: 8 years
  • Skill (test): At least total 6 research publications in SCI Journals / UGC /AICTE approved list of Journals.
  • Preference: NA</t>
  </si>
  <si>
    <t>Professor</t>
  </si>
  <si>
    <t>AL 14 (1,44,200 - 2,05,500)</t>
  </si>
  <si>
    <t>• Education: Ph.D. degree in relevant field and First class or equivalent at either Bachelor’s or Master’s level in the relevant branch.
  • Experience: 10 years
  • Skill (test): NA</t>
  </si>
  <si>
    <t>Lecturer</t>
  </si>
  <si>
    <t>AL 9A (56,100 - 1,77,500)</t>
  </si>
  <si>
    <t>• Education: Bachelor’s degree in appropriate discipline of Fine Arts (Applied Arts, Painting and Sculpture) or equivalent with First Class or equivalent.</t>
  </si>
  <si>
    <t>Director of Art</t>
  </si>
  <si>
    <t>S27 (118500 - 214100)</t>
  </si>
  <si>
    <t>• Education: MFA 1ST CLASS in Relevant Branch
  • Experience: 10 Years</t>
  </si>
  <si>
    <t>Assistant Inspector of Drawing and Crafts</t>
  </si>
  <si>
    <t>• Education: G.D.Art or Degree Relevant Branch And Art Masters certificate or diploma at least in the second class, awarded by Government
  • Experience: 5 Years</t>
  </si>
  <si>
    <t>• Education: Degree in Second Class
  • Experience: 5 Years</t>
  </si>
  <si>
    <t>Foreman</t>
  </si>
  <si>
    <t>• Education: SSC
  • Experience: 10 Years of All types of work in the bronze casting Foundry 10 Years</t>
  </si>
  <si>
    <t>• Education: Degree in Arts, Science, Law or Commerce of a recognised University; and a degree or diploma in Library Science of a recognised University
  • Experience: 5 Years</t>
  </si>
  <si>
    <t>• Education: Diploma in Library Science
  • Experience: 1</t>
  </si>
  <si>
    <t>1) SSC 
 2) Certificate in Library Science by the Bombay Library Association or its equivalent from any other Association recognised by the state govt.
 3) 1 year experience in a leading library</t>
  </si>
  <si>
    <t>JAA 1768/64761-Q</t>
  </si>
  <si>
    <t>Foundry Assistant</t>
  </si>
  <si>
    <t>• Education: 7th class
  • Preference: Shall be Given to Candidates who have worked in Laboratories, Drawing Offices</t>
  </si>
  <si>
    <t>Technical Assistant
  (Ceramics)</t>
  </si>
  <si>
    <t>• Education: SSC
  • Experience: Experience in production supervision and Teaching of Ceramics bodies and Glazes, over glaze, Decoration, mould making, casting and throwing on potters wheel, firing techniques</t>
  </si>
  <si>
    <t>Technical Assistant (Drawing and Painting)</t>
  </si>
  <si>
    <t>• Education: SSC
  • Experience: Production supervision and Teaching of Ceramics bodies and Glazes, over glaze, Decoration, mould making, casting and throwing on potters wheel, firing techniques</t>
  </si>
  <si>
    <t>Stenographer (L.G.)</t>
  </si>
  <si>
    <t>• Education: 10th pass
  • Experience: 0
  • Skill (test): Marathi typing 30 w.p.m, Short hand 100 w.p.m
  • Preference: NA</t>
  </si>
  <si>
    <t>Clerk-Typist</t>
  </si>
  <si>
    <t>• Education: Degree
  • Experience: 0
  • Skill (test): Marathi Typing 40 w.p.m.
  • Preference: NA</t>
  </si>
  <si>
    <t>Store keeper</t>
  </si>
  <si>
    <t>• Education: Degree
  • Skill (test): Marathi Typing 40 w.p.m.</t>
  </si>
  <si>
    <t>1) Degree in Arts,or Science, or Commerce or Law</t>
  </si>
  <si>
    <t>ADR 1175/23173/XXXIV</t>
  </si>
  <si>
    <t>Machine Attendant</t>
  </si>
  <si>
    <t>• Education: No
  • Skill (test): Sufficient knowledge of machines to carry out the duties satisfactorily</t>
  </si>
  <si>
    <t>Gas Electric Welder</t>
  </si>
  <si>
    <t>• Education: Diploma / certificate in gas and electric welding awarded by I.T.I. or equivalent</t>
  </si>
  <si>
    <t>Potter-cum-Attendant</t>
  </si>
  <si>
    <t>Noting Assistant</t>
  </si>
  <si>
    <t>• Education: Degree in Arts, Science, Commerce or Law of a recognised University</t>
  </si>
  <si>
    <t>Noting Assistant / Computer Operator</t>
  </si>
  <si>
    <t>Higher Education Establishment</t>
  </si>
  <si>
    <t>• Education: Post Graduation with 55% mark &amp; SET/NET &amp; Ph.D</t>
  </si>
  <si>
    <t>Physical Education Director</t>
  </si>
  <si>
    <t>Librarian, Group-A</t>
  </si>
  <si>
    <t>• Education: Post Graduation with 55% mark &amp; SET/NET &amp; Ph.D
  (The '0' likely refers to years of experience, but since years is not explicitly mentioned, and the data is part of the skill column, it will be interpreted as 'No' unless it clearly states '0 years of experience')
  • Skill (test): SET/NET, Ph.D
  (The 'NA' in the text implies not applicable for the preference, so I will write No)</t>
  </si>
  <si>
    <t>• Education: Post Graduation with 55% mark &amp; SET/NET &amp; Ph.D
  • Experience: 8 Years</t>
  </si>
  <si>
    <t>Principal / Director</t>
  </si>
  <si>
    <t>• Education: Ph.D
  • Experience: 15 years of Professor / Associate professor</t>
  </si>
  <si>
    <t>• Education: Post Graduation with 55% mark &amp; SET/NET &amp; Ph.D
  • Experience: 10 Years</t>
  </si>
  <si>
    <t>Administrative Officer</t>
  </si>
  <si>
    <t>• Education: Post Graduation with 2nd Class
  • Experience: 7 Years</t>
  </si>
  <si>
    <t>Joint Director of Higher Education</t>
  </si>
  <si>
    <t>• Education: Ph.D
  • Experience: 5 years
  • Skill (test): NA</t>
  </si>
  <si>
    <t>Director of Higher Education</t>
  </si>
  <si>
    <t>S29 (131100 - 216600)</t>
  </si>
  <si>
    <t>• Education: Ph.D
  • Experience: 0
  • Skill (test): NA</t>
  </si>
  <si>
    <t>Superintendent</t>
  </si>
  <si>
    <t>• Education: Graduation
  • Experience: 5 years
  • Skill (test): NA</t>
  </si>
  <si>
    <t>12 posts</t>
  </si>
  <si>
    <t>Junior Lecturer</t>
  </si>
  <si>
    <t>• Education: Post Graduation with 2nd Class &amp; Bed</t>
  </si>
  <si>
    <t>Personal Assistant (PA)</t>
  </si>
  <si>
    <t>• Education: 10th Class
  • Skill (test): Short Hand Typing 120wpm, English Typing 40wpm, Marathi Typing 30wpm</t>
  </si>
  <si>
    <t>• Education: Graduation, Diploma in Librarianship</t>
  </si>
  <si>
    <t>Not required (singular post at div level)</t>
  </si>
  <si>
    <t>1) Degree in any discipline
 2) Diploma in Library Science</t>
  </si>
  <si>
    <t>Librarian Class 3</t>
  </si>
  <si>
    <t>• Education: i)Graduation. ii)Have passed a diploma in Librarianship</t>
  </si>
  <si>
    <t>BES 2366/D-99598</t>
  </si>
  <si>
    <t>Storekeeper</t>
  </si>
  <si>
    <t>• Education: Possess the S.S.C. or its equivalent
  • Experience: 0
  • Preference: A candidate possessing good qualifications and or experience</t>
  </si>
  <si>
    <t>1) SSC; preference to Grdauate Degree holders</t>
  </si>
  <si>
    <t>Research assistant</t>
  </si>
  <si>
    <t>• Education: Possess at least a degree in second Class in Science with Mathematics/Physics/Chemistry/Statistics as principal subject or a degree in Agriculture of a recognized University.</t>
  </si>
  <si>
    <t>Librarian cum Warden</t>
  </si>
  <si>
    <t>1) Graduation in any discipline or library science
 2) Master's in Library and Information Science</t>
  </si>
  <si>
    <t>Draft RR: SEPRANI-2025/C.R.111/MASHI-1</t>
  </si>
  <si>
    <t>Draft RR - September 2025</t>
  </si>
  <si>
    <t>• Education: SSC
  • Skill (test): Shorthand 100 words per minute, Marathi typing 30wpm, or English typing 40wpm</t>
  </si>
  <si>
    <t>• Education: SSC
  • Experience: 0
  • Skill (test): i) Shorthand 120 words per minute, ii) Marathi typing 30wpm or iii) English typing 40wpm</t>
  </si>
  <si>
    <t>• Education: Graduation
  • Skill (test): i) Marathi typing 30wpm or ii)English typing 40wpm iii)MSCIT</t>
  </si>
  <si>
    <t>Tabala Playar</t>
  </si>
  <si>
    <t>• Education: No
  • Experience: Sufficient experience in the art. Age limit may be relaxed for good experience, knowledge of handling instruments and articles.
  • Preference: Preference shall be given to candidates who hold a certificate of proficiency.</t>
  </si>
  <si>
    <t>3 posts</t>
  </si>
  <si>
    <t>Instrument Playar</t>
  </si>
  <si>
    <t>• Education: No
  • Experience: Sufficient experience in the art. Age limit may be relaxed for candidates with good experience knowledge of handling instruments and articles.
  • Preference: Shall be given to candidates who hold a certificate of proficiency.</t>
  </si>
  <si>
    <t>Music Assistant</t>
  </si>
  <si>
    <t>R.R.Not available</t>
  </si>
  <si>
    <t>Harmonium player</t>
  </si>
  <si>
    <t>Museum Assistant</t>
  </si>
  <si>
    <t>• Education: SSC Examination or equivalent with Geography as one of the optional subject
  • Skill (test): knowledge of handling instruments and articles</t>
  </si>
  <si>
    <t>Telephone operator</t>
  </si>
  <si>
    <t>• Education: No
  • Experience: Training and experience in Telephone Operating (Preference)
  • Preference: Possessing training and experience in Telephone Operating; Possessing pleasing manners and agreeable voice (in the opinion of the selecting Authority)</t>
  </si>
  <si>
    <t>laboratory assistant</t>
  </si>
  <si>
    <t>• Education: SSC
  • Experience: Some Practical experience of Laboratory work</t>
  </si>
  <si>
    <t>Education: SSC
  Experience: Some Practical experience of Laboratory work</t>
  </si>
  <si>
    <t>10/10/1968
 Stamp of 17/09/1971
 mentioned in the rr copy</t>
  </si>
  <si>
    <t>• Education: SSC
  • Experience: 0
  • Skill (test): Shorthand 80 words per minute, Marathi typing 30 wpm, English typing 40 wpm</t>
  </si>
  <si>
    <t>Library Establishment</t>
  </si>
  <si>
    <t>• Education: Master Degree in Commerce or Law of any statutory university / Degree or Diploma in Library science
  • Experience: Practical working experience not less than 10 years &amp; Administrative Experience 5 years in any Large Library</t>
  </si>
  <si>
    <t>Assistant Director of Libraries /District Library Officer</t>
  </si>
  <si>
    <t>• Education: Hold a Degree in Arts, Science, Commerce, or Law of any statutory university/Degree or Diploma in Library science
  • Experience: Practical working experience in Library for not less than 3 years; administrative experience
  • Skill (test): Knowledge of Accounts</t>
  </si>
  <si>
    <t>Library Inspector/
  Technical Assistant/
  Distrcit Librarian/ Distribution Assistant</t>
  </si>
  <si>
    <t>• Education: Possess a degree in Science or Agriculture of a recognised University or any other equivalent qualification.</t>
  </si>
  <si>
    <t>1) Bachelor's degree in Arts, science, Commerce or Law;
 2) Diploma in Library science
 3) 3 years experience of working in a Library
 4) Preference will be given to candidates with a degree in honors or degree in 1st or 2nd class; and having administrative experience</t>
  </si>
  <si>
    <t>SLS 1174/96(297)/XVIII</t>
  </si>
  <si>
    <t>30-08-1980</t>
  </si>
  <si>
    <t>Stenographer (Lowar grade)</t>
  </si>
  <si>
    <t>• Education: Passed secondary school certificate exam or equivalent.
  • Skill (test): Government commercial certificate for shorthand (100 wpm) and typing (Marathi 30 wpm/English 40 wpm).</t>
  </si>
  <si>
    <t>Junior Clerk/Clerk-cum-Typist</t>
  </si>
  <si>
    <t>• Education: Possess a degree and government commercial certificate or computer typing certificate.
  • Skill (test): Marathi typewriting speed of not less than 30 words per minute or English typewriting speed of not less than 40 words per minute.</t>
  </si>
  <si>
    <t>Given for 7 posts</t>
  </si>
  <si>
    <t>Issue Assistant</t>
  </si>
  <si>
    <t>• Education: Secondary school certificate exam or equivalent.
  • Skill (test): Junior Diploma in Library Science (Library Training Certificate)</t>
  </si>
  <si>
    <t>• Education: Secondary school certificate exam or equivalent.
  • Skill (test): Junior Diploma in Library Science from Nagpur University or equivalent institute (Library Training Certificate)</t>
  </si>
  <si>
    <t>SLS 1273/5336-XVIII</t>
  </si>
  <si>
    <t>• Education: Bachelor's Degree in Arts, Science, Commerce, or Law of any statutory university.
  • Experience: One year of clerical experience gained after acquiring the qualification mentioned, in government, semi-government, or private establishment.
  • Preference: NA</t>
  </si>
  <si>
    <t>Education: Bachelor's Degree in Arts, Science, Commerce, or Law of any statutory university.
 Experience: One year of clerical experience gained after acquiring the qualification mentioned, in government, semi-government, or private establishment.
  • Preference: NA</t>
  </si>
  <si>
    <t>SIS 1272/100164/XVIII</t>
  </si>
  <si>
    <t>Technical Education Establishment</t>
  </si>
  <si>
    <t>Assistant Professor, Govt. College of Engineering</t>
  </si>
  <si>
    <t>• Education: Degree in Engineering, Masters and phD</t>
  </si>
  <si>
    <t>121-Interview</t>
  </si>
  <si>
    <t>Assistant Professor, Government Colleges of Pharmacy</t>
  </si>
  <si>
    <t>• Education: Masters degree in pharmacy and phD</t>
  </si>
  <si>
    <t>6 interview</t>
  </si>
  <si>
    <t>Head of Department, Government Polytechnics and Similar Diploma Institutes</t>
  </si>
  <si>
    <t>• Education: Degree in Engineering, Masters and phD
  • Experience: 12 years out of which 3 years shall be post Phd. Expe. and 2 years of experience not below the level of HOD</t>
  </si>
  <si>
    <t>Associate Professor, Govt. College of Engineering</t>
  </si>
  <si>
    <t>• Education: Degree in Engineering, Masters and phD
  • Experience: 8 years out of which at least 2 years at associate prof. level</t>
  </si>
  <si>
    <t>115 Interview</t>
  </si>
  <si>
    <t>Associate Professor, Government Colleges of Pharmacy</t>
  </si>
  <si>
    <t>• Education: Masters degree in pharmacy and PhD
  • Experience: 8 years out of which at least 3 years at associate prof. level</t>
  </si>
  <si>
    <t>5 interview</t>
  </si>
  <si>
    <t>Principal, Govt. Colleges of Engineering</t>
  </si>
  <si>
    <t>• Education: Degree in Engineering, Masters and phD
  • Experience: 15 years out of which at least 3 years at associate prof. level</t>
  </si>
  <si>
    <t>Principal, Government Colleges of Pharmacy</t>
  </si>
  <si>
    <t>• Education: Masters degree in pharmacy and phD
  • Experience: 15 years out of which at least 3 years at associate prof. level</t>
  </si>
  <si>
    <t>3 Interview</t>
  </si>
  <si>
    <t>Principal, Government Technical College</t>
  </si>
  <si>
    <t>• Education: Degree in Engineering, Masters and Ph.D.
  • Experience: 16 years, with 3 years post Ph.D. and 5 years not below the level of HOD.</t>
  </si>
  <si>
    <t>Professor, Govt. College of Engineering</t>
  </si>
  <si>
    <t>• Education: Degree in Engineering, Masters and phD
  • Experience: 10 years out of which at least 3 years at associate prof. level</t>
  </si>
  <si>
    <t>Professor, Government Colleges of Pharmacy</t>
  </si>
  <si>
    <t>• Education: Masters degree in pharmacy and PhD
  • Experience: 10 years, out of which at least 3 years at associate prof. level</t>
  </si>
  <si>
    <t>Interview 12</t>
  </si>
  <si>
    <t>Lecturer Govt. Polytechnics and Similar Diploma Institutes</t>
  </si>
  <si>
    <t>Assistant Secretary (Technical)</t>
  </si>
  <si>
    <t>• Education: Degree in Engineering</t>
  </si>
  <si>
    <t>Interview 3</t>
  </si>
  <si>
    <t>Assistant Director (Technical)/ Deputy Secretary (Technical) (11 Posts)</t>
  </si>
  <si>
    <t>Interview 2</t>
  </si>
  <si>
    <t>Deputy Director, Technical / Secretary, Board of Technical Education (4+1)</t>
  </si>
  <si>
    <t>S24 (71100 - 211900)</t>
  </si>
  <si>
    <t>• Education: Degree in Engineering, Masters and PhD
  Experience: Not less than ten years either in teaching at degree or diploma level in engineering educational institutes or in administration of technical education or collectively in these fields, gained after acquiring degree in Engineering or Technology.</t>
  </si>
  <si>
    <t>Requisition given for 1</t>
  </si>
  <si>
    <t>Joint Director, Technical Education (9 posts) / Director, Maharashtra State, Board of Technical Education (1) post</t>
  </si>
  <si>
    <t>• Education: Bachelor's Degree in Arts, Science, Commerce or Law of any statutory university
  • Experience: One year of clerical experience gained after acquiring the qualification in government, semi-government or private establishment
  • Skill (test): NA</t>
  </si>
  <si>
    <t>Education: Degree in Engineering, Masters and phD
  Experience: 20 वर्ष 
  Preference: Provided that, out of twenty years' experience, minimum five years administrative experience shall be on the post of Principal or Director of Polytechnic or Engineering College; or Head of Research Institute or Joint Director of Technical Education or Director, Maharashtra State Board of Technical Education; or Deputy Director of Technical Education or Secretary of Maharashtra State Board of Technical Education</t>
  </si>
  <si>
    <t>Registrar, Government Engineering / Pharmacy Colleges, Government Polytechnics and Similar Diploma Institutes</t>
  </si>
  <si>
    <t>• Education: Degree (Second Class)/ masters</t>
  </si>
  <si>
    <t>• Education: First Class Master's Degree in Library Science/Information Science/Documentation Science or equivalent first class Post Graduate Degree in a professional course.
  • Experience: At least 2 years experience as Librarian in a Government/Government Aided/Unaided Degree/Diploma institution OR Minimum 2 years experience in A grade Library OR Minimum 3 years experience in B Grade Library. Experience is not mandatory for candidates with a Ph.D.
  • Skill (test): Certificate Courses related to Computerization of Libraries (minimum of more than 6 months duration, First Class) AND Qualifying in the National Level Test conducted by UGC or equivalent test.
  • Preference: Candidates who have completed Ph.D. will be preferred for appointment.</t>
  </si>
  <si>
    <t>• Education: Degree in any discipline obtained from recognized University.
  • Experience: Minimum 3 years experience of Engineering stores handling is required in Government or Semi Government or Private Establishments or Corporations or in any Government recognized Institutes after completion of Educational qualification.
  • Skill (test): Passed English 40 w.p.m &amp; Marathi 30 w.p.m. Government Commercial Certificate examination.</t>
  </si>
  <si>
    <t>Clause b
 SSC Examination of SSC Board of Maharashtra State or an examination treated as equivalent thereto by Government 
 Possess experience for not less than 2 years of handling Engineering Stores as Store-Keeper, and possess knowledge of type writing</t>
  </si>
  <si>
    <t>TEM 3364/100539-K</t>
  </si>
  <si>
    <t>24-09-1964</t>
  </si>
  <si>
    <t>Instructor (Printing)</t>
  </si>
  <si>
    <t>• Education: Diploma in Pass Class in Printing Technology or S.S.C. Examination or equivalent.
  • Experience: At least 7 years in a paid capacity in a Large Printing Establishment (with S.S.C. or equivalent).
  • Skill (test): Required to pass an examination in Hindi and Marathi (unless already passed).
  • Preference: Age limit may be relaxed for candidates with exceptional qualifications and/or experience.</t>
  </si>
  <si>
    <t>Possess a Diploma in Press Class in Printing Technology in the Institute of the Board of Technical Examination, Maharashtra State or its equivalent;
 OR
 Possess a certificate of S.S.C. Examination or its equivalent with professional experience of at least 7 years in a paid capacity in large Printing Establishment in respective substructure. Provided that the age limit may be relaxed in favour of candidates who possess exceptional qualifications and/or experience.</t>
  </si>
  <si>
    <t>SEP-8570111221-K</t>
  </si>
  <si>
    <t>15-07-1972</t>
  </si>
  <si>
    <t>StenoGrapher (Lower Grade)</t>
  </si>
  <si>
    <t>• Education: S.S.C. Examination passed
  • Skill (test): Government recognized certificate in Marathi Shorthand speed 100 w.p.m and Marathi typing speed 30 w.p.m.</t>
  </si>
  <si>
    <t>Programmer</t>
  </si>
  <si>
    <t>• Education: SSC/HSC Passing Certificate AND Post Graduate degree in Computer Application/Computer Science/Information Technology with at least second class OR Degree in Information Technology/Computer Application/Computer Science (B.Sc.-Computer) with minimum first class OR Engineering or Technology Degree in Information Technology/Computer Engineering/Computer Technology/Computer Science and Engineering with at least second class.
  • Experience: At least two years work experience after holding educational qualification in system analysis, design and development of information systems and information technology projects with expertise in various programming languages in industrial sector, R\&amp;D institutes, or various Government/Semi-Governmental/Private Institutions/Establishments.
  • Skill (test): Professional Certificate course of any programming languages.
  • Preference: Preference will be given to candidates with work experience in any organization in e-Governance project development.</t>
  </si>
  <si>
    <t>StenoGrapher (Higher Grade)</t>
  </si>
  <si>
    <t>• Education: S.S.C. Examination passed
  • Skill (test): Marathi Shorthand speed 100 w.p.m and Marathi typing speed 30 w.p.m.</t>
  </si>
  <si>
    <t>Clerk-Typist /
  Jr. Clerk</t>
  </si>
  <si>
    <t>As per GAD RRs</t>
  </si>
  <si>
    <t>Asstt. Librarian</t>
  </si>
  <si>
    <t>• Education: Passed degree from recognized University in Bachelor of Library Science in minimum Second Class.
  • Experience: Minimum 2 years experience as a Librarian in Government or Semi Government or Private Establishments or Corporations or in any Government Institutes, after completion of educational qualification.</t>
  </si>
  <si>
    <t>Possess a certificate of S.S.C. or its examination with a certificate in Library offered by any Granthalaya, Sangha recognized by the Government of Maharashtra, with experience of not less than one year in a library.5
 OR
 Possess a certificate of S.S.C.E or its examination and experience in a big library of not less than three years. This requirement may be relaxed in favor of candidates with exceptional qualifications and/or experience.</t>
  </si>
  <si>
    <t>GTI-4968/74811-K</t>
  </si>
  <si>
    <t>26-09-1968</t>
  </si>
  <si>
    <t>Technical Laboratory Asstt.</t>
  </si>
  <si>
    <t>• Education: Possess diploma
  • Experience: Possess experience as Laboratory Assistant or Site Supervisor or Manufacturing or servicing or maintenance or operating Computer Numerical contral machine in the field relevant to the branch of Diploma held by him of not less than one year in Government or Semi Government or Private Institutes or establishments or Government Corporations on daily wages or work charges or contract system or honorarium basis.
  • Skill (test): NA</t>
  </si>
  <si>
    <t>Education: AICTE-recognized Diploma (MSBTE) in: Mechanical, Civil, Electrical, Electronics, Electronics &amp; Telecommunication, Electronics &amp; Communication, Computer Engineering, Computer Technology, Information Technology, Chemical Engineering, Chemical Technology, Instrumentation, Industrial Electronics, or Automobile (or any equivalent Diploma declared by the Board).
 Experience: 1 year full-time experience as Laboratory Assistant/Site Supervisor in Govt/Semi-Govt/Private/Govt-affiliated corporation, relevant to manufacturing/servicing/maintenance/CNC machine handling in the Diploma discipline.</t>
  </si>
  <si>
    <t>2213/(141/17)TechEdu-2
 २२१३/(१४१/१७)/तांशि-२</t>
  </si>
  <si>
    <t>Lab. Technician</t>
  </si>
  <si>
    <t>• Education: Passed Diploma in Pharmacy from MSBTE affiliated Diploma or equivalent in Pharmacy Institute in minimum Second Class or its equivalent.
  • Experience: Minimum 2 years of work experience is required in Government or Semi Government or Private Establishment or Corporation or Government recognized Institute in Pharmacy / Pharmaceutical Laboratory after completion of educational qualification.</t>
  </si>
  <si>
    <t>Education: SSC + Diploma / Degree in Pharmacy
  Experience / Additional Skills: Not Required</t>
  </si>
  <si>
    <t>Secondary School Certificate (S.S.C.) examination passed.
 Diploma in Pharmacy course passed.
 OR 
 Degree in Science (Biology/Chemistry/Physics) from a recognized university (for current Laboratory Assistant staff in service).
 Minimum three years of work experience in a laboratory or similar place.</t>
  </si>
  <si>
    <t>Noting Asstt./ Accountant/ Sr. Clerk</t>
  </si>
  <si>
    <t>• Education: Degree in any discipline obtained from recognized University.
  • Experience: Minimum 1 year experience in Government or Semi Government or Corporations or in any Institutes after completion of educational qualification.
  • Skill (test): Passed English 40 w.p.m &amp; Marathi 30 w.p.m. Government Commercial Certificate examination.</t>
  </si>
  <si>
    <t>Rule 1(b)
 Education: Bachelor's Degree in Arts, Science, Commerce, or Law of any statutory university.
 Experience: One year of clerical experience gained after acquiring the qualification mentioned, in government, semi-government, or private establishment.</t>
  </si>
  <si>
    <t>TED 1266/101419-K</t>
  </si>
  <si>
    <t>Instructor (Electrician)</t>
  </si>
  <si>
    <t>• Education: Passed Secondary School Certificate and passed Vocational Course of concerned trade (One/Two years) with minimum Second class from Government approved Industrial Training Institute.
  • Experience: Minimum 3 years in Government, Semi Government, Government recognized Institutes, Private Establishments, or Corporation at Engineering workshop of related work after completion of Technical qualification.</t>
  </si>
  <si>
    <t>ii) Possess I class supervisor’s Certificate of the licensing Board of the Buildings and communication Department of Maharashtra State or a certificate in Electrical for Trade awarded by the Department of Technical Education or National Certificate in Electrician Trade or its equivalent or higher qualification.
 iii) Possess practical and/or experience for not less than one year after having acquired the certificate mentioned above or an equivalent or higher qualifications mentioned above;
 iv) Possess general knowledge of electrical Machines; provided that the age limit may be relaxed in favour of candidates possessing good qualifications and experience.</t>
  </si>
  <si>
    <t>TEM 3364/100529-K
  (Draft RR in used since 1965)</t>
  </si>
  <si>
    <t>14.-01-1965</t>
  </si>
  <si>
    <t>Instructor (Welder)</t>
  </si>
  <si>
    <t>• Education: Passed Secondary School Certificate, and a One/Two-year Vocational Course of concerned trade with minimum Second class from a Government approved Industrial Training Institute.
  • Experience: Minimum 3 years experience in Government, Semi Government, Government recognized Institutes, Private Establishments, or Corporation at an Engineering workshop of related work after completion of Technical qualification.</t>
  </si>
  <si>
    <t>Cansdidate should be literate; possess sound and sufficient experience to carry out their duties satisfactorily;
 preference will be given to candidate who possess a certificate in the respective Trade of a recognised Institute;.</t>
  </si>
  <si>
    <t>Instructor (TinSmith cum Plumber)</t>
  </si>
  <si>
    <t>• Education:
  • Passed Secondary School Certificate.
  • Passed Vocational Course of concerned trade of One / Two years, with minimum Second class from Government approved Industrial Training Institute.
  • Experience: Minimum 3 years experience in Government, Semi Government, Government recognized Institutes, Private Establishments, or Corporation at Engineering workshop of related work after completion of Technical qualification.</t>
  </si>
  <si>
    <t>Instructor (Fitter)</t>
  </si>
  <si>
    <t>• Education:
  • Passed Secondary School Certificate.
  • Should have passed Vocational Course of concerned trade of One / Two years, with minimum Second class from Government approved Industrial Training Institute.
  • Experience: Minimum 3 years experience in Government or Semi Government or Government recognized Institutes or Private Establishments or Corporation at Engineering workshop of related work after completion of Technical qualification.</t>
  </si>
  <si>
    <t>By nomination from among candidates who- Are literate, Possess sound &amp; sufficient experience in line to carry out the duties satisfactorily.
 Provided that preference will be given to oandidates who possess a certificate in the respective Trade of Department of Tech. Edu. Of the Maharashtra State or an epaulet qualifications;</t>
  </si>
  <si>
    <t>Instructor (Carpenter)</t>
  </si>
  <si>
    <t>• Education: Passed Secondary School Certificate; passed Vocational Course of concerned trade of One / Two years with minimum Second class from Government approved Industrial Training Institute.
  • Experience: Minimum 3 years experience is required in Government or Semi Government or Government recognized Institutes or Private Establishments or Corporation at Engineering workshop of related work after completion of Technical qualification.</t>
  </si>
  <si>
    <t>Instructor (Machinist)</t>
  </si>
  <si>
    <t>• Education:
  • Passed Secondary School Certificate.
  • Should have passed a Vocational Course of concerned trade of One / Two years, with a minimum Second class from a Government approved Industrial Training Institute.
  • Experience: Minimum 3 years experience is required in Government or Semi Government or Government recognized Institutes or Private Establishments or Corporation at Engineering workshop of related work after completion of Technical qualification.</t>
  </si>
  <si>
    <t>TEM 3364/100529-K
  (Draft RR in use since 1965)</t>
  </si>
  <si>
    <t>Instructor (Turner)</t>
  </si>
  <si>
    <t>• Education: Passed Secondary School Certificate and passed Vocational Course of concerned trade of One / Two years, with minimum Second class from Government approved Industrial Training Institute.
  • Experience: Minimum 3 years experience in Government or Semi Government or Government recognized Institutes or Private Establishments or Corporation at Engineering workshop of related work after completion of Technical qualification.</t>
  </si>
  <si>
    <t>Instructor (Black Smith)</t>
  </si>
  <si>
    <t>• Education: Passed Secondary School Certificate, and passed Vocational Course of concerned trade of One / Two years, with minimum Second class from Government approved Industrial Training Institute.
  • Experience: Minimum 3 years experience is required in Government or Semi Government or Government recognized Institutes or Private Establishments or Corporation at Engineering workshop of related work after completion of Technical qualification.</t>
  </si>
  <si>
    <t>Sculpture Instructor (Leather)</t>
  </si>
  <si>
    <t>• Education: Diploma at least in Second Class in appropriate branch of Engineering or Technology or equivalent; OR Passed the Second School Certification Examination with Mathematics and Science or equivalent AND possess National Apprenticeship Certificate, National Trade Certificate, Trade Certificate, or trade certificate from Defense Service.
  Experience: not less than four years practical experience in appropriate trade (or two years for persons from Defense Service with basic qualification and trade certificate).
  • Preference: May be given to candidates who have successfully completed training in the control training institute for the post of instructor.</t>
  </si>
  <si>
    <t>Diploma in Leather Goods and Footwear Technology, and
 Minimum 3 years’ experience as Machine Assistant (Leather Goods &amp; Footwear) / Site Supervisor / manufacturing / servicing / maintenance of CNC machines in the relevant field, in Govt/Semi-Govt/Private institute/establishment/Govt corporation.</t>
  </si>
  <si>
    <t>Home (DG Office)</t>
  </si>
  <si>
    <t>DG Office Establishment</t>
  </si>
  <si>
    <t>DySP/ACP Unarmed</t>
  </si>
  <si>
    <t>• Education: Degree of a statutory university As prescribed in RR</t>
  </si>
  <si>
    <t>Yes
 Date Pending</t>
  </si>
  <si>
    <t>Armed DySP/Asst Commandant, SRPF</t>
  </si>
  <si>
    <t>DySP/ACP, Police Communication &amp; IT</t>
  </si>
  <si>
    <t>• Education: Degree in Electrical or E &amp; TC As prescribed in RR</t>
  </si>
  <si>
    <t>DySP/ACP, Motor Transport</t>
  </si>
  <si>
    <t>• Education: Degree in Mechanical or Automobile As prescribed in RR</t>
  </si>
  <si>
    <t>PSI</t>
  </si>
  <si>
    <t>Police Sub-inspector (NG Admin)</t>
  </si>
  <si>
    <t>1) Graduation
 2) Phyisical Qualification:
 Male - 165 cm height, 79 cm chest (+5 cm when inflated)
 Female - 157 Cm height
 Transgender - 165 cm for male; 157 cm for female</t>
  </si>
  <si>
    <t>POLICE-1122/C.R.-285/POL-5A</t>
  </si>
  <si>
    <t>22-06-2023</t>
  </si>
  <si>
    <t>Different Recruitment</t>
  </si>
  <si>
    <t>Police Constable</t>
  </si>
  <si>
    <t>• Education: HSC</t>
  </si>
  <si>
    <t>Recruitment does not come under the ambit of Department/ MPSC.</t>
  </si>
  <si>
    <t>Home (Excise)</t>
  </si>
  <si>
    <t>Excise Establishment</t>
  </si>
  <si>
    <t>Updated</t>
  </si>
  <si>
    <t>Deputy Superintendent</t>
  </si>
  <si>
    <t>• Education: degree of any discipline of a statutory university or any other qualification declared by the Government to be equivalent</t>
  </si>
  <si>
    <t>Assistant Commissioner</t>
  </si>
  <si>
    <t>SUB INSPECTOR</t>
  </si>
  <si>
    <t>Sub Inspector Excise (NG Admin)</t>
  </si>
  <si>
    <t>• Education: Graduation
 • Phyiscal Qualification: 
 male - 165 cm height; chest- 79 cm (+5 cm when inflated)
 female - 155 cm height, 50 kg weight</t>
  </si>
  <si>
    <t>EST 2004/CR 9/EXC-4</t>
  </si>
  <si>
    <t>17-07-2009
 12-07-2916 (amended)</t>
  </si>
  <si>
    <t>Stenographer (LG)</t>
  </si>
  <si>
    <t>• Education: Graduation
  • Experience: N/A
  • Skill (test): 100 wpm Typing Certificate, Marathi30 or English40</t>
  </si>
  <si>
    <t>• Education: Graduation
  • Experience: N/A
  • Skill (test): 120 wpm Typing Certificate, Marathi30 or English40</t>
  </si>
  <si>
    <t>• Education: degree of any discipline of a statutory university or any other qualification declared by the Government to be equivalent
  • Skill (test): Typing Certificate Marathi 30, English 40</t>
  </si>
  <si>
    <t>In Process</t>
  </si>
  <si>
    <t>Constable Cum Driver</t>
  </si>
  <si>
    <t>• Education: Must have passed at least VIIth Standard examination.
  Experience: not less than three years driving motor vehicles (other than a motor cycle, a jeep).</t>
  </si>
  <si>
    <t>Constable</t>
  </si>
  <si>
    <t>• Education: Passes the Secondary School Certificate Examition</t>
  </si>
  <si>
    <t>• Education: degree of any discipline of a statutory university or any other qualification declared by the Government to be equivalent
  • Skill (test): 80 wpm Typing Certificate Marathi 30 or English 40</t>
  </si>
  <si>
    <t>Pending with Sub-Committee</t>
  </si>
  <si>
    <t>Home (Forensic Science)</t>
  </si>
  <si>
    <t>Forensic Science Establishment</t>
  </si>
  <si>
    <t>Law Officer</t>
  </si>
  <si>
    <t>• Education: No
  • Preference: Low and Account Officer proposed on deputation from concerned department and Recruitment Rules are submitted to Government.</t>
  </si>
  <si>
    <t>Account Officer</t>
  </si>
  <si>
    <t>• Education: No
  • Experience: Proposed on deputation from concerned department.</t>
  </si>
  <si>
    <t>Assistant Director (Psychology)</t>
  </si>
  <si>
    <t>• Education: A degree in Psychology and a postgraduate degree in Neuro Psychology or Clinical Psychology at least in second class or an equivalent qualification.
  • Experience: Analytical and Research experience of recognized merit in relevant subject mentioned in Educational Qualification for a period of not less than seven years after acquiring the essential qualifications.</t>
  </si>
  <si>
    <t>• Education: Possess a postgraduate degree at least in second class, in any branch of Chemistry or Biochemistry or an equivalent qualification.
  • Experience: Training and analytical or research experience in a recognized laboratory for a period of not less than seven years after acquiring the essential qualifications.
  • Preference: Candidates with research &amp; development and analytical experience in respective fields such as BioChemistry/Immunological work, Analytical Toxicology, Drug Analysis, Analysis of liquors, blood alcohol, narcotics and dangerous drugs, general or industrial chemical analysis, and experience in gas/liquid chromatography and spectrophotometry UV/IR Physicochemical instrumental methods/analysis including spectro chemicals/ballistic work.</t>
  </si>
  <si>
    <t>Assistant Director (Cyber ​​Crime, Tape Authentication &amp; Speaker Identification)</t>
  </si>
  <si>
    <t>• Education: Possess a degree and postgraduate degree in science faculty with Physics or Computer Science or Electronics or Information and Technology as a main subject at least in second class, OR possess a degree in Engineering with Computer Science or Electronics or Information and Technology at least in second class, OR any other qualification declared equivalent by the Government.
  Experience: not less than seven years of analytical or research experience in a relevant subject in any recognized laboratory after acquiring the essential qualifications.
  • Skill (test): Analytical or research experience in relevant subject.</t>
  </si>
  <si>
    <t>• Education: Master's degree at least in second class or a Doctorate degree in any branch of Chemistry/Biochemistry/Botany/Physics/Zoology with degree in Chemistry or an equivalent qualification.
  Experience: not less than ten years of research experience of recognized merit in analytical methods after acquiring the essential qualifications.
  • Skill (test): Analytical methods in the relevant subject, BioChemical/Immunological work as applied to Characterization of biological materials including isozyme/immuno–blood typing/Analytical Toxicology or drug analysis or analytical biochemistry/Analysis of standard and illicit liquors, spirituous medicinal preparations, blood alcohol, narcotics and dangerous drugs/general or industrial chemical analysis and in gas/liquid chromatography and spectrophotometry UV/IR Physico Chemical instrumental methods/analysis including spectro chemical analysis/Ballistic work.
  • Preference: Candidates who possess research and development experience in the respective field as mentioned in the Schedule II and those who possess research &amp; development and analytical experience in the respective field as detailed in the Skill (test) section.</t>
  </si>
  <si>
    <t>Deputy Director (Psychology)</t>
  </si>
  <si>
    <t>• Education: A degree in Psychology and a postgraduate degree in Neuro Psychology or Clinical Psychology (at least in second class or equivalent).
  • Experience: Analytical and Research experience of recognized merit in relevant subject for a period of not less than ten years after acquiring the essential qualifications.
  • Preference:
  • Possess a Doctorate Degree (Ph. D) in Psychology.
  • Possess at least two years training and or research and development experience in Psychological studies.</t>
  </si>
  <si>
    <t>Deputy Director (Cyber ​​Crime, Tape Authentication &amp; Speaker Identification)</t>
  </si>
  <si>
    <t>• Education: At least a SECOND class postgraduate degree in science faculty with Physics, Computer Science, Electronics, or Information &amp; Technology as the main subject, or an Engineering degree (at least second class) in Computer Science, Electronics, Information &amp; Technology, or an equivalent qualification.
  • Experience: Analytical and Research experience of recognized merit in the relevant subject for not less than ten years after acquiring essential qualifications. Research experience should be supported by papers presented in National/International Conferences or published in National/International Journals of repute.
  Experience: not specified.
  • Preference:
  • Possess a Doctorate Degree (Ph. D) in Physics, Computer Science, Electronics, or Information and Technology.
  • Possess at least two years training and/or research and development experience in Cyber Crime, Tape Authentication, or Speaker Identification in Forensic Science studies.</t>
  </si>
  <si>
    <t>Joint Director</t>
  </si>
  <si>
    <t>• Education: Masters degree (at least second class) or Doctorate degree in (A) any branch of Chemistry or Biochemistry; or (B) Physics, Botany or Zoology with a degree in chemistry. Possess a Doctorate Degree in Forensic Science or in any subject mentioned in Educational Qualification.
  • Experience: Minimum fifteen years of research of a recognized merit in analytical methods in any of the subjects mentioned in Educational Qualification or in a Forensic Science gained after acquiring Masters degree.
  • Skill (test): Have published papers in any branch of Forensic Science, Analytical Chemistry, Analytical Biochemistry in Science Journals of repute.</t>
  </si>
  <si>
    <t>S28 (124800 - 212400)</t>
  </si>
  <si>
    <t>• Education: Masters degree (at least second class) or Doctorate degree in (A) any branch of Chemistry or Biochemistry; or (B) Physics, Botany or Zoology with a degree in chemistry. Possess a Doctorate Degree in Forensic Science or in any subject mentioned in Educational Qualification.
  • Experience: Minimum eighteen years of research of recognized merit in any of the subjects mentioned in Educational Qualification or in Forensic Science, gained after acquiring qualifications mentioned in Educational Qualification.
  • Skill: Adequate analytical experience after obtaining the essential academic qualification. Have published papers in any branch of Forensic Science, Analytical Chemistry, Analytical Biochemistry in Science Journals of repute.</t>
  </si>
  <si>
    <t>Assistant Chemical Analyser</t>
  </si>
  <si>
    <t>(New Service) Maharashtra Forensic Science Services</t>
  </si>
  <si>
    <t>• Education: At least SECOND class postgraduate degree in any branch of Chemistry or Biochemistry or an equivalent qualification OR Post Graduate degree in at least the Second Class in any branch of Forensic Science of a recognized University.
  • Experience: Preference for candidates who possess research &amp; development and analytical experience.
  • Preference: Will be given to candidates who possess research &amp; development and analytical experience. Will be given to candidates who possess Doctorate degree in any branch of Chemistry or Biochemistry or Physics or Microbiology or Biotechnology or Forensic Science or an equivalent qualification.</t>
  </si>
  <si>
    <t>Scientific Officer (Psychology)</t>
  </si>
  <si>
    <t>(New Service) Maharashtra Scientific (Psychologist) Services</t>
  </si>
  <si>
    <t>• Education: Degree and postgraduate degree in Neuro Psychology or Clinical Psychology (at least in second class) with a degree in Psychology or an equivalent qualification.
  Experience: not less than three years in the relevant subject after acquiring the essential qualifications.</t>
  </si>
  <si>
    <t>Education: M.A / M.Sc. In Psychology/ M. Phill Clinical Psychology
 Experience / Additional Skills / Preferential Qualification: Not Required</t>
  </si>
  <si>
    <t>Scientific Officer (Cyber ​​Crime, Tape Authentication &amp; Speaker Identification)</t>
  </si>
  <si>
    <t>• Education: Degree and postgraduate degree in science faculty with Physics or Computer Science or Electronics or Information and Technology at least in second class, OR Engineering degree in Computer Science or Electronics or Information and Technology at least in second class, OR M.Sc. (Digital and Cyber ​​Forensic and IT Security), or any other equivalent qualification.
  Experience: not less than three years in any recognized laboratory in the relevant subject after acquiring the qualification.</t>
  </si>
  <si>
    <t>Scientific Officer (Photography)</t>
  </si>
  <si>
    <t>• Education: Possess either a degree in Science or have passed Intermediate Science examination of a recognized University and possess Diploma in Photography from the Institute of Criminology &amp; Forensic Science (Ministry of Home Affairs), Government of India.
  • Experience: Have experience in Scientific Photography preferably in Forensic Science Laboratory for a period of not less than five years.
  • Preference: Provided that the age limit may be relaxed in favor of the candidates who in the opinion of the selecting authority &amp; possess exceptional qualifications and experience.</t>
  </si>
  <si>
    <t>Manager, Canteen</t>
  </si>
  <si>
    <t>• Education: Must have passed the Secondary School Certificate Examination (SSC Pass) and obtained a Diploma from an Institute of Catering Technology.
  • Experience: At least three years of experience after acquiring the above mentioned qualification.
  • Preference: May be given to a candidate holding a diploma from any government recognized catering technology institute and the experience requirement may be relaxed in his/her case.</t>
  </si>
  <si>
    <t>Scientific Assistant (Cyber ​​Crime, Tape Authentication &amp; Speaker Identification)</t>
  </si>
  <si>
    <t>Scientific Assistant/ Junior Scientific Assistant (NG Technical)</t>
  </si>
  <si>
    <t>• Education: Degree in Science faculty (Physics, Computer Science, electronics, or information and technology) in at least second class; OR Degree in Engineering (Computer Science, Electronics, or Information and Technology) in at least second class; OR equivalent qualification; OR B.Sc. (Forensic Science); OR Post Graduate Diploma in Digital and Cyber ​​Forensic and Related Law.
  • Experience: One year training and/or research and development experience in Cyber ​​Crime or Tape Authentication or Speaker Identificatoin in the Forensic Science Studies (as a preference).
  • Preference: Candidates with one year training and/or research and development experience in Cyber ​​Crime or Tape Authentication or Speaker Identificatoin in the Forensic Science Studies.</t>
  </si>
  <si>
    <t>• Education: Degree in Science faculty (Physics, Computer Science, electronics, or information and technology) in at least second class; OR Degree in Engineering (Computer Science, Electronics, or Information and Technology) in at least second class; OR equivalent qualification
  • Preference of Experience: One year training and/or research and development experience in Cyber ​​Crime or Tape Authentication or Speaker Identificatoin in the Forensic Science Studies</t>
  </si>
  <si>
    <t>FSL0511/468/31/POL-4</t>
  </si>
  <si>
    <t>20-08-2013</t>
  </si>
  <si>
    <t>Scientific Assistant</t>
  </si>
  <si>
    <t>• Education: Possess a degree of a statutory University in Science at least in a second class with Chemistry, or a degree of a Statutory University in Science at least the Second Class with Forensic Science.</t>
  </si>
  <si>
    <t>• Education: Possess a degree of a statutory University in Science at least in a second class with Chemistry</t>
  </si>
  <si>
    <t>FSL0181/19901-POL-4(i)</t>
  </si>
  <si>
    <t>16-07-1987</t>
  </si>
  <si>
    <t>Scientific Assistant (Psychology)</t>
  </si>
  <si>
    <t>• Education: Degree in Psychology at least in second class or equivalent.
  • Experience: One year training and/or research and development experience in Psychological studies (preferred).
  • Preference: Candidates with one year training and/or research and development experience in Psychological studies.</t>
  </si>
  <si>
    <t>Stenographer (H.G.)</t>
  </si>
  <si>
    <t>• Education: Passed Secondary School Certificate Examination.
  • Skill (test): 80 Sh.P.M. shorthand speed; 40 s.p.m. English typing speed or 30 s.p.m. Marathi Typing with Government Commercial Certificate.</t>
  </si>
  <si>
    <t>• Education: Degree in any discipline from a statutory university or any other qualification declared equivalent by the Government.
  • Skill (test): Must hold a computer operating certificate prescribed by the Directorate of Information and Technology, Government of Maharashtra. Passed the Government Board of Commerce English 40 WPM Typing or Marathi 30 WPM Typing exam or holds a Computer Typing Certificate.</t>
  </si>
  <si>
    <t>• Education: Passed the Secondary School Certificate Examination and Certificate of training in telephone operator from a recognized government institution.
  • Skill (test): Knowledge of Marathi, English, and Hindi with fluency in speaking.
  • Preference: Preference may be given to a candidate possessing training and experience in telephone operating. Further preference may be given to a candidate who possesses pleasing manners and agreeable voice.</t>
  </si>
  <si>
    <t>Junior Laboratory Assistant</t>
  </si>
  <si>
    <t>• Education: Passed Secondary School Certificate Examination with Science subject.</t>
  </si>
  <si>
    <t>Senior Laboratory Assistant</t>
  </si>
  <si>
    <t>• Education: Have passed Higher Secondary School Certificate Examination with Science subject.</t>
  </si>
  <si>
    <t>Senior Clerk (Store)</t>
  </si>
  <si>
    <t>• Education: HSC Science Passed.</t>
  </si>
  <si>
    <t>Clause No. 2
 Have passed at least Inter Science Examination of a recognised University
 Possess Previous Experience of Storekeeper and Accountancy</t>
  </si>
  <si>
    <t>FSI/1061/22356/50410-V</t>
  </si>
  <si>
    <t>Home (Home Guard, Prison, Civil Defense, Public Prosecution)</t>
  </si>
  <si>
    <t>Civil Defense Establishment</t>
  </si>
  <si>
    <t>Demonstrator</t>
  </si>
  <si>
    <t>• Education: Degree
  • Experience: 2 years in Home Guards, Civil Defense or Fire Service or Teacher in Fire Fighting or Rescue Operation or First Aid.
  • Skill (test): Knowledge of Home Guards, Civil Defense or Fire Service or Teacher in Fire Fighting or Rescue Operation or First Aid.</t>
  </si>
  <si>
    <t>1) have passed the Secondary School Certificate Examinations and
 2) have undergone training in courses like Fire Fighting, Rescue Operations or First Aid from an institution recognised by the Government,
 Provided that, preference may be given to candidates who have experience of work in the Home Guards, Civil Defence or in Fire Service, or in the capacity of a Demonstrator or Teacher in Fire Fighting or Rescue Operations or in First Aid for a period of not less than two years.</t>
  </si>
  <si>
    <t>SB.XX/CDM-4576/4176</t>
  </si>
  <si>
    <t>15-04-1978</t>
  </si>
  <si>
    <t>SubControl Officer</t>
  </si>
  <si>
    <t>• Education: Degree, Civil Defense Courses in Control; &amp; communication
  • Skill (test): Radio telephony or Telephone switch board operation</t>
  </si>
  <si>
    <t>Assistant Deputy Controller</t>
  </si>
  <si>
    <t>• Education: Degree
  • Experience: 1 year teaching experience in secondary school or junior college</t>
  </si>
  <si>
    <t>(1) posssess a dagree in Arts or Science, or Commence or Law of a Statutory University; and
 (2) possesses practical experience of teaching in a Secondary School or Junior College for a period not less than one year, gained after acquiring the qualifi-cation mentioned in sul clause (ii) of this clause;</t>
  </si>
  <si>
    <t>CDM 2476/2040-BPL-7</t>
  </si>
  <si>
    <t>Fireman / Rescuer</t>
  </si>
  <si>
    <t>• Education: 10th pass
  • Experience: 6 months (Training of Rescue and Fire Fighting)
  • Skill (test): Training of Rescue and Fire Fighting</t>
  </si>
  <si>
    <t>Storeman</t>
  </si>
  <si>
    <t>(ii) possess a degree; and
 (iii) possess the Government Commercial Certificate or Computer Typing Certificate with a speed of not less than 30 words per minute in Marathi Typewriting or 40 words per minute in English Typewriting;</t>
  </si>
  <si>
    <t>They use GAD clerk RR - SRV2022/CR58/Desk-12</t>
  </si>
  <si>
    <t>First Aider</t>
  </si>
  <si>
    <t>• Education: 10 passes 10th pass
  • Skill (test): Certificate of First Aid course</t>
  </si>
  <si>
    <t>• Education: 10 passes, 10th pass certificate
  • Skill (test): Telephone Operating from govt. institute</t>
  </si>
  <si>
    <t>Electrician (Junior Grade)</t>
  </si>
  <si>
    <t>• Education: 10 passes Wiremans Certificate Examination
  • Experience: 3 years Electrical &amp; Wiring work &amp; battery charging</t>
  </si>
  <si>
    <t>Assistant Fitter Mechanic</t>
  </si>
  <si>
    <t>• Education: 10 passes
  • Experience: 2 years in Automobile Workshop
  • Skill: Experience in Automobile Workshop</t>
  </si>
  <si>
    <t>Assistant Auto Electrician</t>
  </si>
  <si>
    <t>• Education: 10 passes
  • Experience: 2 years experience in automobile workshop
  • Skill: Experience in Automobile Workshop</t>
  </si>
  <si>
    <t>• Education: Diploma, 10th pass certificate
  • Skill (test): Telephone Operating</t>
  </si>
  <si>
    <t>• Education: Diploma, 10th pass certificate
  • Skill (test): certificate in Telephone Operating from a commercial institution recognised by government 
 Preference may be given to candidates who have undergone Civil Defense Control and Communication Course at the Civil Defense Staff College</t>
  </si>
  <si>
    <t>SPL-7/CDM-4678/135</t>
  </si>
  <si>
    <t>21-07-1979</t>
  </si>
  <si>
    <t>Driver Operator</t>
  </si>
  <si>
    <t>• Education: 10 passes
  • Experience: 5 years
  • Skill (test): Possession of Heavy Motor Vehicle Licence; Elementary knowledge of automobile engineering and pump operation</t>
  </si>
  <si>
    <t>Fire / Rescue Leader</t>
  </si>
  <si>
    <t>• Education: 10 passes</t>
  </si>
  <si>
    <t>Radio Wireless Operator</t>
  </si>
  <si>
    <t>• Education: Degree Wireless Operator course of Industrial Training Institute or private institute; Wireless Telegraphy conducted by Director of Technical Education; Wireless communication course at Civil Defense Staff College or Wireless operator course conducted by armed forces.</t>
  </si>
  <si>
    <t>SB.XX/CDM.2072/9</t>
  </si>
  <si>
    <t>22.03.1976</t>
  </si>
  <si>
    <t>Auto Electrician</t>
  </si>
  <si>
    <t>• Education: Auto Electrician Certificate course in Auto Electrician issued by Industrial Training Institute
  • Experience: 3 years
  • Skill (test): Auto Electrician issued by Industrial Training Institute</t>
  </si>
  <si>
    <t>Clause 10. b
 1) Certificate of auto-electrician (ITI)
 or
 3 years of experience in an auto workshop</t>
  </si>
  <si>
    <t>Sb.IV/CDM. 3369/32658</t>
  </si>
  <si>
    <t>23.01.1974</t>
  </si>
  <si>
    <t>Welder</t>
  </si>
  <si>
    <t>• Education: Diploma Certificate in Gas &amp; Electrical Welding issued by Industrial Training.
  • Experience: 2 years exp. Gas &amp; Electrical Welding in Industries.</t>
  </si>
  <si>
    <t>Clause 9. b
 1) Certificate in Gas and Electrical Welding (ITI)
 2) Atleast 2 years of experience in gas and electrical welding</t>
  </si>
  <si>
    <t>Tech. Assistant, Grade II</t>
  </si>
  <si>
    <t>• Education: Diploma
  • Skill (test): Knowledge of handling AirConditioner &amp; Refridgerator, Wireless and Electricl equipments</t>
  </si>
  <si>
    <t>Radio Wireless Mechanic</t>
  </si>
  <si>
    <t>• Education: Diploma
  • Experience: 3 years
  • Skill (test): Repair or maintenance of wireless sets or equipment</t>
  </si>
  <si>
    <t>Printing ForemancumOperator</t>
  </si>
  <si>
    <t>• Education: 10 passes
  • Experience: 3 years</t>
  </si>
  <si>
    <t>Fitter Mechanic</t>
  </si>
  <si>
    <t>• Education: Diploma, Certificate of Institute in Automobile Workshop
  • Experience: 3 yrs in Automobile Workshop, 3 yrs in Automobile Workshop
  • Skill (test): Automobile Workshop</t>
  </si>
  <si>
    <t>Home guard Establishment</t>
  </si>
  <si>
    <t>District Commander</t>
  </si>
  <si>
    <t>• Education: degree
  • Experience: nirank
  • Skill (test): nirank</t>
  </si>
  <si>
    <t>Senior Stenographer</t>
  </si>
  <si>
    <t>• Education: degree
  • Skill (test): nirank Nirak</t>
  </si>
  <si>
    <t>Despatch Rider</t>
  </si>
  <si>
    <t>• Education: 8th</t>
  </si>
  <si>
    <t>Junior Clerk (outside Greater Mumbai)</t>
  </si>
  <si>
    <t>• Education: degree
  • Skill (test): nirank nirank</t>
  </si>
  <si>
    <t>Clerk Typist/ Storekeeper (Brihanmumbai Offices)</t>
  </si>
  <si>
    <t>• Education: degree
  • Skill (test): nirank</t>
  </si>
  <si>
    <t>Hawaldar Instructor/ Junior Instructor/ Demonstrator Instructor</t>
  </si>
  <si>
    <t>• Education: 10th nirank
  • Physical Qualification (test): Physical examination</t>
  </si>
  <si>
    <t>Education: Bachelor's Degree in any stream
  Experience / Additional Skills: Not Required
  Physical Qualification: As per the requirement</t>
  </si>
  <si>
    <t>(ii) have passed the Secondary School Certificate Examination or any examination which in the opinion of the Government is equivalent to such examination; and are able to impart training in English and Hindi in any four of the following subjects, namely:
 (a) Drill, (b) Arms Drill, (c) Weapon Training, (d) Company Drill, (e) First Aid, (f) Rescue, (g) Fire Fighting, (h) Ambulance Service:
 Provided that, preference may be given to ex-servicemen, members of Home Guards and Civil Defence Organisation and candidates with experience of imparting such training.</t>
  </si>
  <si>
    <t>SB. XX. HGS. 1073/7560</t>
  </si>
  <si>
    <t>16-12-1976</t>
  </si>
  <si>
    <t>Prison &amp; Correctional Service Establishment</t>
  </si>
  <si>
    <t>Superintendent, Jail Industry</t>
  </si>
  <si>
    <t>• Education: Post Graduate second class Degree / Mechanical Engineering of Chemical Or Textile technology of recognized university</t>
  </si>
  <si>
    <t>To be filled by deputation from Industries Department</t>
  </si>
  <si>
    <t xml:space="preserve">To be filled by deputation from Industries Department
</t>
  </si>
  <si>
    <t>• Education: Post Graduate Degree of Diploma Recognized University in sociology, psychology/penology/correctional administration</t>
  </si>
  <si>
    <t>Superintendent, District Prison ClassII</t>
  </si>
  <si>
    <t>• Education: Bachelor's degree in at least the Second Class in Arts, Science, Commerce, Law or Agriculture; and a postgraduate degree or diploma in a recognized subject.
  • Skill: Postgraduate degree or diploma in Sociology, Penology, Criminology, Delinquency, or Correctional Administration.
  • Physical Qualification: Robust constitution.</t>
  </si>
  <si>
    <t>Education: Bachelor's Degree in any stream
 Experience / Additional Skills: Not Required
 Physical Qualification: As per the requirement</t>
  </si>
  <si>
    <t>Compounder</t>
  </si>
  <si>
    <t>• Education: SSC/HSC or equivalent and Diploma or Degree in Pharmaceutical Profession
  • Skill (test): Registration as a registered pharmaceutical professional</t>
  </si>
  <si>
    <t>1) have passed SSC or equivalent examination
 2) have passed examination of practising pharmacists and/or pharmacists Training Course conducted by the recognised instituitions; or
 3) hold Diploma or Degree in Pharmacy of a recognised University
 4) have registered their name with the Bombay State Pharmacy Council
 Provided that preference shall be given to candidate having sufficient experience</t>
  </si>
  <si>
    <t>EST-0376/1 (681)-XXV</t>
  </si>
  <si>
    <t>30-08-1977</t>
  </si>
  <si>
    <t>• Education: Certificate of passing the Intermediate Examination or HSC in the Science stream with Physics and Chemistry as subjects.
  • Experience: 1 year training in government approved laboratory techniques.
  • Skill (test): Laboratory techniques.</t>
  </si>
  <si>
    <t>1) have passed Intermediate Science stream with Physics and Chemistry of its equivalent examination; and 
  2) have attended 1 year training course in laboratory techniques at a government recognised centre of training and have passed the examination
 Candidate appointed by nomination shall be on probabtion for a period of 2 years.</t>
  </si>
  <si>
    <t>• Education: SSC/Technical Training Certificate from Maharashtra Technical Education Department
  • Experience: Three years
  • Skill (test): Yes</t>
  </si>
  <si>
    <t>Jailor Grade 2</t>
  </si>
  <si>
    <t>• Education: a degree of recognized University in Arts, Science, Law, Commerce or Agriculture or its equivalent.</t>
  </si>
  <si>
    <t>Stenographer Lower</t>
  </si>
  <si>
    <t>• Education: SSC or equivalent exam passed
  • Skill (test): shorthand passed speed 100 words per minute and typewriting passed Marathi/English 40 words per minute</t>
  </si>
  <si>
    <t>SSC Passed
 Preference for 40 words per minute typing (not specifically mentioned )</t>
  </si>
  <si>
    <t>RCT 2004/C.R. 149/Prison-1</t>
  </si>
  <si>
    <t>28-02-2008</t>
  </si>
  <si>
    <t>Jail Sepoy</t>
  </si>
  <si>
    <t>• Education: 12th Pass</t>
  </si>
  <si>
    <t>• Education: SSC passed with English as a subject or Primary Education Certificate or Diploma Education Certificate</t>
  </si>
  <si>
    <t>Teacher</t>
  </si>
  <si>
    <t>• Education: SSC/HSC or equivalent and Bachelor's degree in Education passed</t>
  </si>
  <si>
    <t>Physical Education Instructor</t>
  </si>
  <si>
    <t>• Education: SSC or Physical Training Graduate with TDPE Kandivali pass or equivalent Maharashtra Government recognized certificate</t>
  </si>
  <si>
    <t>Physical Training Instructor</t>
  </si>
  <si>
    <t>• Education: SSC or Physical Education Degree, BT Degree or equivalent Maharashtra Government recognized certificate</t>
  </si>
  <si>
    <t>Braille Instructor</t>
  </si>
  <si>
    <t>• Education: SSC/HSC or equivalent and Diploma in Blind Education passed
  • Experience: 1 year experience required</t>
  </si>
  <si>
    <t>Statistician</t>
  </si>
  <si>
    <t>• Education: Master Degree Mathematical,Economic/Commerce Agriculture/Statcs</t>
  </si>
  <si>
    <t>Instructor (Carpet weaving)</t>
  </si>
  <si>
    <t>• Education: SSC/Maharashtra Secondary Education Department or equivalent
  • Experience: two years
  • Skill (test): Weaving Certificate
  • Physical Qualification (test): Yes</t>
  </si>
  <si>
    <t>Instructor (Weaving)</t>
  </si>
  <si>
    <t>• Education: Certificate in Weaving Technology from a government recognized institution.
  • Experience: At least 2 years of subsequent experience is required.</t>
  </si>
  <si>
    <t>Instructor (Masonary)</t>
  </si>
  <si>
    <t>• Education: SSC+Master Masonary Certificate from Maharashtra Technical Education Department or equivalent
  • Experience: two years
  • Skill (test): Yes No</t>
  </si>
  <si>
    <t>Instructor (Tailoring)</t>
  </si>
  <si>
    <t>• Education: SSC/Master Tailor Certificate from Maharashtra Technical Education Department or equivalent
  • Experience: two years</t>
  </si>
  <si>
    <t>Instructor (Blacksmithy)</t>
  </si>
  <si>
    <t>• Education: SSC/Maharashtra State Education Department or equivalent Blacksmith Certificate
  • Experience: two years
  • Skill (test): Yes</t>
  </si>
  <si>
    <t>Instructor (Leather)</t>
  </si>
  <si>
    <t>• Education: SSC/Maharashtra Technical Education Department or equivalent Footwear Manufacturing Certificate
  • Experience: two years of experience</t>
  </si>
  <si>
    <t>Instructor (Lacquer)</t>
  </si>
  <si>
    <t>• Education: SSC+Certificate in wood turing &amp; Lacquer work
  • Experience: two years
  • Skill (test): Yes</t>
  </si>
  <si>
    <t>• Education: SSC/Turner Certificate from Maharashtra State Education Department or equivalent
  • Experience: Three years</t>
  </si>
  <si>
    <t>• Education: SSC/Fitter certificate from Maharashtra State Education Department or equivalent
  • Experience: two years</t>
  </si>
  <si>
    <t>Instructor (Bakery)</t>
  </si>
  <si>
    <t>• Education: SSC/Maharashtra Technical Education Department or equivalent Bakery Craft Certificate in Confectionery and Bakery
  • Experience: two years</t>
  </si>
  <si>
    <t>Instructor (Paper Industry)</t>
  </si>
  <si>
    <t>• Education: SSC
  • Experience: Two years Manufacturing handmade paper</t>
  </si>
  <si>
    <t>Instructor (Carpentry)</t>
  </si>
  <si>
    <t>• Education: SSC/Maharashtra Technical Education Department or equivalent carpentry certificate
  • Experience: Two years</t>
  </si>
  <si>
    <t>Sawyer</t>
  </si>
  <si>
    <t>• Education: 4th pass
  • Experience: 1 year of practical work experience
  • Skill (test): sewing work</t>
  </si>
  <si>
    <t>Warper</t>
  </si>
  <si>
    <t>• Education: SSC/Maharashtra Technical Education Department or equivalent qualification certificate
  • Experience: two years
  • Skill (test): Yes</t>
  </si>
  <si>
    <t>• Education: Passed SSC or its equivalent, and hold a Diploma or certificate in Typography recognized by Government.</t>
  </si>
  <si>
    <t>Instructor (Knitting &amp; Weaving)</t>
  </si>
  <si>
    <t>• Education: SSC/Maharashtra Technical Education Department or equivalent Weaving Technology Certificate
  • Experience: two years
  • Skill (test): Yes</t>
  </si>
  <si>
    <t>Supervisor (Chemical)</t>
  </si>
  <si>
    <t>• Education: Bsc Degree with Chemistry or Diploma in Chemical Technology
  • Skill (test): Sop &amp; oli Governent recognized</t>
  </si>
  <si>
    <t>Supervisor (Milling)</t>
  </si>
  <si>
    <t>• Education: SSC/Maharashtra State Education Department or equivalent Woolen Technician Certificate
  • Experience: two years
  • Skill (test): Yes</t>
  </si>
  <si>
    <t>Prepretory</t>
  </si>
  <si>
    <t>• Education: SSC/Maharashtra Education Department or equivalent Warping/Sizing/Winding Certificate
  • Experience: two years
  • Skill (test): Yes</t>
  </si>
  <si>
    <t>Electrician</t>
  </si>
  <si>
    <t>• Education: S.S.C. Examination or its equivalent examination
  • Skill (test): Have passed the Electrician course of Industrial Training Institute (I.T.I.)</t>
  </si>
  <si>
    <t>Hosiery</t>
  </si>
  <si>
    <t>Public Prosecution Establishment</t>
  </si>
  <si>
    <t>Assistant Public Prosecutor</t>
  </si>
  <si>
    <t>• Education: Degree in Law
  • Experience: 5 years as advocate</t>
  </si>
  <si>
    <t>Additional Public Prosecutor</t>
  </si>
  <si>
    <t>• Education: Degree in Law
  • Experience: 7 years as advocate</t>
  </si>
  <si>
    <t>Requisition sent to MPSC(11.02.2025) for 244 posts</t>
  </si>
  <si>
    <t>• Education: Bachelor's Degree in any stream</t>
  </si>
  <si>
    <t>Home (Transport)</t>
  </si>
  <si>
    <t>Transport Establishment</t>
  </si>
  <si>
    <t>Assistant Regional Transport Officer</t>
  </si>
  <si>
    <t>• Education: Degree in Mechanical or Automobile Engineering; BE Or B.Tech Production Engineering
  • Physical Qualification (test): Possess a valid driving license authorizing them to drive motor cycle with gears, light motor vehicles and transport vehicles (heavy goods vehicles and heavy passenger vehicles).</t>
  </si>
  <si>
    <t>Motor Vehicle Prosecutor</t>
  </si>
  <si>
    <t>• Education: Possess a degree in law
  • Experience: Minimum period of seven years as an advocate after acquiring certificate of practice (sanad)</t>
  </si>
  <si>
    <t>Yes, updated</t>
  </si>
  <si>
    <t>Asst.Motor Vehicle Prosecutor</t>
  </si>
  <si>
    <t>Service entrance rules have not been approved by the government</t>
  </si>
  <si>
    <t>Stenographer Lower Grade</t>
  </si>
  <si>
    <t>• Education: Degree of any discipline of a statutory university or any other qualification declared by the govt to be equivalent thereto.
  Experience: not less than 100 words per minute in shorthand and not less than 40 words per minute in English typewriting or 30 words per minute in Marathi typewriting.</t>
  </si>
  <si>
    <t>Stenographer Higher Grade</t>
  </si>
  <si>
    <t>• Education: Degree of any discipline of a statutory university or any other qualification declared by the govt to be equivalent thereto
  Experience: not less than 120 words per minute in shorthand and not less than 40 words per minute in English typewriting or 30 words per minute in Marathi typewriting</t>
  </si>
  <si>
    <t>Assistant Motor Vehicle Inspector</t>
  </si>
  <si>
    <t>• Education: Minimum three years diploma in Automobile Engineering or Mechanical Engineering, or equivalent, after passing SSC Examination. Degree or higher in these fields is also eligible.
  Experience: not less than one year practical experience of repairing and maintenance of light motor vehicles, heavy goods vehicles, and heavy passenger vehicles, gained after acquiring the required educational qualifications, in a government or recognized workshop. Trainee/apprentice experience counts. If not possessed upon application, it must be obtained before completion of the probation period.
  • Skill (test): Possess a valid driving license authorizing him to drive motor cycle with gears, light motor vehicles, and transport vehicles (heavy goods vehicles and heavy passenger vehicles). If the heavy vehicle license is not held upon application, it must be obtained before completion of the probation period.</t>
  </si>
  <si>
    <t>Education: SSC + Diploma in Relevant Stream
 Experience / Additional Skills / Preferential Qualification: Not Required</t>
  </si>
  <si>
    <t>Clerkcumtypist</t>
  </si>
  <si>
    <t>• Education: Degree of any discipline of a statutory university or any other qualification declared by the govt to be equivalent thereto.
  • Skill (test): Government commercial Certificate or computer typing Certificate with a speed of not less than 30 words per minute in Marathi typewriting or 40 words per minute in English typewriting; Certificate in Computer Operation as prescribed by the Directorate of Information Technology, Government of Maharashtra from time to time.</t>
  </si>
  <si>
    <t>Industry</t>
  </si>
  <si>
    <t>Directorate of Government Printing Establishment</t>
  </si>
  <si>
    <t>Internal Training Officer / Inplant Training Officer/ Deputy Manager/ Manager &amp;small Presess)</t>
  </si>
  <si>
    <t>• Education: Degree or Diploma in Printing Technology
  • Experience: 3 years</t>
  </si>
  <si>
    <t>Requisition sent and advertisemnet published on 29-07-2025</t>
  </si>
  <si>
    <t>yes</t>
  </si>
  <si>
    <t>Internal Training Officer / Inplant Training Officer</t>
  </si>
  <si>
    <t>Manager (Small Presses)</t>
  </si>
  <si>
    <t>Cost Accounts Officer</t>
  </si>
  <si>
    <t>• Education: B.COM with 55% or M.COM OR M.B.A. In Finance, Passed the final examination of Chartered Accountant or Passed the final examination of Cost Accountant</t>
  </si>
  <si>
    <t>Medical Officer / Medical Officer</t>
  </si>
  <si>
    <t>• Education: Degree in M.B.B.S or B.A.M.S.</t>
  </si>
  <si>
    <t>Deputation post</t>
  </si>
  <si>
    <t>• Education: Degree or Diploma in Printing Technology
  • Experience: 5 Years</t>
  </si>
  <si>
    <t>2 posts and adventisement published on 10-11-2025</t>
  </si>
  <si>
    <t>Deputy Director / Deputy Director</t>
  </si>
  <si>
    <t>• Education: Degree in Printing Technology/Diploma in Printing Technology and Degree in any faculty
  • Experience: 7 Years</t>
  </si>
  <si>
    <t>• Education: Degree in Printing Technology/Diploma in Printing Technology and Degree in any faculty
  • Experience: 10 Years</t>
  </si>
  <si>
    <t>Labor Welfare Officer</t>
  </si>
  <si>
    <t>• Education: Post graduate Degree or Two years post graduate diploma in Labor Studies/Labourwefare etc.
  • Experience: Two years (based on diploma duration)</t>
  </si>
  <si>
    <t>Establishment Officer / Establishment Officer</t>
  </si>
  <si>
    <t>• Education: Degree
  • Experience: 5</t>
  </si>
  <si>
    <t>Assistant Director / Assistant Director</t>
  </si>
  <si>
    <t>Advertisement published on 24-09-2025</t>
  </si>
  <si>
    <t>• Education: B.COM with 55% or B.A. in Statistics or Maths or Economics subject with 55%, M.COM OR M.B.A. In Finance, Passed the final examination of Chartered Accountant or Passed the final examination of Cost Accountant</t>
  </si>
  <si>
    <t>Assistant Audit Accounts Officer</t>
  </si>
  <si>
    <t>Mechanical Engineer</t>
  </si>
  <si>
    <t>• Education: Diploma in Mechanical Engineering
  • Experience: 3 years</t>
  </si>
  <si>
    <t>Mechanical Engineer (Typewriters)</t>
  </si>
  <si>
    <t>Assistant Manager /Assistant Manager Publications</t>
  </si>
  <si>
    <t>• Education: Degree or Diploma in Printing Technology
  • Experience: 2 years</t>
  </si>
  <si>
    <t>Art Executive</t>
  </si>
  <si>
    <t>• Education: SSC and Diploma in Commercial Arts no</t>
  </si>
  <si>
    <t>Assistant Supervisor Counterpart</t>
  </si>
  <si>
    <t>• Education: S.S.C.
  • Experience: 3 years</t>
  </si>
  <si>
    <t>(6) by nomination from amongst candidates who-
 (ii) have passed S.S.C. Examination or its equivalent.
 (iii) possess knowledge of running various machines, routine machine adjustments make ready procedure.
 (iv) paper sizes, mixing of inks, rollers and dampers.
 (v) ability to guide and supervise a group of machinemen.
 Provided that qualification at (1) above may be relaxed in respect of a Departmental Candidate having a good record of service and possessing necessary Technical Competence.</t>
  </si>
  <si>
    <t>DTP Operator</t>
  </si>
  <si>
    <t>• Education: S.S.C. passed with Marathi subject.
  • Experience: 2 years.
  • Skill (test): M.S.C.I.T. and Govt.Commercial Certificate or Computer Typing Certificate for a speed of not less than 30 w.p.m. in English and Marathi typing and N.C.V.T. Certificate in D.T.P. or equivalent.</t>
  </si>
  <si>
    <t>1. Passed Secondary School Certificate Examination with Marathi as a subject.
 2. Minimum 3 years of service in a Government Printing Office on a grade pay of Rs.1900 or higher.
 necessary
 Certificate that the candidate have passed the MSCIT exam from a government recognized institute and have a minimum writing speed of 29 words per minute,</t>
  </si>
  <si>
    <t>Draft RR - SePraNi-2008/Pra.Kra.312/Udyog-4</t>
  </si>
  <si>
    <t>Machinist Grade1</t>
  </si>
  <si>
    <t>Assistant Supervisor Binding</t>
  </si>
  <si>
    <t>• Education: S.S.C. and Diploma in Printing Technology or Certificate in Typography course
  • Experience: 4 Years Departmental Apprenticeship 3 years</t>
  </si>
  <si>
    <t>Advertisement published on 07-02-2024 and ammended date 08-06-2024</t>
  </si>
  <si>
    <t>1) have passed the Secondary School Certificate Examination;
 2) hold a diploma in Printing Technology or a certificate in Typo-graphy. (Printing) granted by any recognised institution or a certificate granted by the Directorate of having completed 4 years' apprentice-ship in the Directorate or any other qualification declared by Government to be equivalent thereto:
 (iv) possess practical experience of various classes of binding, that is to say, case making, casing in,, ledger binding, hollow back, library binding, half and quarter binding and repair work;
 (v) possess experience of stop and through ruling, operations of cutting, folding, sewing machines, wire stitching, punching, eye letting, hand numbering, dye stamping and envelope making
 (vi) working knowledge of all the machines in the Binding Section
 (vii) have experience for a period of not less than 3 years in any reputed printing press:</t>
  </si>
  <si>
    <t>PST .1078/94101(2929)/IND-4</t>
  </si>
  <si>
    <t>27-05-1980</t>
  </si>
  <si>
    <t>Assistant Supervisor Standards/ Planning Asst. Supervisor Planning &amp; Standard</t>
  </si>
  <si>
    <t>• Education: S.S.C. and Diploma in Printing Technology or Certificate in Typography course/ National Apprenticeship/ 4 Years Departmental Apprenticeship or any other qualification declared by govt. to be equivalent.
  • Experience: 3 years</t>
  </si>
  <si>
    <t>DRAFT RRs
(b) by nomination from amongst the candidates who-
 (ii) have passed S.S.C. Examination or equivalent.
 (iii) hold a diploma in Printing Technology or Certificate in Typography (Printing) or a Certificate of National Apprenticeship or 4 years Departmental Apprenticeship or any other qualification declared by Govern-ment to be equivalent thereto.
 (iv) thorough practical experience of marking copy, translating the author's requirements in the technical language on work orders, editing to manuscript, planning and scheduling of printing jobs.
 (v) knowledge of costing and estimating, casting manuscript, various sizes and qualities of paper, type sizes and faces, various processes of printing.
 (vi) calculation of individual performance and production indices.
 Provided that qualification at (i) and (iii) above may be relaxed in respect of a Departmental Candidate having a good record of service and possessing necessary Technical Competence.
 Provided further that for direct recruitment, if candidates with the prescribed period of experience are not</t>
  </si>
  <si>
    <t>Assistant Supervisor (Processing)</t>
  </si>
  <si>
    <t>• Education: S.S.C. and Diploma in Printing Technology or Certificate in Typograph (Printing)/National Apprenticeship or 3 Year Departmental Apprenticeship
  • Experience: 3 years</t>
  </si>
  <si>
    <t>DRAFT RRs
b) nomination
 (ii) have passed S.S.C. Examination or its equivalent;
 (iii) hold a Diploma in Printing and Technology or Certificate in Typography (Printing) or Certificate National Apprenticeship, three years Departmental Apprenticeship or any other qualification described Government to be equivalent thereto;
 (iv) possess thorough practical knowledge of camera operating, techniques for line and halftone screens, contact screens, various chemicals required and he is able to work independently
 (v) suitablity of different types of films for different work. use of densitometer, enlarger, 
 (vi) maintenance of camera, lenses, filters, screens and materials;
 (vii) ability to do colour separation work.</t>
  </si>
  <si>
    <t>Senior Reader / Senior Reader</t>
  </si>
  <si>
    <t>• Education: S.S.C.
  • Experience: 5 Years</t>
  </si>
  <si>
    <t>26-06-2023- Sent to TCS</t>
  </si>
  <si>
    <t>1) have passed. Secondary School Certificate Examination,
 2) possess sound knowledge of English, Marathi and Hindi and practical experience gain experience gained after acquiring the SSC certificate of proof reading for not less than five years in large printing unit,
 3) ability to specify type faces, measures imposition schemes, format of forms, etc.,
 4) knowledge of arrangement of parts of the book, edit press copy. title pages, preparation of contents and index, etc.
 5) ability to arrange speedy disposal of work and to guide Readers and Composing staff in technical-matters such as house style, lay-out, etc.,</t>
  </si>
  <si>
    <t>RTR. 1182/25993/(2148)/ADM-2</t>
  </si>
  <si>
    <t>29-12-1990</t>
  </si>
  <si>
    <t>Pharmacist</t>
  </si>
  <si>
    <t>• Education: S.S.C. and Diploma in Pharmacy</t>
  </si>
  <si>
    <t>Mode of Recruitment:Deputation from Public Health</t>
  </si>
  <si>
    <t>Security Officer / Security Officer</t>
  </si>
  <si>
    <t>• Education: S.S.C. no</t>
  </si>
  <si>
    <t>DRAFT RRs</t>
  </si>
  <si>
    <t>Supervisor (Process)</t>
  </si>
  <si>
    <t>• Education: S.S.C. and Diploma in Printing Technology or Certificate in Typograph (Printing) or 4 Year Departmental Apprenticeship
  • Experience: 3 years</t>
  </si>
  <si>
    <t>DRAFT RRs
1) have passed SS. Εxamination
 2) possess a diploma in Printing Technology or a Cerfificate in Typography (Printing) granted by a recognised institution, or a certificate granted by the Directorate of having completed 4 years Apprinticeship in the Directorate or any other qualification declared by Government to be equivalent thereto,
 3) passess thorough knowledge of Photo engraving and photo litho techniques, Practical Mastery over samera operating techniques retouching, doretching;
 4) comprehensive knowledge of colour making techniques, use of contact screens, enlarger densitometers.
 5) have knowledge of three and four colour process work, etching exc,
 6) have knowledge of different methods of plate making, albumen and deepetch cic:
 7) have ability to control and supervise process staff, planning and progressing work, production record and quality control.
 8) have avessment of annual requirements,</t>
  </si>
  <si>
    <t>Supervisor Document</t>
  </si>
  <si>
    <t>• Education: S.S.C. passed with Marathi subject and Degree or Diploma in Printing Technology.
  • Experience: 2 years No (meaning no experience is required).
  • Skill (test): M.S.C.I.T. and Govt. Commercial Certificate or Computer Typing Certificate for a speed of not less than 30 w.p.m. in English and Marathi typing.</t>
  </si>
  <si>
    <t>(2) Passed Secondary School Certificate Examination with Marathi as a subject,
 (3) Degree/Diploma in Printing from a Constituent University/Institution and MSCIT examination passed from a government recognized institute,
 (4) Certificate of passing the Marathi and English Tanklekhana test of at least 20 words per minute from a government recognized institution,
 (5) Minimum 2 years of experience in writing work in a self-contained printing house
 It is further provided that if candidates with the prescribed period of experience are not available in sufficient numbers, candidates with less experience may also be considered.</t>
  </si>
  <si>
    <t>Draft RR - SePraNi-2016/Pra.Kra.43/11/Udyog-4</t>
  </si>
  <si>
    <t>Draft RR - RR Date not mentioned</t>
  </si>
  <si>
    <t>Supervisor Reading / Supervisor Reading</t>
  </si>
  <si>
    <t>• Education: S.S.C. and Diploma in Printing Technology or Certificate in Typograph (Printing)/National Apprenticeship
  • Experience: 10 Years</t>
  </si>
  <si>
    <t>DRAFT RRs
(i) have passed Secondary School Certificate Examination.
 (ii) hoid a diploma in Printing Technology or certificate in Typograph (printing) or certificate of National Apprenticeship or any other qualification declared by Government to be equivalent thereto,
 (iii) possess specialised knowledge connected with reading and practical experience gained after acquiring the qualification mentioned in sub-clauses (i) and (ii) above as proof reader for a minimum period of ten years,
  (iv) possess practical experience of book and job proof reading, type faces and lay outs
 (v) understand principles of display, the format of book, the princi-ples of imposition, editing of copy preparation of index, erratum and paper sizes,</t>
  </si>
  <si>
    <t>Supervisor Binding / Supervisor Binding</t>
  </si>
  <si>
    <t>• Education: S.S.C. and Diploma in Printing Technology or Certificate in Typography course
  • Experience: 4 Years Departmental Apprenticeship and 3 years</t>
  </si>
  <si>
    <t>(i) have passed the Secondary School Certificate Examination;
 (ii) hold a diploma in Printing Technology or a certificate in Typo-graphy (Printing) granted by any recognised institution or a certificate, granted by the Directorate of having completed four years apprentice-ship in the Directorate or any other qualification declared by Government to be equivalent thereto;
 (iii) possess practical experience of various binding operations including full binding, quarter binding, library binding, ledger binding, embossing, gilding, stop and through ruling, folding, sewing,, stitching and envelope making:
 (iv) have knowledge of mechanical operations connected with binding;
 (v) have knowledge of calculation of units, indenting of materials and forecasting the requirement of binding materials:
 (vi) have experience for a period of not less than three years in any reputed printing press;</t>
  </si>
  <si>
    <t>Supervisor Planning &amp; Standard</t>
  </si>
  <si>
    <t>• Education: S.S.C. and Diploma or Certificate in Typography course.
  • Experience: 3 years</t>
  </si>
  <si>
    <t>(DRAFT RRS
1) Pessing of Secondary School Certificate or its equivalent.
 (2) Diploma or certificate in Typography course.
 (3) Practical experience - He should have worked atleast for a period of 3 years in the supervisory post of the lower cadre, such as Composing Foreman, Assistant Oversees, Senior Reader, Lino or Meno Operator. In the case of Apprentices the condition of experience is relaxed to the period of one year.
 (4) Prospective candidate will be examined for their knowledge in English and one of the regional laguages, correspondence, casting of MSS, estimating, giving technical directions referring to the various operations carried out in the Press.</t>
  </si>
  <si>
    <t>Supervisor Training / Supervisor Training</t>
  </si>
  <si>
    <t>• Education: S.S.C. and Diploma in Printing Technology or Certificate in Typography (Printing) or Certificate of National Apprenticeship or 5 year Departmental apprenticeship
  • Experience: 3 years</t>
  </si>
  <si>
    <t>DRAFT RRs
(i) have passed S. S. C. Examination or its equivalent.
 (ii) hold a Diploma in Printing Technology or Certificate in Typograpy. (Printing) or Certificate of National Apprenticeship or 5 years Departmental Apperenticeship or any other qualification declared by Govern-ment to be equivalent thereto.
 (iv) possess thorough practical knowledge including routine adjustments and maintenance of the plant in any one of the following subjects:
 (1) Hand composing, (2) Lino composing, (3) Mono composing, (4) Mono casting, (5) Letterpress printing. (6) Offset printing, (7) Process camera photography. (8) Lithography. (9) Plate-making, (10) Engraving, (11) Book binding.
 (vi) Possess practical experience on the production side in a printing press at least for a period of 3 years. Provided that qualification at (b)(ii) and (iii) above may be relaxed in respect of a departmental candi-date having a good record of service and possessing necessary technical competence.</t>
  </si>
  <si>
    <t>Supervisor Offset</t>
  </si>
  <si>
    <t>• Education: S.S.C. and Diploma in Printing Technology or Certificate in Typograph (Printing)/National Apprenticeship or 4 Year Departmental Apprenticeship
  • Experience: 3 years</t>
  </si>
  <si>
    <t>DRAFT RRs
1) SSC 
 2) Diploma in printing technology or certificate in typography (printing), certificate of National Apprenticeship OR; 4 years Departmental Apprenticeship OR; any other equivalent qualification
 3) Knowledge of operation of Offset Machines, their settings and adjustments
 make-ready of machines before running jobs.
 4) plate fitting, inking and damping preparation for printing.
 5) roller setting, imposition schemes suitable for folding machines.colour mixing and minor repairs and routin machine maintenance.
 6) Ability to control and supervise machine room staff. Planning and distribution of work.
 7) Knowledge of colour mixing</t>
  </si>
  <si>
    <t>Female Nurse</t>
  </si>
  <si>
    <t>• Education: B.sc. Degree in Nursing</t>
  </si>
  <si>
    <t>(b) are qualified nurse-midwives or qualified nurses and registered with e Maharashtra Nursing Council or are eligible for such registration; or
 (c) hold the B.Sc. degree in Nursing recognised by the Indian Nursing Council and are registered with the Maharashtra Nursing Council or are eligible for such registration.</t>
  </si>
  <si>
    <t>Draft RR - NUR/3761/23794/63387/G</t>
  </si>
  <si>
    <t>Draft RR - 10-01-1964</t>
  </si>
  <si>
    <t>Senior Artist</t>
  </si>
  <si>
    <t>• Education: SSC and Diploma in Commercial Arts/ Fine Arts no</t>
  </si>
  <si>
    <t>Male Nurse</t>
  </si>
  <si>
    <t>Steno- Active</t>
  </si>
  <si>
    <t>• Education: SSC and Govt.Commercial Certificate
  • Skill (test): Speed of not less than 100 w.p.m. in shorthand; speed of not less than 40 w.p.m. in English typing or 30 w.p.m. in Marathi typing</t>
  </si>
  <si>
    <t>Junior Assistant Manager / Jr.Assistant Manager</t>
  </si>
  <si>
    <t>• Education: Diploma in Printing Technology or Certificate in Typography (Printing) or National Apprenticeship in Printing or Certificate of Complication of 4 years Departmental Apprenticeship
  • Experience: 4 years</t>
  </si>
  <si>
    <t>DRAFT RRs
(1) a diploma in Printing Techonology in off-set printing or letter press printings or
 (2) a certificate in Typography (Printing) granted by recognised institution(or)
 (3) a certificate of National Apprentice-ship in printing or
 (4) a certificate of completion of 4 years Dapartment Apprenticeship or
 (5) any other qualification declared by Government to be equivalent to any of the above qualification,
 (6) have ability to plan jobs, edit manuscripts, casting up of manuscript, maintenance of production records and knowledge of casting off
 (7) have a sound and overall knowledge of various branches of letter press or offset printing and also possess specialised knowledge of one of the branches such as mechanical composition printing, binding, camera work,
 (e) have supervising experience for a period of not less than four years in a printing press which in the opinion of the appointing authority.
 is large printing press and ability to guide staff in all technical matters: and</t>
  </si>
  <si>
    <t>Draft RR - RTR 1182/1407 19(42)/LOM-1</t>
  </si>
  <si>
    <t>Draft RR - 1986</t>
  </si>
  <si>
    <t>Offset Technologist</t>
  </si>
  <si>
    <t>• Education: S.S.C. and Diploma in Printing Technology or Certificate in Typograph (Printing)/National Apprenticeship or 4 Year Departmental Apprenticeship or any other qualification declared by government.
  • Experience: 3 years</t>
  </si>
  <si>
    <t>• Education: SSC and Govt. Commercial Certificate
  • Skill (test): Speed of not less than 120 w.p.m and a speed of not less than 40 w.p.m. in English typing or 30 w.p.m. in Marathi typing</t>
  </si>
  <si>
    <t>Head Artist</t>
  </si>
  <si>
    <t>• Education: SSC and Diploma in Commercial Arts/ Fine Arts</t>
  </si>
  <si>
    <t>Auxillary</t>
  </si>
  <si>
    <t>• Education: 9th pass No</t>
  </si>
  <si>
    <t>Sutar Junior / Carpenter (Junior)</t>
  </si>
  <si>
    <t>• Education: 9th pass</t>
  </si>
  <si>
    <t>Binding Auxiliary / Binding Auxiliary</t>
  </si>
  <si>
    <t>• Education: 9th pass
  • Experience: 3 years</t>
  </si>
  <si>
    <t>Inserter / Packer</t>
  </si>
  <si>
    <t>• Education: 9th pass required</t>
  </si>
  <si>
    <t>Ulcer healer / Dresser</t>
  </si>
  <si>
    <t>Counter</t>
  </si>
  <si>
    <t>Drawer</t>
  </si>
  <si>
    <t>Rubber Stamp Operator</t>
  </si>
  <si>
    <t>content attendant</t>
  </si>
  <si>
    <t>Mazdoor Mukadam / Mazdoor Mukadam</t>
  </si>
  <si>
    <t>• Education: 7 th pass No</t>
  </si>
  <si>
    <t>Copy Holder</t>
  </si>
  <si>
    <t>1) have passed Secondary School Certificate Examination
 2) possess ability to read manuscripts in English, Hindi and any one of the regional languages
 3) accurate in dictation, punctuation, spelling and composition
 4) Provided that preference may be given to candidates who have completed their apprenticeship in composing Lino or Mono.</t>
  </si>
  <si>
    <t>• Education: Degree and Govt.Commercial Certificate or Computer Typing Certificate
  • Skill (test): English typing speed of not less than 40 w.p.m. or Marathi typing speed of 30 w.p.m.</t>
  </si>
  <si>
    <t>Process Assistant</t>
  </si>
  <si>
    <t>DRAFT RRs
(b) nomination-
 ii) have passed Std. IX Examination;
 iii) have knowledge of plate making methods, various types of Plates albumen, deep etch, bimetalic etc.;
 iv) have suitability of negative and positives, chemicals and materials used;
 v) have ability to produce first class plates for firie line and halftone work;
 vi) possess good health &amp; physique suitable for sustained heavy manval work. 
 vii) knowledge of printing down on metal for line and halftone work:
 Provided that the age limit/period of experience may be relaxed in the case of a nominated candidate by Government on the recommendation of the Selecting Authority in favour of candidates having exceptional qualifications or experience or both.</t>
  </si>
  <si>
    <t>Attendant Offset</t>
  </si>
  <si>
    <t>DRAFT RRs
ii) IX standard examination
 iii) capable of sustained heavy manual work such as carrying heavy forms, reams of paper, printed sheets
 iv) locking and unlocking plates, cleaning plates, minor machine adjustment, knowledge of feeding the machine
 v) cleaning rollers, ink duct, plate washing.
 vi) to give outturn at the prescribed speed.
 vii) have experience for a period of not less than 3 years in the Printing Press.
 Provided that the preference will be given to candidates who have completed training under the Apprentices Training Act, 1961</t>
  </si>
  <si>
    <t>Sutar / Carpenter</t>
  </si>
  <si>
    <t>• Education: S.S.C. and Certificate in Wiremanship with 2nd grade
  • Experience: 2 years</t>
  </si>
  <si>
    <t>DRAFT RRs
1) IX standard
 2) Experience in turning, fitting, grinding knives, welding and repairs to printing, binding and offset machines
 3) Experience of wiring will be given preference</t>
  </si>
  <si>
    <t>Assistant Electrician</t>
  </si>
  <si>
    <t>• Education: S.S.C. and Certificate in Wiremanship
  • Experience: 2 years</t>
  </si>
  <si>
    <t>DRAFT RRs
1) have passed S.S.C. Examination or its equivalent.
 (2) possess a Certificate of 2nd class wiremanship.
 (3) practical experience in wiring repairs to electrical installations for a period of 2 years.
 (4) knowledge of repairs and adjustments to printing, binding and composing machinery.
 (5) able to carry out repairs to electrical generators and other electrical installations.
 (6) maintenance of log book, routine and preventive maintenance of motors and electrical installations.
 (7) knowledge of electrical motors of various types their maintenance and repairs, internal electrical circuits in different types of machines, electrical operating devices, their adjustment and maintenance</t>
  </si>
  <si>
    <t>Liner / Mounter</t>
  </si>
  <si>
    <t>seller</t>
  </si>
  <si>
    <t>• Education: S.S.C. no
  • Skill: Fluency in Marathi, English, and Hindi</t>
  </si>
  <si>
    <t>Distributor</t>
  </si>
  <si>
    <t>Judhari / Compositor</t>
  </si>
  <si>
    <t>• Education: S.S.C. and Hand Composing Certificate, Industrial Training
  t mentioned</t>
  </si>
  <si>
    <t>Dead cadre</t>
  </si>
  <si>
    <t>Author (Binding) to Progress Check</t>
  </si>
  <si>
    <t>• Education: S.S.C., and Diploma in Printing Technology or Certificate in Typography or any other certificate equivalent thereto.
  • Experience: 3 years</t>
  </si>
  <si>
    <t>Tracer</t>
  </si>
  <si>
    <t>Tracer (ITI) (NG Technical)</t>
  </si>
  <si>
    <t>• Education: S.S.C. and intermediate drawing grade examination of the government.
  • Experience: 3 years</t>
  </si>
  <si>
    <t>DRAFT RRs
(a) have passed S.S.C. Examination.
 (b) hold Certificate of Intermediate Drawing Grade Examination of the Government of Maharashtra or any other qualification declared by Government to be equivalent thereto;
 (iv) possesses practical experience of Tracing work for not less than 3 years.</t>
  </si>
  <si>
    <t>• Education: S.S.C. no
  • Skill (test): Have knowledge of Marathi, English and Hindi with fluency in Speaking</t>
  </si>
  <si>
    <t>Experience / Preferential Qualification: Not Required</t>
  </si>
  <si>
    <t>DRAFT RRs
Clause 3(b)
  ii) Possess a degree of a statutory University
 iv) 3 years experience</t>
  </si>
  <si>
    <t>RTR. 1382/145733/(167)/ADM-2</t>
  </si>
  <si>
    <t>• Education: SSC and Govt.Commercial Certificate
  • Skill (test): Speed of not less than 80 w.p.m and a speed of not less than 40 w.p.m. in English typing or 30 w.p.m. in Marathi typing</t>
  </si>
  <si>
    <t>Film Setter Operator</t>
  </si>
  <si>
    <t>• Education: S.S.C. passed with Marathi subject
  • Skill (test): M.S.C.I.T. and Govt.Commercial Certificate or Computer Typing Certificate for a speed of not less than 30 w.p.m. in English and Marathi typing and N.C.V.T. Certificate in D.T.P. or equivalent</t>
  </si>
  <si>
    <t>DRAFT RRs
(d) By nomination from among the candidates fulfilling the following conditions,
 (2) Passed Secondary School Certificate Examination with Marathi as a subject,
 (3) Passed the MSCIT examination of a government recognized institute
 (4) Certificate of passing the Marathi and English Tanklekhana test of at least 30 words per minute from a government recognized institution,
 (5) Certificate from a government recognized institution stating that one has acquired knowledge of computer systems related to printing or a certificate of passing the DTP course of the National Vocational Training Institute,
 (6) At least 2 years of experience in working on printed matter in a self-contained printing house,
 It is further provided that if sufficient number of candidates with the prescribed period of experience are not available, candidates with less experience may also be considered.</t>
  </si>
  <si>
    <t>SEPRANI-2011/C.R. 43/11/UDYOG-4</t>
  </si>
  <si>
    <t>Technical Asst.Film Setter Operatorr</t>
  </si>
  <si>
    <t>• Education: S.S.C. passed with Marathi subject.
  • Skill (test): M.S.C.I.T., Govt. Commercial Certificate or Computer Typing Certificate (speed of not less than 30 w.p.m. in English and Marathi typing), and N.C.V.T. Certificate in D.T.P. or equivalent.</t>
  </si>
  <si>
    <t>Mechanic / Mechanic</t>
  </si>
  <si>
    <t>• Education: S.S.C. and Certificate in Wiremanship with 2nd grade
  • Experience: 3 experience</t>
  </si>
  <si>
    <t>DRAFT RRs
1) have passed S.SC. Examination or its equivalent:
 (2) knowledge of erection, dismantling and repairs to press machinery of various descriptions, lathe work, suming, drilling, riling, fitting operations;
 3) manufacture of spare parts, grinding knives, welding</t>
  </si>
  <si>
    <t>Machine Operator offset</t>
  </si>
  <si>
    <t>DRAFT RRs
1) SSC
 2) knowledge of running two colour or four colour offset machine, routine machine adjustments, plate fitting, inking, damping
 (3) roller setting.care of roilers and blankets.
 4) routine machine maintenance, printing of multicolour halftone work.
 5) to give outturn at the prescribed speed</t>
  </si>
  <si>
    <t>• Education: S.S.C. and Electrical Supervisor or ITI Electrical Course
  • Experience: 3 years</t>
  </si>
  <si>
    <t>DRAFT RRs
1) have passed S.S.C. Examination or its equivalent.
 2) possess licence in Electrical Supervisor Course or ITI Electrician Course.
 3) knowledge of electrical motors of various types, their maintenance and repairs.
 4) thorough knowlelge of internal electrical circuits in different types of machines, printing, binding, cameras. whirlers, glazing machine, electrical operating devices on these machines, their adjustments and maintenance.
 5) routine and preventive maintenance of electrical motors and installation, stooking of spares:</t>
  </si>
  <si>
    <t>Assistant Planning and Standards</t>
  </si>
  <si>
    <t>• Education: S.S.C. and Diploma in Printing Technology or 4 Years Apprenticeship
  • Experience: 2 years</t>
  </si>
  <si>
    <t>DRAFT RRs
1) have passed S.S.C. Examination or equivalent.
 2) hold a diploma in Printing Technology or Certificate in Typography (Printing) or a Certificate of National Apprenticeship or 4 years Departmental Apprenticeship or any other qualification declared by Govern-ment to be equivalent thereto.
 3) thorough practical experience of marking copy, translating the author's requirements in the technical language on work orders, editing to manuscript, planning and scheduling of printing jobs.
 4) knowledge of costing and estimating, casting manuscript, various sizes and qualities of paper, type sizes and faces, various processes of printing.
 5) calculation of individual performance and production indices.</t>
  </si>
  <si>
    <t>Reader</t>
  </si>
  <si>
    <t>• Education: S.S.C.</t>
  </si>
  <si>
    <t>1) SSC
 2) have sound knowledge of English, Marathi and Hindi,
 3) have ability to specify type faces, measures imposition schemes, format of the form and knowledge of various sizes and qualities of
 paper, languages
 4) have passed the prescribed test in dictation and knowledge of languages
 5) to give outturn at the prescribed speed.</t>
  </si>
  <si>
    <t>Process Operator / Process Operator</t>
  </si>
  <si>
    <t>DRAFT RRs
1) have passed S.S.C. Examination
 2) have thorugh knowledge of camera work including dark room camera, use of screen, contact screen, various chomical rewuied:
 3) Have knowledge of camera operating technique for line and halftone work
 4) have knowledge of suitablity of different types of films for different work, use of densitometer;
 5) have ability to maintenance of camera, lenses, filters, screens and materials;</t>
  </si>
  <si>
    <t>Matching progress checks</t>
  </si>
  <si>
    <t>• Education: S.S.C., and Trainee/Industrial Training Completed</t>
  </si>
  <si>
    <t>Decoration Composer / Display Compositor</t>
  </si>
  <si>
    <t>Industry Directorate Establishment</t>
  </si>
  <si>
    <t>Dy. Director of Industries (Technical)</t>
  </si>
  <si>
    <t>• Education: Bachelor's Degree in Engineering (Other than Civil Engineering, Architecture, Town Planning or any other subject linked with Civil Engineering Group of subject) or Technology from a statutory university.</t>
  </si>
  <si>
    <t>Industries Officer (Technical)</t>
  </si>
  <si>
    <t>• Education: Bachelor's Degree in Engineering (Other than Civil Engineering, Architecture, Town Planning or any other subject linked with Civil Engineering Group of subject) or Technology or Science from a statutory university</t>
  </si>
  <si>
    <t>Industries Inspector</t>
  </si>
  <si>
    <t>• Education: Diploma in Engineering (Other than Civil Engineering, Architecture, Town Planning or any other subject linked with Civil Engineering Group of subject) or Technology or Science from a statutory university</t>
  </si>
  <si>
    <t>(ii) possess diploma in Engineering (other than in Civil Engineering, Architecture, Town Planning or any other subject linked with Civil Engineering group of subjects) or Technology; or
 (iii) possess a Degree in Science.</t>
  </si>
  <si>
    <t>SRR-2414/C.R.78/Ind-3</t>
  </si>
  <si>
    <t>Steno Typist (Lower Grade)</t>
  </si>
  <si>
    <t>• Education: Govt. Commercial certificate
  • Skill (test): Short hand speed of not less than 100 words per minute; Typing speed not less than 40 wpm in English; Typing speed not less than 30 wpm in Marathi</t>
  </si>
  <si>
    <t>Steno Typist (Higher Grade)</t>
  </si>
  <si>
    <t>• Education: Govt. Commercial certificate
  • Skill (test): Shorthand speed not less than 120 words per minute; Typing speed not less than 40 wpm in English and 30 wpm in Marathi</t>
  </si>
  <si>
    <t>• Education: Possess a degree
  • Skill (test): Govt. Commercial certificate or computer typing certificate not less than 30 w.p.m. Typing</t>
  </si>
  <si>
    <t>Senior Clerk (Statistics)</t>
  </si>
  <si>
    <t>• Education: Possess a Master's degree in Mathematics, Economics, Commerce, Statistics or Econometrics; or have passed at least in second class or have secured at least 45 per cent marks in Bachelor's degree examination with Mathematics, Economics, Commerce, Statistics or Econometrics as one of the subjects.
  • Experience: At least one year in a statistical organization.</t>
  </si>
  <si>
    <t>Dying cadre as confirmed by the department</t>
  </si>
  <si>
    <t>Clause No. 3(b)
 (ii) possesses a Bachelor's degree in Mathematics, Economics, Commerce or Statistics of any recognised University or a Diploma in Public and Business Administration in the Second class awarded by the Sydenhan College of Commerce and Economics, Bombay
 (iii) have at least one year's experience in a Statistical Organisation</t>
  </si>
  <si>
    <t>IST 1073/214/IND-3</t>
  </si>
  <si>
    <t>• Education: Govt. Commercial certificate
  • Skill (test): Shorthand speed not 80 words per minute; English typing speed not less than 40 wpm; Marathi typing speed not less than 30 wpm</t>
  </si>
  <si>
    <t>Labour</t>
  </si>
  <si>
    <t>Labour (Boiler Establishment)</t>
  </si>
  <si>
    <t>• Education: Degree, Two year
  • Experience: Two years experience as a technical personnel in the design, construction, erection, operation, testing, repair, maintenance or inspection of boilers or in the implementation of the Act and Rules and Regulations framed thereunder</t>
  </si>
  <si>
    <t>System Analysis</t>
  </si>
  <si>
    <t>• Education: Degree in Computer Engineering / Computer Science / Information Technology
  • Experience: Minimum three years collective work experience in computer programming, designing, testing and maintenance of website &amp; designing, testing and maintenance of online services.</t>
  </si>
  <si>
    <t>Junior Technical Assistant</t>
  </si>
  <si>
    <t>• Education: Diploma in Mechanical Engineering
  • Experience: 3 years post educational qualification experience of actual working in an approved Boilers or Pressure Vessels or Pressure Parts manufacturing factory individually or cumulatively in the following field, Drawings, Design &amp; Production</t>
  </si>
  <si>
    <t>11) are Licenciate in Mechanical Engineering or who hold Diploma in Mechanical Engineering from any recognised Engineering College of Technical Institute.
 Provided the preference may be given to a candidate with experience in the line.</t>
  </si>
  <si>
    <t>SBE.1166/107024-Leb.III</t>
  </si>
  <si>
    <t>• Education: As per GAD RRs</t>
  </si>
  <si>
    <t>• Education: Degree0
  • Skill (test): 40W.p.m.English Typing, 30W.p.m.Marathi Typing and MSCIT</t>
  </si>
  <si>
    <t>Labour (Directorate of Industrial Safety and Health Establishment)</t>
  </si>
  <si>
    <t>• Education: Degree of Mech/ Elec./Electronics/ Instru./Chem engg./Chem.Tech. or any other equivalent degree ( AICTE or UCG)
  • Experience: Seven years experience in any factory</t>
  </si>
  <si>
    <t>• Education: Degree in Law of a recognised University
  • Experience: At least five years in the conduct of cases in Criminal courts</t>
  </si>
  <si>
    <t>Certifying Surgeon</t>
  </si>
  <si>
    <t>• Education: 1) M.D and AFIH 2)M.B.B.S. and D.I.H. 3)M.B.B.S. and AFIH
  • Experience: 1) Nil 2)Two Years 3)Three years in the field of Occupational diseases</t>
  </si>
  <si>
    <t>Deputy Director (Medical)</t>
  </si>
  <si>
    <t>• Education: 1) M.D and AFIH 2)M.B.B.S.and D.I.H. 3)M.B.B.S. and AFIH
  • Experience: 1) one year 2)Three years 3)Four years in the field of Occupational diseases</t>
  </si>
  <si>
    <t>• Education: Degree of Mech/ Elec./Electronics/ Instru./Chem engg./Chem.Tech. or any other equivalent degree ( AICTE or UCG)
  • Experience: Two years experience in any factory</t>
  </si>
  <si>
    <t>• Education: Degree of Statutory University in Science in Microbiology or Biochemistry or Biology (in Botony or Zoology) or Chemistry
  • Experience: At least two years of actural work experience in Chemical or Pathological Laboratory</t>
  </si>
  <si>
    <t>1) Possess a Degree of Statutory University in Science in Microbiology or Biochemistry or Biology (in Botony or Zoology) or Chemistry;
 2) has completed a Diploma in Medical Laboratory Technology (DMLT) from the Government recognized Institute.
 AND
 (iv) have at least two years of actual work experience in Chemical or Pathological Laboratory.</t>
  </si>
  <si>
    <t>DISH-0313/CR-31/Lab-1</t>
  </si>
  <si>
    <t>13-02-2023</t>
  </si>
  <si>
    <t>Steno-Typist</t>
  </si>
  <si>
    <t>• Education: Degree, MSCIT
  • Skill (test): 80 w.p.m. shorthand, 40 w.p.m. Typing</t>
  </si>
  <si>
    <t>Labour (Industry and Labour Court Establishment)</t>
  </si>
  <si>
    <t>Junior Investigation Officer</t>
  </si>
  <si>
    <t>Not prepared</t>
  </si>
  <si>
    <t>Secretary</t>
  </si>
  <si>
    <t>Not Prepared</t>
  </si>
  <si>
    <t>Deputy Registrar</t>
  </si>
  <si>
    <t>• Education: A degree of a statutory university or any other qualification declared by the Government to be equivalent thereto.</t>
  </si>
  <si>
    <t>Assistant Registrar</t>
  </si>
  <si>
    <t>• Education: Possess degree in Law from recognised university
  • Skill (test): Yes</t>
  </si>
  <si>
    <t>Requisition sent for MPSC 15 post on March 2025, advertisement published</t>
  </si>
  <si>
    <t>Updated - 2022-23</t>
  </si>
  <si>
    <t>• Education: SSC
  • Skill (test): English Short Hand @ 100 w.p.m., English Typing @ 40 w.p.m., Marathi typing @ 30 w.p.m.</t>
  </si>
  <si>
    <t>PA/Stenographer (HG)</t>
  </si>
  <si>
    <t>• Education: SSC
  • Skill (test): English Short Hand @ 120 w.p.m., English Typing @ 40 w.p.m., and Marathi typing @ 30 w.p.m.</t>
  </si>
  <si>
    <t>Clerk Typist/Junior Clerk/Lower Division Clerk/Typist/Clerk Cum Telephone Operator</t>
  </si>
  <si>
    <t>• Education: Graduate
  • Skill (test): English Typing @ 40 w.p.m. &amp; Marathi typing @ 30 w.p.m.</t>
  </si>
  <si>
    <t>Updated 2023-24</t>
  </si>
  <si>
    <t>• Education: SSC
  • Skill (test): English Short Hand @ 80 w.p.m., English Typing @ 40 w.p.m., &amp; Marathi typing @ 30 w.p.m.</t>
  </si>
  <si>
    <t>Labour Commissioner Establishment</t>
  </si>
  <si>
    <t>Assistant Commissioner of Labour</t>
  </si>
  <si>
    <t>• Education: Any degree</t>
  </si>
  <si>
    <t>Government Labour Officer</t>
  </si>
  <si>
    <t>Senior Labour Investigator</t>
  </si>
  <si>
    <t>• Education: Degree in Economics, Commerce, Mathematics, Statistics, or Social Work of a recognized University.
  • Experience: 2 years of Social-Economic experience.
  • Preference: Candidates holding an honours degree or a diploma in social science or having experience of 2 years of Social-Economic.</t>
  </si>
  <si>
    <t>1) Degree in economics, commerce, mathematics, Statistics or Social Work of a recognised university
 2) Preference will be given to candidates holding an honors degree or a diploma in social science or haviung experience of 2 years in scoial economics inquiries</t>
  </si>
  <si>
    <t>1104/46</t>
  </si>
  <si>
    <t>• Education: Secondary School Certificate
  • Experience: Training and experience in Telephone Operating
  • Skill (test): Knowledge Of Marathi, English and Hindi, with fluency in speaking</t>
  </si>
  <si>
    <t>1) have passed the Secondary School Certificate Examination; and
 Provided that, preference may be given to a candidate possessing training and experience in Telephone Operating:
 Provided further that, preference may be given to a candidate who, in the opinion of the Selecting Authority, possesses pleasing manners and agreeable Voice:
 Provided also that the age limit may be relaxed by Government on the commendation of the Selecting Authority in favour of candidates Laving exceptional qualifications or expericuce or both. MA (2-5-85)</t>
  </si>
  <si>
    <t>RLR. 1080/50/XII</t>
  </si>
  <si>
    <t>Clerk typist</t>
  </si>
  <si>
    <t>Possess a degree from a recognised University
 Preferably Economics, Mathematics and Statistics</t>
  </si>
  <si>
    <t>CLE-1356/4402-I</t>
  </si>
  <si>
    <t>19-11-1958</t>
  </si>
  <si>
    <t>Shop Inspector Grade-2</t>
  </si>
  <si>
    <t>Inspector (NG Admin)</t>
  </si>
  <si>
    <t>KAA-1203/C.R.803/Kamgar-8</t>
  </si>
  <si>
    <t>• Education: Diploma in Library science, Degree in Library Science</t>
  </si>
  <si>
    <t>Junior Labour Investigator</t>
  </si>
  <si>
    <t>• Education: Degree in Economics, Commerce, Mathematics, Statistics, or social work of a recognized University.
  • Experience: Having experience of Social-Economic enquiries.
  • Preference: Candidates holding an honours degree or post graduates diploma in social science or having experience of Social-Economic enquiries.</t>
  </si>
  <si>
    <t>1) Degree in economics, commerce, mathematics, statistics or social work
 2) Preference shall be given to candidates holding honors degree or a post-graduate diploma in social sciences, or having experience in social economics inquiries</t>
  </si>
  <si>
    <t>CLB 1881/22485/(3379)/LAB-3</t>
  </si>
  <si>
    <t>Labour Studies Establishment</t>
  </si>
  <si>
    <t>Assistant Professor (Labour Studies) BOM</t>
  </si>
  <si>
    <t>• Education:
  • Bachelor's Degree from a Statutory University
  • Master’s Degree in Social Sciences with Labour Economics/Industrial Economics /Industrial Sociology/Industrial Psychology/Industrial Relations/Labour Legislations/Research and Statistics / Social Work as a subject OR Master’s Degree in Labour studies/Master of Human Capital Management &amp; Employee Relations (MHCM\&amp;ER) OR MBA/MMS with specialization in HR from a Statutory University with minimum 55% marks (or equivalent grade)
  • A Ph.D. Degree in the concerned discipline OR passed National Eligibility Test (NET) OR State Eligibility Test (SET)
  • Experience: Minimum one year of teaching at post-graduate level in the subject concerned through either in English or in Marathi or in Hindi OR having minimum one year of research work or practical training or field work supervision of labour related work</t>
  </si>
  <si>
    <t>Assistant Professor (Labour Studies) NAG</t>
  </si>
  <si>
    <t>• Education: Bachelor's Degree from a Statutory University, Master's Degree in Social Sciences (with relevant subjects) or Labour studies/MHCM\&amp;ER or MBA/MMS (HR) from a Statutory University with minimum 55% marks, and a Ph.D. Degree or passed NET/SET.
  • Experience: Minimum one year of teaching at post-graduate level OR minimum one year of research work or practical training or field work supervision of labour related work.</t>
  </si>
  <si>
    <t>Registrar BOM</t>
  </si>
  <si>
    <t>• Education: Bachelor's Degree from a Statutory University</t>
  </si>
  <si>
    <t>Librarian BOM</t>
  </si>
  <si>
    <t>• Education: Bachelor’s Degree in Librarian Science from a Statutory University</t>
  </si>
  <si>
    <t>Librarian NAG</t>
  </si>
  <si>
    <t>• Education: Bachelor’s Degree in Librarian Science from a Statutory University.</t>
  </si>
  <si>
    <t>Clerk Typist BOM</t>
  </si>
  <si>
    <t>sent for certification to divisional commissioner - Nov 25</t>
  </si>
  <si>
    <t>Clerk Typist NAG</t>
  </si>
  <si>
    <t>• Education: No
  The qualifications are laid down in Government Notification, General Administration Department, No. RTR 1013/CR 50/13/ 14-A dated 21 February 2018.</t>
  </si>
  <si>
    <t>Not required as of now, as 0 vacant post</t>
  </si>
  <si>
    <t>Clerk Typist/Junior Clerk/Lower Division Clerk/Typist/Clerk Cum Telephone Operator
 NAG and BOM</t>
  </si>
  <si>
    <t>• Education: Graduate
  • Skill (test): English Typing @ 40 w.p.m. &amp; Marathi typing @ 30 w.p.m.
  • Preference: YES</t>
  </si>
  <si>
    <t>To be Outsourced</t>
  </si>
  <si>
    <t>Steno Typist NAG</t>
  </si>
  <si>
    <t>• Education: Based on Government Notifications (No. ASC 1593/3619/ XIV-A dated 31 July, 1997 and RTR 1507/C.R. 134/07/ XIV-A dated 19 November, 2008)
  • Experience: Based on Government Notifications (No. ASC 1593/3619/ XIV-A dated 31 July, 1997 and RTR 1507/C.R. 134/07/ XIV-A dated 19 November, 2008)
  • Skill (test): Based on Government Notifications (No. ASC 1593/3619/ XIV-A dated 31 July, 1997 and RTR 1507/C.R. 134/07/ XIV-A dated 19 November, 2008)
  • Physical Qualification (test): Based on Government Notifications (No. ASC 1593/3619/ XIV-A dated 31 July, 1997 and RTR 1507/C.R. 134/07/ XIV-A dated 19 November, 2008)
  • Preference: Based on Government Notifications (No. ASC 1593/3619/ XIV-A dated 31 July, 1997 and RTR 1507/C.R. 134/07/ XIV-A dated 19 November, 2008)</t>
  </si>
  <si>
    <t>Steno Typist BOM</t>
  </si>
  <si>
    <t>• Education: No
  • Preference: Qualifications as laid down Government Notifications, General Administration Department,No.ASC 1593/3619/ XIV-A dated 31 July, 1997 and RTR 1507/C.R. 134/07/ XIV-A dated 19 November, 2008.</t>
  </si>
  <si>
    <t>Law and Judiciary</t>
  </si>
  <si>
    <t>Administrator General and Offcial Trustee of Maharashtra State, Mumbai Establishment</t>
  </si>
  <si>
    <t>Administrative General And Government Trusty</t>
  </si>
  <si>
    <t>Steno - Active</t>
  </si>
  <si>
    <t>• Education: S.S.C.
  • Skill (test): Short Hand 100 wpm, Typing Eng-40 Mar-30</t>
  </si>
  <si>
    <t>• Education: Graduate in any field
  • Skill (test): Typing Eng-40 Mar-30</t>
  </si>
  <si>
    <t>Government Pleader Office Establishment</t>
  </si>
  <si>
    <t>District Judge</t>
  </si>
  <si>
    <t>(New Service) Maharashtra Judicial Officer Service</t>
  </si>
  <si>
    <t>update Under process</t>
  </si>
  <si>
    <t>Lower Grade Steno Grapher</t>
  </si>
  <si>
    <t>• Education: Graduation
  • Skill (test): 1. 100 wpm S/H, 2. Eng (40 wpm), 3. March (30wpm)</t>
  </si>
  <si>
    <t>Civil Judge Junior Division and Judicial Magistrate First Class</t>
  </si>
  <si>
    <t>Higher Grade Steno Grapher</t>
  </si>
  <si>
    <t>• Education: Graduation
  • Skill (test): 120 wpm S/H, Eng (40 wpm), March (30wpm)</t>
  </si>
  <si>
    <t>• Education: Bachelor's Degree in Library Science and Bachelor's Degree in Library Science and Information</t>
  </si>
  <si>
    <t>1) SSC
 (Dept uses the RR for shelf-cum-catalogue assistant for this cadre, as informed by them)</t>
  </si>
  <si>
    <t>• Education: B.Lib &amp; M.Lib
  • Experience: N.A.
  t Applicable</t>
  </si>
  <si>
    <t>1) possess a degree in any faculty atleast in second class or a post graduate degree
 2) have practical experience gained after acquiring the qualification mentioned in sub-clause (ii) of this rule, of Library work for not less than 5 years in reputed and organised Library</t>
  </si>
  <si>
    <t>Junior Translator and Interpreter</t>
  </si>
  <si>
    <t>• Education: No
  • Skill (test): Special skill in Translation</t>
  </si>
  <si>
    <t>Repeat Entry</t>
  </si>
  <si>
    <t>• Education: as per Recruitment Rules of GAD
  • Skill (test): English Typing Speed ​​40 WPM</t>
  </si>
  <si>
    <t>• Education: Government Recognized Any Degree
  • Skill (test): Typing Skill Test 40/wpm</t>
  </si>
  <si>
    <t>• Education: Graduation
  • Skill (test): English Typing Speed ​​40 WPM</t>
  </si>
  <si>
    <t>• Education: as per StenoTypist Recruitment Rules of GADN.A.as per StenoTypist Recruitment Rules of GAD
  • Skill (test): as per StenoTypist Recruitment Rules of GADN.A.as per StenoTypist Recruitment Rules of GAD</t>
  </si>
  <si>
    <t>Law and Judiciary Proper Establishment</t>
  </si>
  <si>
    <t>Librarian and Reference Officer</t>
  </si>
  <si>
    <t>• Education: A degree in Arts, Science, Commerce or Law of a recognised university and a degree or diploma in Library Science of a recognised University or any qualification recognised as equivalent thereto
  Experience: not less than 5 years in a responsible capacity in a Library of standing</t>
  </si>
  <si>
    <t>Mode of Recruitment: Deputation (Not accepted)</t>
  </si>
  <si>
    <t>Assistant legal advisor cum under secretary</t>
  </si>
  <si>
    <t>• Education: Degree of a Statutory University
  • Experience:
  • If in Govt. service, not less than 5 yrs as a Superintendent.
  • Under Secretary (legal) for at least 1 year.
  • Holding or having held the post of Civil Judge (Junior Division) and Judicial Magistrate of the first class in any judicial service for not less than 3 yrs.
  • Advocates or solicitors in High Court or Courts subordinate thereto for a period of not less than five yrs.
  • Handling legal matters in an advisory capacity in Govt./ semi-govt. depts for atleast 7 yrs.
  • Skill: Preferably possessing adequate experience of advising on matters relating to land tenures, administrative law, Constitutional law, Municipal Administration and such other subjects as are relevant to the work in the L\&amp;JD Dept.</t>
  </si>
  <si>
    <t>Assistant Draftsman cum under secretary</t>
  </si>
  <si>
    <t>• Education: U.S. (Law) for 3 yrs
  • Experience: Junior Draftsman for 3 yrs, Superintendent (Legal) for 7 yrs, Civil Judge Civil Judge (Junior Division) and Judicial Magistrate of the first class in any judicial service for not less than 5 yrs, Advocates or Solicitors in High Court or subordinate courts for 7 yrs</t>
  </si>
  <si>
    <t>Under Secretary (Law)</t>
  </si>
  <si>
    <t>• Education: Degree in law
  • Experience: Assist Legal 8 years or Supdt.legal 5 years Or Civil Judge(Jr.Division) and JudiciAL Magistrate (first class) not less than 2 years Or Advocate in High Court or Sub. Court: Not less than 5 years</t>
  </si>
  <si>
    <t>Solicitor cum Joint Secretary</t>
  </si>
  <si>
    <t>• Education: Practiced as Solicitors or Attorneys of the Court or of any High Court in India.
  Experience: not less than 7 years.
  • Skill (test): Well versed in conveyancing work.</t>
  </si>
  <si>
    <t>Junior Draftsman</t>
  </si>
  <si>
    <t>• Education: Masters Degree in law of statutory University.
  • Experience: Superintendent (legal) for 3 yrs, Assistant (legal) for 5 yrs, Advocates or Solicitorsin a High Court or Courts subordinate for 5 yrs.</t>
  </si>
  <si>
    <t>Assistant (Legal)</t>
  </si>
  <si>
    <t>• Education: Degree in Law of a Statutory University or any other qualification declared by Govt. to be equivalent to that</t>
  </si>
  <si>
    <t>Office of Charity Commissioner, Maharashtra State, Mumbai Establishment</t>
  </si>
  <si>
    <t>Assistant Charity Commissioner</t>
  </si>
  <si>
    <t>• Education: Degree in Law
  • Experience: 03 years as Advocate/ Legal Assistant in L\&amp;JD / Staff in Charity Organization</t>
  </si>
  <si>
    <t>Deputy Charity Commissioner</t>
  </si>
  <si>
    <t>• Education: Degree in Law
  • Experience: 8 years as Advocate</t>
  </si>
  <si>
    <t>Joint Charity Commissioner</t>
  </si>
  <si>
    <t>• Education: Degree in Law
  • Experience: 10 years as Advocate</t>
  </si>
  <si>
    <t>Administrative Officers</t>
  </si>
  <si>
    <t>• Education: Graduate in any field</t>
  </si>
  <si>
    <t>Legal Assistant</t>
  </si>
  <si>
    <t>• Education: Degree in Law
  • Experience: 03 years experience in Charity Organization
  • Preference: Masters Degree in Law</t>
  </si>
  <si>
    <t>• Education: S.S.C.
  • Skill (test): Short Hand 120 wpm + Typing Eng-40 Mar-30</t>
  </si>
  <si>
    <t>1) Minimum Educational Qualification- A candidate shall possess a Degree or any other qualification higher to Degree; or</t>
  </si>
  <si>
    <t>CHA-2017/180/C.R.50/Desk-1</t>
  </si>
  <si>
    <t>13-08-2024</t>
  </si>
  <si>
    <t>Clause No 5 (b)(ii)
 • Education: Graduate in any field
  • Skill (test): Typing Eng-40 Mar-30</t>
  </si>
  <si>
    <t>CHS-2017/180/C.R.50/DESK-1</t>
  </si>
  <si>
    <t>Registrar of Firms, Maharashtra State, Mumbai Establishment</t>
  </si>
  <si>
    <t>Assistant Registrar of Firms</t>
  </si>
  <si>
    <t>• Education: Degree in Law
  • Experience: 03 years as Advocate / interpretation of Law</t>
  </si>
  <si>
    <t>• Education: S.S.C.
  • Skill (test): Short Hand 100 wpm + Typing Eng-40 Mar-30</t>
  </si>
  <si>
    <t>• Education: Graduate in any field
  • Skill (test): Typing Eng-40, Mar-30</t>
  </si>
  <si>
    <t>Marathi Language</t>
  </si>
  <si>
    <t>Board of Literature and Culture Establishment</t>
  </si>
  <si>
    <t>• Education: A degree in Marathi subject with at least sixty per cent marks; A Post Graduation degree in Marathi Subject with at least fifty-five per cent marks.
  • Experience: Minimum Five years of experience in responsible position on the administrative or executive post of editorial or research work in Marathi; Minimum five years of practical experience in private sector in Marathi dictionary projects or creation of literature in Marathi language.</t>
  </si>
  <si>
    <t>• Education: Master degree in Marathi or Sanskrit
  • Experience: Minimum two years practical experience of editorial or research work or both in Marathi, on different subjects coming under the various branches of study and knowledge
  • Skill (test): MS CIT</t>
  </si>
  <si>
    <t>• Education: Degree in Marathi.
  • Experience: Two years in Government or public sector organization or Institution in a subordinate post gained after acquiring the qualifications.
  • Skill (test): MS CIT
  • Preference: Masters degree in Marathi</t>
  </si>
  <si>
    <t>• Education: Passed Secondary School Certificate Examination
  • Skill (test): Computerbased test of Marathi shorthand speed of 100 wpm and Marathi typing speed of 30 wpm, MSCIT, short hand skill test</t>
  </si>
  <si>
    <t>• Education: Passed Secondary School Certificate Examination, Government Commerce Certificate required.
  • Skill (test): Marathi shorthand speed of 120 wpm and Marathi typing speed of 30 wpm, MSCIT, short hand skill test</t>
  </si>
  <si>
    <t>Clerk cum Typist</t>
  </si>
  <si>
    <t>• Education: Possess a degree and possess the Government Commercial Certificate or Computer Typing certificate.
  • Skill (test): Speed of not less than 30 words per minute in Marathi TypewritingTyping skill Test, MS CIT.</t>
  </si>
  <si>
    <t>Library Assistant</t>
  </si>
  <si>
    <t>• Education: Higher Secondary School Certificate Examination
  • Skill (test): Diploma or degree in Library Science, MS CIT
  • Preference: Degree in Marathi</t>
  </si>
  <si>
    <t>1) HSC; Preference for a degree in marathi
 2) diploma or degree in library science</t>
  </si>
  <si>
    <t>LCR-2012/C.R.45/2012/AASTHA-2</t>
  </si>
  <si>
    <t>Senior clerk</t>
  </si>
  <si>
    <t>• Education: Possess a degree in Marathi
  • Experience: administrative work experience
  • Skill (test): MS CIT
  • Preference: will be given to those with administrative work experience</t>
  </si>
  <si>
    <t>29-10-2021 &amp; 31-01-2025</t>
  </si>
  <si>
    <t>Directorate of Languages Establishment</t>
  </si>
  <si>
    <t>Deputy Director of Languages (Translation &amp; Terminology)</t>
  </si>
  <si>
    <t>• Education:
  • Degree and Masters' degree in Marathi subject, at least in the second class.
  • Passed with English or Communication Skills in English as one of the subjects at least in one year of three years degree course of a statutory University.
  • Passed with Sanskrit as one of the subjects either in Secondary School Certificate Examination or Higher Secondary School Certificate Examination; OR possess degree or Masters' degree in Sanskrit of a statutory University; OR possess degree or diploma in Sanskrit of a recognized institution or of a Deemed University or have passed equivalent examination of a Statutory University.
  • Experience: Minimum period of three years in a responsible position gained after acquiring the qualifications mentioned in subclauses (ii), (iii) and (iv) in administrative translation work or in coining of terminology or in preparation of dictionaries or glossaries into Marathi.
  • Preference: Candidates possessing Ph.D. in Marathi or Sanskrit.</t>
  </si>
  <si>
    <t>Deputy Director of Languages (Legal)</t>
  </si>
  <si>
    <t>• Education:
  • Degree and Master's degree in Marathi subject, at least in the second class.
  • Degree in Law, at least in the second class.
  • Passed with English or Communication Skills in English as one of the subjects at least in one year of three years degree course of a statutory University.
  • Passed with Sanskrit as one of the subjects either in Secondary School Certificate Examination or Higher Secondary School Certificate Examination; or possess degree or Master's degree in Sanskrit of a statutory University; or possess degree or diploma in Sanskrit of a recognized institution or of a Deemed University or have passed equivalent examination of a Statutory University.
  • Experience:
  • Minimum period of three years in a responsible position in legal administrative translation work or in coining of legal terminology or in preparation of dictionaries or glossaries English into Marathi, gained after acquiring the specified qualifications.</t>
  </si>
  <si>
    <t>Director of Languages</t>
  </si>
  <si>
    <t>• Education: Degree and masters' degree in Marathi with at least fifty-five percent marks; passed with English or communication skills in English as one of the subjects in at least one year of three years degree course; passed with Sanskrit as one of the subjects in higher secondary school certificate examination or possess degree or masters' degree in Sanskrit or possess degree or diploma in Sanskrit or have passed equivalent examination.
  • Experience: Minimum five years in a responsible position gained after acquiring educational qualifications, doing administrative translation work, coining of terminology, or preparation of dictionaries and glossaries into Marathi. For deputation, not less than three years in administrative translation work, coining of terminology, or preparation of dictionaries and glossaries into Marathi.
  • Preference: Possessing Doctorate (Ph.D.) in Marathi or Sanskrit.</t>
  </si>
  <si>
    <t>Language Officer (Hindi)</t>
  </si>
  <si>
    <t>• Education: Degree or Masters' degree in Hindi (second class minimum) from a statutory University; passed with English or Communication Skills in English for at least one year of a three-year degree course; passed with Marathi in SSC or HSC Examination.
  • Experience: Minimum three years in administrative translation work or preparation of glossaries English into Hindi in a responsible position, gained after acquiring the above qualifications.</t>
  </si>
  <si>
    <t>Assistant Director of Languages</t>
  </si>
  <si>
    <t>• Education: Degree or Master's degree in Marathi subject (at least second class); passed with English or Communication Skills in English as one of the subjects for at least one year of a three-year degree course; passed with Sanskrit as one of the subjects in SSC or HSC, or possess a degree or Master's degree/diploma in Sanskrit of a statutory university or recognized institution/Deemed University, or an equivalent examination.
  • Experience: Minimum 3 years in administrative translation work or coining terminology or preparation of dictionaries/glossaries English into Marathi in a responsible position in a Government Office, OR minimum 5 years in any recognized institution.</t>
  </si>
  <si>
    <t>Assistant Director of Languages (Training &amp; Establishment)</t>
  </si>
  <si>
    <t>• Education: Degree or Master's degree of any faculty, at least in the second class.
  Experience: not less than three years of administrative experience gained after acquiring the required qualifications, in a responsible position (Group C post in pay band2 Rs. 9300-34800, Grade Pay Rs. 4200 or more, or equivalent).
  • Skill (test): Have passed with English or Communication Skills in English as one of the subjects for at least one year of a three-year degree course; and have passed with Marathi as one of the subjects in SSC or HSC.</t>
  </si>
  <si>
    <t>Translator (Marathi)</t>
  </si>
  <si>
    <t>• Education: Possess a degree along with Marathi subject; Passed with English or Communication Skills in English as one of the subjects at least in one year of three years degree course of a statutory university.</t>
  </si>
  <si>
    <t>Translator (Hindi)</t>
  </si>
  <si>
    <t>• Education: Possess degree along with Hindi subject; Passed with English or Communication Skills in English as one of the subjects at least in one year of three years degree course of a statutory University.</t>
  </si>
  <si>
    <t>• Education: Possess a degree.
  • Skill (test): Possess the Government Commercial Certificate or Computer Typing Certificate with a speed of not less than 30 words per minute in Marathi Typewriting or 40 words per minute in English Typewriting.</t>
  </si>
  <si>
    <t>Junior Librarian</t>
  </si>
  <si>
    <t>• Education: Higher Secondary School Certificate Examination, and a diploma or degree in Library Science.</t>
  </si>
  <si>
    <t>(ii) have passed Higher Secondary School Certificate Examination; and
 (iii) possess a diploma or degree in Library science.</t>
  </si>
  <si>
    <t>DLR-2016/C.R.105/2016/Astha-2</t>
  </si>
  <si>
    <t>22-03-2017</t>
  </si>
  <si>
    <t>StenoTypist (Marathi)</t>
  </si>
  <si>
    <t>• Education: Passed the Secondary School Certificate Examination.
  • Skill (test): Possess a Government Commercial Certificate with a speed of not less than 80 words per minute in shorthand and not less than 40 words per minute in English typewriting or 30 words per minute in Marathi typewriting.</t>
  </si>
  <si>
    <t>Marathi Encyclopedia Production Board Establishment</t>
  </si>
  <si>
    <t>• Education: Degree in Marathi or Sanskrit subject with at least fifty-five percent marks; and Master's degree in Marathi or Sanskrit subject with at least fifty-five percent marks.
  • Experience: Practical experience of working in an administrative executive post in a responsible position for a minimum period of five years.
  • Skill (test): MS CIT</t>
  </si>
  <si>
    <t>Assistant Secretary</t>
  </si>
  <si>
    <t>• Education: A degree in subject with at least fifty percent marks
  • Experience: Minimum three years of experience in responsible position on the administrative or executive post; Not less than three years of practical experience in private sector in Marathi dictionary projects or creation of literature in Marathi language</t>
  </si>
  <si>
    <t>• Education: Secondary School Certificate examination
  • Skill (test): Government commercial Certificate with the Speed of not less than 100 WPD in shorthand and not less than 40 words per Minutes English Typing or 30 words per Minute Marathi Typing</t>
  </si>
  <si>
    <t>Scholar Assistant</t>
  </si>
  <si>
    <t>• Education: A degree in Marathi subject with at least sixty per cent marks; A post-graduation degree in Marathi subject with at least fifty per cent marks
  • Experience: Minimum three years of practical experience of editorial or research work in Marathi</t>
  </si>
  <si>
    <t>Editorial Assistant</t>
  </si>
  <si>
    <t>• Education: Degree in Marathi subject with at least second class.
  • Experience: Minimum 1 year of practical experience of editorial or research work in Marathi.</t>
  </si>
  <si>
    <t>• Education: No
  • Skill (test): Possesses Government commercial Certificate or computer typing certificate with a speed of not less than 30 words per minute in Marathi typewriting or 40 words per minute in English typewriting.</t>
  </si>
  <si>
    <t>• Education: Passed the Higher Secondary School Certificate Examination, Possesses a degree in Library Science, Possesses a certificate in Librarianship from Directorate of Libraries
  • Experience: Minimum one year of practical experience of editorial or research work in Marathi</t>
  </si>
  <si>
    <t>1) Passed the Higher secondary School Certificate Examination
 2) posses a degree or diploma in Library science
 3) Posses a Certificate in Librarianship from Directorate of Libraries</t>
  </si>
  <si>
    <t>VIS-2020/C.R.16/Aastha-2</t>
  </si>
  <si>
    <t>31-07-2023</t>
  </si>
  <si>
    <t>Pending with FD</t>
  </si>
  <si>
    <t>Medical Education and Drugs</t>
  </si>
  <si>
    <t>Ayush Establishment</t>
  </si>
  <si>
    <t>Associate Professor (Yoga Naturopathy)</t>
  </si>
  <si>
    <t>L-13 : 131400 - 217100</t>
  </si>
  <si>
    <t>(New Service) Maharashtra Medical Education Services</t>
  </si>
  <si>
    <t>B.N.Y.S. + M.D. | Five years of teaching experience as an Assistant Professor in the relevant subject</t>
  </si>
  <si>
    <t>Associate Professor (Unani)</t>
  </si>
  <si>
    <t>B.U.M.S. + M.D.</t>
  </si>
  <si>
    <t>Associate Professor (Ayurveda)</t>
  </si>
  <si>
    <t>B.A.M.S. + M.D./ M.S. | Five years of teaching experience as an Assistant Professor in the relevant subject</t>
  </si>
  <si>
    <t>Associate Professor (Homeopathy)</t>
  </si>
  <si>
    <t>B.H.M.S. + M.D. | Five years of teaching experience as an Assistant Professor in the relevant subject</t>
  </si>
  <si>
    <t>L-14 :144200 -218200</t>
  </si>
  <si>
    <t>By nomination from among the persons holding the qualification (BAMS) mentioned in Part A, A-1, B or C of the Schedule annexed to the Maharashtra Medical Practitioners Act, 1961 (Maha.28 of 1961) or by promotion of a suitable person from the Dean and Professor cadre on the basis of seniority and qualification. | 7 years of cumulative experience as a Dean or Professor or 10 years of administrative experience.</t>
  </si>
  <si>
    <t>Professor (Homeopathy)</t>
  </si>
  <si>
    <t>B.H.M.S. + M.D. | 5 years of experience as a Professor as per the proposed SEVO admission rules.</t>
  </si>
  <si>
    <t>Mode of Recruitment: Internal Promotion (* After First Cycle of DR Recruitment)</t>
  </si>
  <si>
    <t>Professor (Yoga Naturopathy)</t>
  </si>
  <si>
    <t>B.N.Y.S. + M.D. | 5 years of experience as a Professor</t>
  </si>
  <si>
    <t>Professor (Ayurveda)</t>
  </si>
  <si>
    <t>B.A.M.S. + M.D./ M.S. | Who, with a total teaching experience of ten years in the relevant Ayurvedic subject, out of which five years of teaching experience as an Associate Professor in the relevant Ayurvedic subject from a recognized institution</t>
  </si>
  <si>
    <t>Professor (Unani)</t>
  </si>
  <si>
    <t>B.U.M.S. + M.D. | Five years of teaching experience as an Associate Professor in the relevant subject</t>
  </si>
  <si>
    <t>Chief Administrative Officer</t>
  </si>
  <si>
    <t>Degree in Arts, Science, Commerce or Law. | Not less than 7 years of administrative or executive experience.</t>
  </si>
  <si>
    <t>Requisition sent for 12 posts</t>
  </si>
  <si>
    <t>Administrative Medical Officer</t>
  </si>
  <si>
    <t>Any qualification included in the Second Schedule to the Mumbai Homoeopathic Practitioners Act, 1959 (Bombay Act 12 of 1960) or equivalent qualification prescribed from time to time under the Central Homoeopathic Council Act, 1973 (50 of 1973) (BHMS) | Not less than three years of practical experience out of which 01 year of experience in hospital administration in a homeopathic hospital</t>
  </si>
  <si>
    <t>Resident Medical Officer (Yoga &amp; Naturopathy)</t>
  </si>
  <si>
    <t>B.N.Y.S. | Experience in the post of Medical Officer (Yoga and Naturopathy) is required.</t>
  </si>
  <si>
    <t>Medical Superintendent (Unani)</t>
  </si>
  <si>
    <t>B.U.M.S. | Experience in the post of Medical Officer (Unani) is required.</t>
  </si>
  <si>
    <t>Senior Biochemist</t>
  </si>
  <si>
    <t>(New Service) Maharashtra Scientific (Bio-Chemist) Services</t>
  </si>
  <si>
    <t>M.Sc. by research from a statutory university. (Bio-Chemistry) is a postgraduate qualification | (i) One year of experience as a Bio-Chemist in a Bio-Chemistry Laboratory in the medical field, which requires technical knowledge like Spectrophotometry, Electrophoresis and Chromatography; One year of experience in research including development of methods and techniques in clinical bio-chemistry will be required</t>
  </si>
  <si>
    <t>Deputy Director Homeopathy</t>
  </si>
  <si>
    <t>Any medical qualification included in the Second Schedule to the Mumbai Homoeopathic Practitioners Act, 1959 (Bombay Act 12 of 1960) or equivalent qualification (BHMS) as prescribed by the Central Homoeopathic Council from time to time under the Central Homoeopathic Council Act, 1973 (50 of 1973) or by promotion from a person holding the post of Administrative Medical Officer (01 post sanctioned). | Not less than seven years of professional experience in a Homoeopathic Hospital or five years of experience as a Principal or Professor and Head of Department in a Homoeopathic College</t>
  </si>
  <si>
    <t>Assistant Professor (Ayurveda)</t>
  </si>
  <si>
    <t>B.A.M.S. + M.D./ M.S. | No</t>
  </si>
  <si>
    <t>Assistant Professor (Homeopathy)</t>
  </si>
  <si>
    <t>B.H.M.S. + M.D. | No</t>
  </si>
  <si>
    <t>Assistant Professor Yoga Naturopathy)</t>
  </si>
  <si>
    <t>B. N. Y. S. + M.D. | No</t>
  </si>
  <si>
    <t>Assistant Professor (Unani)</t>
  </si>
  <si>
    <t>B. U. M.. S.+ M.D. | No</t>
  </si>
  <si>
    <t>Senior Medical Officer (Homeopathy)</t>
  </si>
  <si>
    <t>B.H.M.S. | No</t>
  </si>
  <si>
    <t>• Education: Degree in Arts, Science, Commerce or Law from a statutory university.
  • Experience: Minimum five years in a post not below the rank of Superintendent or its equivalent in a local authority for nomination, or three years working in the post of Superintendent for promotion.</t>
  </si>
  <si>
    <t>Assistant Pharmacist
 (Chemist-cum-
 Pharmacist)</t>
  </si>
  <si>
    <t>(New Service) Maharashtra Pharmaceutical Services</t>
  </si>
  <si>
    <t>Degree in Ayurveda or Degree in Ayurvedic Pharmacy or Pharmacy or Pharmaceutical Chemistry or Chemistry or Botany is the qualification. | possess 3 years experience in the manufacture and testing of drugs pertaining to Ayurvedic system of medicine in a recognised Ayurvedic Pharmacy</t>
  </si>
  <si>
    <t>Panchkarma Vaidya</t>
  </si>
  <si>
    <t>B.A.M.S. | No</t>
  </si>
  <si>
    <t>Pathologist &amp; Microbiologist</t>
  </si>
  <si>
    <t>Master's degree in Pathology from a recognized medical college | No</t>
  </si>
  <si>
    <t>Medical Officer (Homeopathy)</t>
  </si>
  <si>
    <t>(New Service) Maharashtra Medical Officer and Equivalent Services</t>
  </si>
  <si>
    <t>B.A.M.S.</t>
  </si>
  <si>
    <t>No Changes in RR</t>
  </si>
  <si>
    <t>Medical Officer (Ayurveda)(S-16)</t>
  </si>
  <si>
    <t>Medical Officer (Yoga &amp; Naturopathy)</t>
  </si>
  <si>
    <t>Drug Manufacturer</t>
  </si>
  <si>
    <t>By nomination from among the persons holding the qualification (BAMS) mentioned in Part A, A-1, B or C of the Schedule annexed to the Maharashtra Medical Practitioners Act, 1961 (Maha.28 of 1961) and by promotion from the post of Assistant Drug Manufacturer Ayurveda. | 3 years of experience working in a recognized Ayurvedic pharmacy</t>
  </si>
  <si>
    <t>Pathologist &amp; Experiment Director</t>
  </si>
  <si>
    <t>Assistant Pharmacist (Ayurveda)</t>
  </si>
  <si>
    <t>Pharmacist (Unani) (Assistant Pharmacist (Unani)</t>
  </si>
  <si>
    <t>Assistant Scientist -cum-Physician</t>
  </si>
  <si>
    <t>Assistant Scientist-Ni-Hakim</t>
  </si>
  <si>
    <t>B.U.M.S | No</t>
  </si>
  <si>
    <t>District AYUSH Officer</t>
  </si>
  <si>
    <t>Casualty Medical Officer (S-16)</t>
  </si>
  <si>
    <t>Anaesthesiologist</t>
  </si>
  <si>
    <t>MBBS degree holder or qualification under schedule first or second of Indian Medical Council Act 1956 with 1 year experience as an Anesthesiologist or qualification under Part A of Maharashtra Medical Practitioners Act 1961 (BAMS) with 3 years experience as an Anesthesiologist. | If a postgraduate diploma is held, then after holding a postgraduate diploma, 1 year experience as an Anesthesiologist in a hospital recognized under the Bombay Nursing Home Act, 1949 is required</t>
  </si>
  <si>
    <t>Assistant Director AYUSH</t>
  </si>
  <si>
    <t>B.A.M.S. | 3 years administrative experience in an Ayurvedic hospital or college or any recognized institution where Ayurvedic practice or Ayurveda is promoted and disseminated.</t>
  </si>
  <si>
    <t>Resident Medical Officer (Ayurveda)</t>
  </si>
  <si>
    <t>B.A.M.S. | Three years experience in a recognized Ayurvedic hospital.</t>
  </si>
  <si>
    <t>Resident Medical Officer (Homeopathy)</t>
  </si>
  <si>
    <t>B.H.M.S. | Experience in the post of Medical Officer is required</t>
  </si>
  <si>
    <t>Casualty Medical Officer (S-20)</t>
  </si>
  <si>
    <t>Medical Officer (Ayurveda)(S-20)</t>
  </si>
  <si>
    <t>B.A.M.S. | Experience in the position of Medical Officer is required.</t>
  </si>
  <si>
    <t>Deputy Medical Superintendent (Ayurveda)</t>
  </si>
  <si>
    <t>passed the secondary school certificate examination | Possess experience of dispensing medicine for not less than one year in a recognized Ayurvedic/Homoeopathic / Unani hospitals/dispensary</t>
  </si>
  <si>
    <t>post graduate degree of Library Science | Possess a practical experience in Recognized educational institute in the working at Library for not less than three years on the post of Librarian or Assistant Librarian</t>
  </si>
  <si>
    <t>Hostel Superintendent</t>
  </si>
  <si>
    <t>Graduation | No</t>
  </si>
  <si>
    <t>Laboratory Technician</t>
  </si>
  <si>
    <t>degree course. | Preference shall be given to candidates
  having minimum one year experience as Laboratory Technician. In Government recognized hospitals</t>
  </si>
  <si>
    <t>Ayushe2008/cr24/08/ayu1</t>
  </si>
  <si>
    <t>17.07.2013</t>
  </si>
  <si>
    <t>Staff Nurse</t>
  </si>
  <si>
    <t>Nurses (NG Technical)</t>
  </si>
  <si>
    <t>General Nursing Midwifery 3 or 3 ½ years diploma course OR B.Sc. Nursing | No</t>
  </si>
  <si>
    <t>Education: General Nursing Midwifery Diploma OR B.Sc. Nursing
  Experience / Additional Skills / Preferential Qualification: Not Required</t>
  </si>
  <si>
    <t>Panchkarma Technician</t>
  </si>
  <si>
    <t>"Must have a Bachelor's degree in Science from a concerned university with Physics or Chemistry or Biology as a subject.
  | No</t>
  </si>
  <si>
    <t>X-Ray Technician</t>
  </si>
  <si>
    <t>Para Medical Assistant (NG Technical)</t>
  </si>
  <si>
    <t>degree of Bachelor of Paramedical Technology in Radiography | No</t>
  </si>
  <si>
    <t>Cost Accountant</t>
  </si>
  <si>
    <t>Must have passed the Commerce branch exam.
  | No</t>
  </si>
  <si>
    <t>Dietitian</t>
  </si>
  <si>
    <t>Dietician (NG Technical)</t>
  </si>
  <si>
    <t>B.Sc. (Home Science) | No</t>
  </si>
  <si>
    <t>Candidate should possess a Degree, Diploma or Certificate in Nutrition of recognised instions or universities Dieticians, Home Science or Social Science and should preferably have previous experience in finid work or social work</t>
  </si>
  <si>
    <t>RTR1090/393/CR 41/SCR1</t>
  </si>
  <si>
    <t>15.09.1992</t>
  </si>
  <si>
    <t>House Physician</t>
  </si>
  <si>
    <t>Museum Keeper</t>
  </si>
  <si>
    <t>passed the secondary school certificate examination | No</t>
  </si>
  <si>
    <t>CLAUSE(1)
 SSC OR equivalant with scence subject</t>
  </si>
  <si>
    <t>GMC1162/33782/Q</t>
  </si>
  <si>
    <t>17.12.1964</t>
  </si>
  <si>
    <t>Clerk-cum-Typist/Cashier/OPD Clerk</t>
  </si>
  <si>
    <t>Treatment Assistant (Male/Female)</t>
  </si>
  <si>
    <t>Graduation with Specified Certificate course | No</t>
  </si>
  <si>
    <t>Therapist</t>
  </si>
  <si>
    <t>Therapist (NG Technical)</t>
  </si>
  <si>
    <t>Valid Registration from the concerned authority is prescribed</t>
  </si>
  <si>
    <t>Tailor</t>
  </si>
  <si>
    <t>Must have passed the Secondary School Certificate Examination or equivalent examination. Must have a Diploma in Cutting and Sewing from a recognized institution or any other equivalent qualification declared by the Government. | No</t>
  </si>
  <si>
    <t>Driver</t>
  </si>
  <si>
    <t>1) passed the secondary school certificate examination 
  2)Possess a Driving license to drive a light motor vehicle | No</t>
  </si>
  <si>
    <t>Midwife</t>
  </si>
  <si>
    <t>Registered Nurse with Maharashtra Nursing Council or Nurse eligible for such registration. B.Sc. Degree in Nursing recognized by Nursing Council of India and registered with Maharashtra Nursing Council | No</t>
  </si>
  <si>
    <t>Registered Nurse with Maharashtra Nursing Council or Nurse eligible for such registration. B.Sc. Degree in Nursing recognized by Nursing Council of India and registered with Maharashtra Nursing Council</t>
  </si>
  <si>
    <t>Laboratory Assistant</t>
  </si>
  <si>
    <t>degree in Paramedical Technology (Laboratory Technology) | No</t>
  </si>
  <si>
    <t>clause 1(B)
 SSC OR EQUIVALANT WITH SCIENCE SUBJECT</t>
  </si>
  <si>
    <t>GMO/1162/33782/Q</t>
  </si>
  <si>
    <t>degree of Library Science | No</t>
  </si>
  <si>
    <t>X-Ray Assistant</t>
  </si>
  <si>
    <t>Stock Verifier</t>
  </si>
  <si>
    <t>passed the secondary school certificate/ Higher school certificate | have 5 years experience in dealing with the store.</t>
  </si>
  <si>
    <t>Hold a degree in Arts, Science, Commerce or Law or an equivalent qualification of a recognised University</t>
  </si>
  <si>
    <t>SGE 1160/66780/V</t>
  </si>
  <si>
    <t>13-07-1970</t>
  </si>
  <si>
    <t>Head Mechanic</t>
  </si>
  <si>
    <t>passed the secondary
  school certificate 
  examination | No</t>
  </si>
  <si>
    <t>(1) SSC or equivalent examination passed
 (2) Must have passed the Fitter "Certificate Course" of any Government recognized Technical Institute or Government recognized Technical Training Institute in India.
 (3) Experience: Must have two years of experience in operating machinery/electrical machinery and machine repair in the machinery department of a recognized institution</t>
  </si>
  <si>
    <t>Electric Technician</t>
  </si>
  <si>
    <t>diploma or certificate in any Electrical Trade | No</t>
  </si>
  <si>
    <t>ii)Possess I class supervisor's Certificate of the Licensing Board of the Building and Communication Department of Maharashtra State or a Certificate in Electrician Trade awarded by the Department of Technical Education or National Certificate, in Electrician Trade, or its equicalent or higher qualification.
 iii)Possess-practical and/ or teching experience for not less then one year after having acquired the certificate to mentioned above or an equivalent or higher qualifications montioned above;
 iv) Possess general knowledge of electrical Machines;</t>
  </si>
  <si>
    <t>TEM3364/100529-K</t>
  </si>
  <si>
    <t>14.01.1965</t>
  </si>
  <si>
    <t>Mechanic-cum-Technician</t>
  </si>
  <si>
    <t>Must have passed the Secondary School Certificate Examination or equivalent examination. Must have passed the Mechanic/Fitter Certificate Course from any Government recognized Technical Institute or Government recognized Technical Training Institute in India. Must have 2 years experience in operating machinery/electrical machinery and machine repair in the machinery department of a recognized institute. | No</t>
  </si>
  <si>
    <t>Food and Drug Administration Establishment</t>
  </si>
  <si>
    <t>वरिष्ठ वैज्ञानिक अधिकारी/ Senior Scientific Officer</t>
  </si>
  <si>
    <t>Details not Provided</t>
  </si>
  <si>
    <t>तंत्र अधिकारी (आयुर्वेदिक)/ Techinical Officer (Ayuvedic)</t>
  </si>
  <si>
    <t>one of the qualifications mentioned in Parts A,A-1, B or C of the Schedule appended to the Act. | possess practixcal experience in the manufacrture of Ayurvedic Drugs in the Ayurvedic drug house which in the opinion of the Commission is of big size,for a period of not less than three years</t>
  </si>
  <si>
    <t>सहायक आयुक्त(औषधे) / Assistant Commissioner (Drug)</t>
  </si>
  <si>
    <t>Maharashtra Food and Drugs Administrative Services</t>
  </si>
  <si>
    <t>Degree in Pharmacy or Pharmaceuitical Chemistry or in Medicine with specialization in Clinical Pharmacology or Microbiology | An experience for not less than five years after acquiring essential educational qualification in the manufacture or testing of drugs or enforcement of the provision of the Act for a minimum period of five years.</t>
  </si>
  <si>
    <t>सहा.आयुक्त(अन्न) / Assistant Commissioner (Food)</t>
  </si>
  <si>
    <t>Educational qualification asmay be prescribed by the Central Government from time to time under the Act. | _</t>
  </si>
  <si>
    <t>अंतर्गत लेखा तपासणी अधिकारी/ Internal Audit Officer</t>
  </si>
  <si>
    <t>लेखा अधिकारी/ Account Officer</t>
  </si>
  <si>
    <t>• Education: Any Graduate
  • Experience: 5 years
  • Preference: Nil</t>
  </si>
  <si>
    <t>औषध निरीक्षक/ Drug Inspector</t>
  </si>
  <si>
    <t>Degree in Pharmacy or Degree in Pharmaceutical Sciences or Degree in Medicine with specialization in clinical Pharmacology or Microbiology</t>
  </si>
  <si>
    <t>वैज्ञानिक अधिकारी/ Scientific Officer</t>
  </si>
  <si>
    <t>(A) a degree in Medicine, Science, Pharmacy or Pharmaceutical Chemistry and have experience, gained after acquiring such quali fication, of not less than five years, in testing of Drugs in a Laboratory under the control of Government Analyst appointed under the Drugs and Cosmetics Act, 1940 (23 of 1940); or
  (B) a post-graduate degree in Science, Pharmacy or Pharmaceutical Chemistry, and have experience, gained after acquiring such qualifi cation, of not less than three years in testing of Drugs in a Laboratory under the Control of Government Analyst appointed under the Drugs and Cosmetics Act, 1940 (23 of 1940);" | 3 yrs</t>
  </si>
  <si>
    <t>Education: Master Degree in Science (Relevant Streams)
 Experience / Additional Skills: Not Required</t>
  </si>
  <si>
    <t>अन्न सुरक्षा अधिकारी/ Food Safety Officer</t>
  </si>
  <si>
    <t>प्रमुख लिपीक/ भांडारपाल/ लेखापाल/ वरिष्ठ सहायक / Head Clerk / Store Keeper/ Accountant/ Senior Assistant</t>
  </si>
  <si>
    <t>Any Graduate/ Degree | _</t>
  </si>
  <si>
    <t>Only by Promotion</t>
  </si>
  <si>
    <t>ASC.1062/25843-R</t>
  </si>
  <si>
    <t>26-04-1965</t>
  </si>
  <si>
    <t>वरिष्ठ तांत्रिक सहायक/ Senior Technical Assistant</t>
  </si>
  <si>
    <t>Degree in Pharmacy or Post Graduate Degree in Chemistry/Bio chemistry | Laboratory Work</t>
  </si>
  <si>
    <t>विश्लेषण रसायन शास्त्रज्ञ /Analytical Chemist</t>
  </si>
  <si>
    <t>Degree in Pharmacy or Post Graduate Degree in Chemistry/Bio chemistry | Not less than 18 Months Laboratory Work</t>
  </si>
  <si>
    <t>Education: Diploma / Degree in Pharmacy
  Experience / Additional Skills: Not Required</t>
  </si>
  <si>
    <t>clause 2(b)II passes a degree in pharmacy or a post graduate degree in chemistry or biochemistry of a recognised university
 (iii) possess a degree in sceince in second class of any recognised univesity and have experience gained after obtaining such degree in the analysis of drugs for not less than 18 months</t>
  </si>
  <si>
    <t>FDA1074/30695-FH13</t>
  </si>
  <si>
    <t>10.12.1976</t>
  </si>
  <si>
    <t>लघुलेखक(नि.श्रे) / Steno Grapher (L.G)</t>
  </si>
  <si>
    <t>अधीक्षक/ Superintindent</t>
  </si>
  <si>
    <t>AS PER RR THIS POST FILLUP BY 100 PERCENTAGE PRAMOTION</t>
  </si>
  <si>
    <t>26.04.1965</t>
  </si>
  <si>
    <t>स्वीय सहायक / Personal assistant</t>
  </si>
  <si>
    <t>प्रयोगशाळा सहायक /Laboratory Assistant</t>
  </si>
  <si>
    <t>10th Pass | _</t>
  </si>
  <si>
    <t>CLAUSE2(a)
 SSC OR equvalant with science and mathematics subjects</t>
  </si>
  <si>
    <t>FDA1074/30694-V</t>
  </si>
  <si>
    <t>3.5.1975</t>
  </si>
  <si>
    <t>ग्रंथपाल / Liabrarian</t>
  </si>
  <si>
    <t>Diploma in Librarian | 1 Yr library</t>
  </si>
  <si>
    <t>वरिष्ठ लिपीक/ रोखपाल /Senior Clerk/ Cashier</t>
  </si>
  <si>
    <t>Graduate/ Degree | _</t>
  </si>
  <si>
    <t>Possess a Degree Arts/Commerece or Science from a recognised University</t>
  </si>
  <si>
    <t>लघुटंकलेखक / Steno Typist</t>
  </si>
  <si>
    <t>वीजतंत्री/ Electrician</t>
  </si>
  <si>
    <t>10th pass Diploma in Electrician | _</t>
  </si>
  <si>
    <t>Medical Education Establishment</t>
  </si>
  <si>
    <t>सहयोगी प्राध्यापक वैद्यकीय / Associate Professor medical</t>
  </si>
  <si>
    <t>• Education: MD/MS, MDS, Assistant Professor
  • Experience: Broad Spec. - 4 years &amp; Super Spec.- 3 years</t>
  </si>
  <si>
    <t>सहयोगी प्राध्यापक दंत/ दंतशास्त्र / Assocaite Professor Dental/Dentestry</t>
  </si>
  <si>
    <t>• Education: MDS Assistant Professor
  • Experience: 4 years</t>
  </si>
  <si>
    <t>संचालक / Director</t>
  </si>
  <si>
    <t>• Education: MD/MS
  • Experience: 3 years Jt Director</t>
  </si>
  <si>
    <t>Dt-05.02.2026</t>
  </si>
  <si>
    <t>सह संचालक वैद्य / Joint director medical</t>
  </si>
  <si>
    <t>• Education: MD/MS
  • Experience: 15 years Teaching Exp, 10 years Professor Exp</t>
  </si>
  <si>
    <t>सह संचालक दंत / Joint director Dental</t>
  </si>
  <si>
    <t>• Education: MD/MS
  • Experience: 15 yrs Teaching Exp. Out of 10 Yrs Professor Exp</t>
  </si>
  <si>
    <t>अधिष्ठाता/ Dean (Medical)</t>
  </si>
  <si>
    <t>• Education: MD/MS
  • Experience: 10 yrs Teaching Exp, 5 Yrs Professor Exp</t>
  </si>
  <si>
    <t>अधिष्ठाता/ Dean (Dental)</t>
  </si>
  <si>
    <t>• Education: MD/MS
  • Experience: 7 Yrs Professor Exp</t>
  </si>
  <si>
    <t>प्राध्यापक वैद्यकीय /Professor Medical</t>
  </si>
  <si>
    <t>• Education: MD/MS, MDS
  • Experience: Asso Professor for Broad Spec. - 3 years &amp; Super Spec.- 2 years</t>
  </si>
  <si>
    <t>प्राध्यापक दंत/ दंतशास्त्र /Professor Dental/Dentestry</t>
  </si>
  <si>
    <t>• Education: MDS Asso Professor
  • Experience: 5 years</t>
  </si>
  <si>
    <t>रक्तसंक्रमण अधिकारी/Blood Transfusion Officer</t>
  </si>
  <si>
    <t>* Education: M.B.B.S./ M.D. in I.H.B.T. or M.D. in Transfusion Medicine or M.D in Pathology or D.N.B. Pathology/Transfusion Medicine or M.B.B.S I.H.B.T. Diploma/ M.B.B.S. with diploma in Clinical Pathology/ M.B.B.S. with Dip. In Pathology &amp; Bacteriology
  * Experience: 1 experience in Blood Bank for M.B.B.S. passout</t>
  </si>
  <si>
    <t>वैद्यकीय अभिलेख अधिकारी/ Medical Record Officer</t>
  </si>
  <si>
    <t>• Education: M.B.B.S./ M.Sc. In Bio chemistry, Microbiology, Bio-Physics, Physics, Bio-Statistics, Applied Statistics or B.D.S or M.SC. Nursing or Master in Lib. Science after B.Sc in Biology/Bio Chemisrty/Micro Biology/Bio- Physics/Physics/Bio-Statistics/Statistics
  • Experience: Setting up and running medical Record Dept. in 500 beded Hospital for not less than one year</t>
  </si>
  <si>
    <t>Chief Administration Officer</t>
  </si>
  <si>
    <t>• Education: Any Degree
  • Experience: 3</t>
  </si>
  <si>
    <t>अधीक्षक, शुश्रुषा सेवा / Superintendent of Nursing Services</t>
  </si>
  <si>
    <t>• Education: M.Sc. Nursing
  • Experience: 5 Years
  • Skill (test): Metron</t>
  </si>
  <si>
    <t>वैद्यकीय अधीक्षक / Medical Superintendent</t>
  </si>
  <si>
    <t>• Education: MD/MS, MDS
  • Experience: Total Teaching Exp 10 years (Out 5 years as a Professor)</t>
  </si>
  <si>
    <t>उप वैद्यकीय अधीक्षक / Deputy Medical Superintendent</t>
  </si>
  <si>
    <t>• Education: MD/MS, MDS
  • Experience: 5 years as C.M.O/R.M.O. in Hospital</t>
  </si>
  <si>
    <t>सहाय्यक प्राध्यापक (दंत) / Assistant Professor (Dental)</t>
  </si>
  <si>
    <t>MDS
  1 years Exp. As S.R/ Tutor/ Dental Surgeon</t>
  </si>
  <si>
    <t>सहाय्यक प्राध्यापक / Assistant Professor</t>
  </si>
  <si>
    <t>MD/MS 
  1 years Exp. As S.R/ Contra. Asst. Professor</t>
  </si>
  <si>
    <t>Administration Officer</t>
  </si>
  <si>
    <t>• Education: Any Degree
  • Experience: 3 years
  • Skill (test): NA</t>
  </si>
  <si>
    <t>Chief Librarian</t>
  </si>
  <si>
    <t>• Education: M Lib
  • Experience: 3 years
  • Skill (test): NA</t>
  </si>
  <si>
    <t>अभिरक्षक शरीररचना / Curator in Anatomy</t>
  </si>
  <si>
    <t>M. D. in Anatomy/M.Sc. In Medical Anatomy/ M.B.B.S.</t>
  </si>
  <si>
    <t>अभिरक्षक विकृती शास्त्रज्ञ / Curator-in-Pathology</t>
  </si>
  <si>
    <t>M.D. Pathology/D.N.B. Pathology/M.B.B.S. &amp; Dip in clinical Pathology</t>
  </si>
  <si>
    <t>औषधनिर्माता वर्ग 2 / Phramacist Class 2</t>
  </si>
  <si>
    <t>Bachelor in Pharmacy
  1 Year Experience
  in Pharmacy in Gor.&amp; Private Medical Store</t>
  </si>
  <si>
    <t>जीव रसायन शास्त्रज्ञ / Biochemist</t>
  </si>
  <si>
    <t>Msc in Biochemist | 5 Years Experience</t>
  </si>
  <si>
    <t>भौतिकशास्त्रवेत्ता (शरीरक्रिया) / Physicist (Physiology)</t>
  </si>
  <si>
    <t>M.Sc. Bio-Physics or Physics</t>
  </si>
  <si>
    <t>भौतिकशास्त्रवेत्ता / Physicist (Radiotherapy)</t>
  </si>
  <si>
    <t>Post Graduate 
  Degree in Physics with PG diploma in radiological or medical physics or Basic Degree in Physics as one of the main subject with postgraduate degree in Radiological or Medical Physcis
  Inrenship of 12 months in Recg. Radiation Therapy Dept.</t>
  </si>
  <si>
    <t>वैद्यकीय अभिलेख ग्रंथपाल / Medical Record Librarian</t>
  </si>
  <si>
    <t>M.B.B.S./ M.Sc. In Bio chemistry, Microbiology, Bio-Physics,Physics,Bio-Statistics,Applied Statistics or B.D.S or M.SC. Nursing or Master in Lib. Science after B.Sc in Biology/Bio Chemisrty/Micro Biology/Bio- Physics/Physics/Bio-Statistics/Statistics
  Exp in Setting up and running medical Recoed Dept. in 200 beded Hospital for not less than one year</t>
  </si>
  <si>
    <t>वरिष्ठ क्ष-किरण चित्रकार/ Senior Radiographer</t>
  </si>
  <si>
    <t>M.Sc. In Physics or Post Graduate Degree in Radiographer
  5 Years Experience in X Ray Dept.</t>
  </si>
  <si>
    <t>रसायनशास्त्रज्ञ /Chemist</t>
  </si>
  <si>
    <t>M.Sc. Medical Bio chemistry / Organic Chemistry/M. Pharm/B. Pharm/B.Sc. Tech in Phramceutical &amp; Fine Chemicals</t>
  </si>
  <si>
    <t>Clinical Psychologist</t>
  </si>
  <si>
    <t>M.A / M.Sc. In Psychology/ M. Phill Clinical Psychology</t>
  </si>
  <si>
    <t>सांख्यिकी नि अधिव्याख्याता / Statistician</t>
  </si>
  <si>
    <t>M. Sc. Statistics
  3 Years</t>
  </si>
  <si>
    <t>विधी अधिकारी/ Law Officer</t>
  </si>
  <si>
    <t>L.LB./L.L.M</t>
  </si>
  <si>
    <t>अधिसेविका वर्ग 2 श्रेणी 2 /Metron Claas II</t>
  </si>
  <si>
    <t>B.Sc./P. B. B. Sc. Nursing
  10 yrs Nursing Exp. Out of 5 Yrs Exp Of Supervisor
  No</t>
  </si>
  <si>
    <t>रेडीऐशन सेफटी अधिकारी / Raidiation Safety Officer</t>
  </si>
  <si>
    <t>Post Graduate 
  Degree in Physics with PG diploma in radiological or medical physics or Basic Degree in Physics s one of the main subject with postgraduate degree in Radiological or Medical Physcis
  Inrenship of 12 months in Recg. Radiation Therapy Dept.</t>
  </si>
  <si>
    <t>दंत शल्यचिकित्सक / Dental Surgeon</t>
  </si>
  <si>
    <t>(New Service) Maharashtra Dental Services</t>
  </si>
  <si>
    <t>B.D.S
  1 years Exp. As S.R/ Tutor</t>
  </si>
  <si>
    <t>वैद्यकीय अधिकारी / Medical Officer</t>
  </si>
  <si>
    <t>MBBS</t>
  </si>
  <si>
    <t>औषधनिर्माता / Phramacist</t>
  </si>
  <si>
    <t>HSC with diploma in pharmacy or degree in Pharmacy 
  नाही.
  No
  No</t>
  </si>
  <si>
    <t>SSC with diploma in pharmacy or degree in Pharmacy 
  नाही.
  No
  No</t>
  </si>
  <si>
    <t>PHM/1062/30273/K</t>
  </si>
  <si>
    <t>03.07.1964</t>
  </si>
  <si>
    <t>दंत तंत्रज्ञ / Dental Technician</t>
  </si>
  <si>
    <t>Dental Technician / Hygienist (NG Technical)</t>
  </si>
  <si>
    <t>Have passed the secondary school certificate (HSC) examination.
  And
  Have passed Dental Mechanical Course recognized by DCI
  AND
  Have valid registration from Maharashtra State Dental Council under Dentist Act, 1948</t>
  </si>
  <si>
    <t>सहायक ग्रंथपाल / Assistant Librarian (Grade I)</t>
  </si>
  <si>
    <t>Posses a degree in Art, Science or Commerce of a Statutory University. Preferably B.sc in biology or zoology plus a diploma or certificate course of 6 months duration in library science of a recognised institute. 
  नाही.
  No
  No</t>
  </si>
  <si>
    <t>कलाकार/चित्रकार/ छायाचित्रकार नि कलाकार / PhotoGrapher &amp; Artist</t>
  </si>
  <si>
    <t>1) S.S.C./equivalent Examination 
  AND
  2) Degree/Diploma in Applied Art of a Statutory University or institute / school of Arts recognized by Govt.
  AND
  3) Possesses experience of not less than one year as Artist/ photographer/Artist-cum-photographer in an advertising agency or in publicity department of Govt. gained after acquiring the mentioned qualification.
  Preference will be given to the candidates possessing exceptional qualification/experience or both
  नाही.
  No
  No</t>
  </si>
  <si>
    <t>1) S.S.C./equivalent Examination 
  AND
  2) Diploma in Applied Art of a Statutory University or institute / school of Arts recognized by Govt.
  AND
  3) Possesses experience of not less than one year as Artist/ photographer/Artist-cum-photographer in an advertising agency or in publicity department of Govt. gained after acquiring the mentioned qualification.
  Preference will be given to the candidates possessing exceptional qualification/experience or both
  नाही.
  No
  No</t>
  </si>
  <si>
    <t>RTR3083/CR75/88(iii)SER-1</t>
  </si>
  <si>
    <t>31.07.1990</t>
  </si>
  <si>
    <t>महिला अधिक्षिका/वॉर्डन/वसतीगृह अधिक्षिका/स्त्री अधिक्षिका / Lady Warden</t>
  </si>
  <si>
    <t>Warden (NG Admin)</t>
  </si>
  <si>
    <t>Educational Qualifications in proposed RR is as follows:
 (1) Degree in any subject from a recognized university.
 (2) Full-time Postgraduate degree in Social Work with fieldwork from a recognized university or Postgraduate degree in Social Work with fieldwork from an open or distance learning university recognized by the University Grants Commission.</t>
  </si>
  <si>
    <t>Educational Qualifications in proposed RR is as follows:
  (1) Degree in any subject from a recognized university.
  (2) Full-time Postgraduate degree in Social Work with fieldwork from a recognized university or Postgraduate degree in Social Work with fieldwork from an open or distance learning university recognized by the University Grants Commission.</t>
  </si>
  <si>
    <t>DMR-1787/CR-137/1703/MED-15</t>
  </si>
  <si>
    <t>16.08.1990</t>
  </si>
  <si>
    <t>नेत्रकिचकिस्ता सहाय्यक / Opthalmic Assistant</t>
  </si>
  <si>
    <t>1) Have passed the Higher Secondary School Certificate Examination with the subjects Physics, Chemistry and Biology 
  And 
  2) Have passed two years training course of Ophthalmic assistant at any institution recognizd by Government Or Posses Degree /Diploma in Optometry of Recognized institute.
  नाही.
  No
  No</t>
  </si>
  <si>
    <t>सांख्यिकी सहायक / Statistical Assistant</t>
  </si>
  <si>
    <t>Possess of Master Degree with at least 50% with Statistics of Statutory University.
  नाही.
  No
  No</t>
  </si>
  <si>
    <t>1) Masters degree in Statistics of a statutory university
 2) 3 years of practical experience in Statistics or statistical research</t>
  </si>
  <si>
    <t>RTI.1387/34562/GI</t>
  </si>
  <si>
    <t>16-04-1971</t>
  </si>
  <si>
    <t>क्ष किरण तंत्रज्ञ / X- Ray Technician</t>
  </si>
  <si>
    <t>One) Those who have a degree in Paramedical Technology (Radiology) or a degree in Paramedical Technology (Radiology) in science and one year of residency;
  or
  (Two) Those who have a degree in Science with Physics, Chemistry or Biology; and a diploma or certificate in Radiology;
  or
  (Three) Those who have passed the Higher Secondary School Leaving Examination with Science as a subject in Vocational Courses (X-Ray/C.T. Scan/M.R.I.)
  नाही.
  No
  No</t>
  </si>
  <si>
    <t>Education: Bachelor's Degree in Paramedical Technology (Radiology) 
  OR 
  Bachelor's Degree in Science (Relevant Stream) + Diploma / Certificate in Radiology
  Experience / Additional Skills: Not Required</t>
  </si>
  <si>
    <t>One) Those who have a degree in Paramedical Technology (Radiology) or a degree in Paramedical Technology (Radiology) in science and one year of residency;
  or
  (Two) Those who have a degree in Science with Physics, Chemistry or Biology; and a diploma or certificate in Radiology;
  नाही.
  No
  No</t>
  </si>
  <si>
    <t>seprani-0714/cr.159/vaiseva-4</t>
  </si>
  <si>
    <t>29.12.2020</t>
  </si>
  <si>
    <t>एम आर आय तंत्रज्ञ / M R I Technician</t>
  </si>
  <si>
    <t>(One) Those who have a degree in Paramedical Technology (Radiology) or a degree in Paramedical Technology (Radiology) in the science stream;
  or
  (Two) Those who have a degree in science stream with Physics, Chemistry or Biology; and a diploma or certificate in the subject of Radiology;
  (Three) Those who have passed the Higher Secondary School Leaving Examination with a Science stream in Vocational Courses (X-Ray/C.T.Scan/M.R.I.)
  course.
  नाही.
  No
  No</t>
  </si>
  <si>
    <t>ई.सी.जी. तंत्रज्ञ / E C G Technician</t>
  </si>
  <si>
    <t>BPMT in Cardiology or any Bsc with Diploma in Cardiology
  नाही.
  No
  No</t>
  </si>
  <si>
    <t>seprani074/cr159/vaiseva 4</t>
  </si>
  <si>
    <t>किरणोपचार तंत्रज्ञ</t>
  </si>
  <si>
    <t>Candidate must Possess a degree in science with physics or Chemistry or biology Subject and · Candidate must possess certificate/degree two years course in Radiotherapy AERB (Atomic Energy Regulatory board) from recognized institute.
  नाही.
  No
  No</t>
  </si>
  <si>
    <t>डायलिसिस तंत्रज्ञ / Dialysis Technician</t>
  </si>
  <si>
    <t>BSC DMLT
  नाही.
  No
  No</t>
  </si>
  <si>
    <t>clause3
 degree in scence with physics cheminstry and biology
 DMLT</t>
  </si>
  <si>
    <t>प्रयोगशाळा तंत्रज्ञ / Laboratory Technician</t>
  </si>
  <si>
    <t>BPMT in Laboratory or any Bsc with Diploma in Laboratory
  नाही.
  No
  No</t>
  </si>
  <si>
    <t>SEPRANI-0714/C.R.159/VAISEVA4</t>
  </si>
  <si>
    <t>29-12-2020</t>
  </si>
  <si>
    <t>बधिरीकरण तंत्रज्ञ / Anesthesia Technician</t>
  </si>
  <si>
    <t>BPMT in Anaesthesia or Any BSC with diploma or certificate court in Anaesthesia
  नाही.
  No
  No</t>
  </si>
  <si>
    <t>SEPRANI 0714/C R 159/VAISEVA4</t>
  </si>
  <si>
    <t>रक्तपेढी तंत्रज्ञ / Blood Bank Technician</t>
  </si>
  <si>
    <t>BPMT in blood transfusion or any Bsc with Diploma in bloodtransfution</t>
  </si>
  <si>
    <t>seprani0714/cr.159/vaiseva4</t>
  </si>
  <si>
    <t>सी.टी.स्कॅन तंत्रज्ञ / C T Scan Technician</t>
  </si>
  <si>
    <t>BPMT in Radiology or any Bsc with Diploma in Radiography
  नाही.
  No
  No</t>
  </si>
  <si>
    <t>अधिपरिचारीका / Staff Nurse</t>
  </si>
  <si>
    <t>G.N.M./B.Sc.
  0
  No
  No</t>
  </si>
  <si>
    <t>nur/3761/23794/63387/G</t>
  </si>
  <si>
    <t>10.01.1964</t>
  </si>
  <si>
    <t>श्रवणमापक तंत्रज्ञ /Speech Therapist</t>
  </si>
  <si>
    <t>Degree in Science with Audiology or Speech Therapy (BASLP)
  OR
  Possess degree in Science and Diploma in Audiology or Speech Therapy from recognized institute.
  Preference will be given to candidates possessing one year experience in Audiology from recognised public or private institution.
  3).Should be registered with rehabilitation ,council of india 
  नाही.
  No
  No</t>
  </si>
  <si>
    <t>CLAUSE 3(ii) degree in science with physics and chemistry or
 possess degree or diploma certificate in Audiology from recognised institutes</t>
  </si>
  <si>
    <t>DMR2202/2965/CR-266/02/MS-4</t>
  </si>
  <si>
    <t>28.06.2006</t>
  </si>
  <si>
    <t>संग्रहालय सहाय्यक</t>
  </si>
  <si>
    <t>Educational Qualification-
  Must have at least a Master's degree in Museology or Archaeology or Fine Arts from a recognized university. In addition, a Master's degree in Museology will be preferred.
  नाही.
  No
  No</t>
  </si>
  <si>
    <t>लोहार / Blacksmith</t>
  </si>
  <si>
    <t>Have passed Blacksmith Course Examination for recognized Industrial Training Institute(ITI).Preference shall be given to candidate who has one year working experience as blacksmith in Private or Public sector 
  नाही.
  No
  No</t>
  </si>
  <si>
    <t>आहारतज्ञ / Dietician</t>
  </si>
  <si>
    <t>Bsc Hom science
  नाही.
  No
  No</t>
  </si>
  <si>
    <t>ग्रंथपाल / Librarian</t>
  </si>
  <si>
    <t>Post Graduate degree in Arts, Commerce or Scienc, Preferably M.sc with Biology or Zoology, In addition, possess Degree in Library Science from Statutory University.
  नाही.
  No
  No</t>
  </si>
  <si>
    <t>समाजसेवा अधिक्षक (मनोविकृती) / Social Service Superintendent (Phychiatric)</t>
  </si>
  <si>
    <t>Social Service Superintendent (NG Technical)</t>
  </si>
  <si>
    <t>Full-time Postgraduate degree in Social Work (MSW) with fieldwork from a recognized university or Postgraduate degree in Social Work (MSW) with fieldwork from an open or distance university recognized by the University Grants Commission.
  नाही.
  No
  No</t>
  </si>
  <si>
    <t>CLAUSE3
 (ii)possess a degree: and
 (iii) possess a diploma of a statutory university or an institution recognised by Government, in Social Service Administration with Medical and psychiatric Social Work as one of the subjects of speclisation, or a degree in Master of Social Work with Psychiatry as the of the subjects:
 rovided further that, preference may be given to candidates possessing exceptional quntifiertions or experience or both</t>
  </si>
  <si>
    <t>RTR1087/143/CR102/SER1</t>
  </si>
  <si>
    <t>30.11.1991</t>
  </si>
  <si>
    <t>समाजसेवा अधिक्षक (वैद्यकीय) /Social Service Superintendent (Medical)</t>
  </si>
  <si>
    <t>A Masters degree in Social Science (MSW) Preference will be given to the candidate having above degree with Medical and Psychiatric or Family and Child Welfare or both. 
  नाही.
  No
  No</t>
  </si>
  <si>
    <t>A Masters degree in Social Science (MSW) Preference will be given to the candidate having above degree with Medical and Psychiatric or Family and Child Welfare or both.</t>
  </si>
  <si>
    <t>DMR-2784/1060/OR-199/84/Med-15</t>
  </si>
  <si>
    <t>भौतिकोपचार तज्ञ /Physiotheapst</t>
  </si>
  <si>
    <t>1) Have passed Higher Secondary School Certificate Examination with Science Subject AND 2) Have passed Bachelor of Physiotherapy from a statutory University.3) Have valid registration from Maharashtra State Council for Occupational Therapy and Physiotherapy Act 2002.
  नाही.
  No
  No</t>
  </si>
  <si>
    <t>CLAUSE 3
 (ii)DILPOMA IN PHYSIOTHERAPIST</t>
  </si>
  <si>
    <t>RTR1 86/CR24/89/SIR1</t>
  </si>
  <si>
    <t>व्यवसायोपचार तज्ञ / Occupational Therapist</t>
  </si>
  <si>
    <t>1) B.Sc. in Occupational Therapy / Bachelor of Occupational Therapy .2) Should Possess valid registration from Maharashtra State Occupational Therapy and Physiotherapy Council
  नाही.
  No
  No</t>
  </si>
  <si>
    <t>DEGREE IN SCENCE (OCCUPATIONAL THERAPIST</t>
  </si>
  <si>
    <t>RTR3383/2206/CR37/87/SER1</t>
  </si>
  <si>
    <t>15.10.1981</t>
  </si>
  <si>
    <t>शारिरिक शिक्षण निर्देशक / Physical Trainer Instructor</t>
  </si>
  <si>
    <t>Have passed graduation of recognized University and possess a diploma physical education of the institute recognized by Government.
  नाही.
  No
  No</t>
  </si>
  <si>
    <t>संशोधन सहाय्यक / Research Assistant</t>
  </si>
  <si>
    <t>One) M.Sc./M.A. Degree in Statistics or M.A./M.Com. Degree in Economics/
  Econometrics from a recognized University.
  Two) Candidates who have three years of experience in Statistics or Statistical Research in the Government Sector.
  -
  No
  -</t>
  </si>
  <si>
    <t>1) M.Sc./M.A. Degree in Statistics or M.A./M.Com. Degree in Economics/
  Econometrics from a recognized University.
  2) Candidates who have three years of experience in Statistics or Statistical Research in the Government Sector.</t>
  </si>
  <si>
    <t>RTR 1273/28305/GI</t>
  </si>
  <si>
    <t>18-09-1974</t>
  </si>
  <si>
    <t>लघुलेखक (निम्नश्रेणी) / Stenographer (Lower Grade)</t>
  </si>
  <si>
    <t>S.S.C. (Degree in praposed RR) 
  No
  Yes</t>
  </si>
  <si>
    <t>पाठयनिर्देशिका / Tutor</t>
  </si>
  <si>
    <t>B.Sc./P. B. B. Sc. Nursing
  1 yrs Exp. In Nursing
  No
  No</t>
  </si>
  <si>
    <t>लघुलेखक (उच्चश्रेणी) / Stenographer (Higher Grade)</t>
  </si>
  <si>
    <t>S.S.C. (Degree in praposed RR)
  -
  No
  Yes</t>
  </si>
  <si>
    <t>सार्वजनिक आरोग्य परिचारीका / Public Health Nurse</t>
  </si>
  <si>
    <t>Diploma In P.H. N.
  3
  No
  No</t>
  </si>
  <si>
    <t>बालरोग परिचारीका / Paediatric Nurse</t>
  </si>
  <si>
    <t>Diploma In Pediatric
  3
  No
  No</t>
  </si>
  <si>
    <t>मानसोपचार परिचारीका / Psyschiatric Nurse</t>
  </si>
  <si>
    <t>Diploma In Pyschaitrist
  3
  No
  No</t>
  </si>
  <si>
    <t>सहाय्यक अधिसेविका /Asssistantt Matron</t>
  </si>
  <si>
    <t>B.Sc./P. B. B. Sc. Nursing
  10 yrs Nursing Exp. Out of 5 Yrs Exp Of Sister In-Charge
  No
  No</t>
  </si>
  <si>
    <t>अंधारखोली सहाय्यक / Dark Room Assistant</t>
  </si>
  <si>
    <t>कनिष्ठ लिपिक / Junior Clerk</t>
  </si>
  <si>
    <t>Degree
  -
  No
  Yes</t>
  </si>
  <si>
    <t>ग्रंथालय सहाय्यक / Library Assistant</t>
  </si>
  <si>
    <t>Have passed S.S.C examination of Maharashtra Secondary and Higher Secondary Examination Board Pune or Equivalent examination recognised by Govt. plus a certificate course of 6 months duration on Library Science of a recognised Institute 
  नाही.
  No
  No</t>
  </si>
  <si>
    <t>ग्रंथसुचिकार</t>
  </si>
  <si>
    <t>जनरेटर ऑपरेटर / Generator Operator</t>
  </si>
  <si>
    <t>1) Have passed I.T.I. Certificate of Diesel Engine Repair Course.
  2) Hold 2nd Class wireman’s Exam issued by the secretary Licensing Board Govt. of Maharashtra. And
  3) Should have worked as Diesel Engine Operator
  नाही.
  No
  No</t>
  </si>
  <si>
    <t>1) Have passed 11th Std or equivalent exam
 2) Have passed I.T.I. Certificate of Diesel Engine Repair Course.
  3) Hold 2nd Class wireman’s Exam issued by the secretary Licensing Board Govt. of Maharashtra. And
  4) Should have worked as Diesel Engine Operator</t>
  </si>
  <si>
    <t>विद्युत जनित्र चालक / Generator Operator</t>
  </si>
  <si>
    <t>(One) Passed Secondary School Certificate and Higher Secondary School Certificate Examination; and
  (Two) Graduate in Electrical Engineering from a Government recognized institution.
  नाही.
  No
  No</t>
  </si>
  <si>
    <t>(3) Must have passed the Fitter "Certificate Course" of any Government recognized Technical Institute or Government recognized Technical Training Institute in India.</t>
  </si>
  <si>
    <t>Number not provided on the RR
 (pdf pg no. 137)
 Tantrik Sanvargateel Padamche Sevapravesh Niyam</t>
  </si>
  <si>
    <t>विजतंत्री /Electrician</t>
  </si>
  <si>
    <t>One) Passed Secondary School Certificate Examination; and Two) Passed National Vocational Certificate or National Apprenticeship Certificate Examination in the subject of Electrical Engineering prescribed for the vocational course
  नाही.
  No
  No</t>
  </si>
  <si>
    <t>(i) Possess a Diploma or certificate in Electrical trades of any recognized institution / Nationa! council of training in vocational Trades (NCTVT) or any other qualification declared by Govi. to be equivalent thereto. 
 and
 (ii) Have passed the secondary school certificate examination or equivalent examination recognized by Govt.
  Preference will be give to them who have possessed at least 3 years experience of the post of Electrician</t>
  </si>
  <si>
    <t>Number not provided on the RR
 (pdf pg no. 145)
 Tantrik Sanvargateel Padamche Sevapravesh Niyam</t>
  </si>
  <si>
    <t>सुतार / Carpenter</t>
  </si>
  <si>
    <t>Have passed the S.S.C or an equivalent examination recognised by Govt. 
  2) Possess a certificate in carpenter from the industrial training institute of Government of Maharashtra or any other recognised institute.
  नाही.
  No
  No</t>
  </si>
  <si>
    <t>1) Possess a certificate in carpenter from the industrial training institute of Government of Maharashtra or any other recognised institute.
 2) Preference will be given to candidates with exceptionla qualifications and experience</t>
  </si>
  <si>
    <t>Number not provided on the RR
 (pdf pg no. 134)
 Tantrik Sanvargateel Padamche Sevapravesh Niyam</t>
  </si>
  <si>
    <t>शिंपी / Tailor</t>
  </si>
  <si>
    <t>वाहन चालक / Driver</t>
  </si>
  <si>
    <t>should be not more than thirty-eight years of age :2) should be possess a driving licence to drive a light motor vehicle or medium passenger motor vehicle or heavy passenger motor vehicle under the Motor Vehicles Act, 1988 (59 of 1988), issued by the Competent Licensing Authority ;3) should be have passed Secondary School Certificate Examination from the recognized school ;4) should be possess not less than three years experience of driving a light motor vehicle or medium passenger motor vehicle or heavy passenger motor vehicles in government, semi government or private institutions; 5) should be possess basic knowledge of repairing the motor vehicle and possess good health; 6) have a clean record of driving motor vehicle and possess good health 
  नाही.
  No
  No</t>
  </si>
  <si>
    <t>दुरध्वनी चालक / Telephone Operator</t>
  </si>
  <si>
    <t>1) S.S.C./Equivalent Examination
  AND
  2)Have knowledge of Marathi, English and Hindi with Fluency in Speaking.
  3)Preference will be given to the candidates having training and experience of Telephone Operating
  नाही.
  No
  No</t>
  </si>
  <si>
    <t>नळ कारागीर / Plumber</t>
  </si>
  <si>
    <t>SSS with ITI in Plumber 
  नाही.
  No
  No</t>
  </si>
  <si>
    <t>जोडारी</t>
  </si>
  <si>
    <t>One) Passed Secondary School Certificate Examination; and Two) Passed National Vocational Certificate or National Apprenticeship Certificate Examination in the subject of Shoemaking prescribed for the vocational course.
  नाही.
  No
  No</t>
  </si>
  <si>
    <t>वस्त्रपाल / Linen Keeper</t>
  </si>
  <si>
    <t>One) Passed Secondary School Certificate and Higher Secondary School Certificate Examination; and
  (Two) Graduate in Textiles from a Government recognized institution.
  नाही.
  No
  No</t>
  </si>
  <si>
    <t>CLAUSE2
 SSC
 PREFERNCE DILPOMA IN TAILORING</t>
  </si>
  <si>
    <t>MME1075/1808/PH-13</t>
  </si>
  <si>
    <t>18.10.76</t>
  </si>
  <si>
    <t>प्रयोगशाळा सहायक / Laboratory Assistant</t>
  </si>
  <si>
    <t>BPMT in Laboratory or any Bsc with Diploma in Laboratory</t>
  </si>
  <si>
    <t>DMR-2183/264/83-MED15(i)</t>
  </si>
  <si>
    <t>18.05.1985</t>
  </si>
  <si>
    <t>क्ष किरण सहाय्यक / X ray Assistant</t>
  </si>
  <si>
    <t>One) Those who have a degree in Paramedical Technology (Radiology) or a degree in Paramedical Technology (Radiology) in science and one year of residency;
  or
  (Two) Those who have a degree in Science with Physics, Chemistry or Biology; and a diploma or certificate in Radiology;
  or
  (Three) Those who have passed the Higher Secondary School Leaving Examination with Science as a subject in Vocational Courses (X-Ray/C.T. Scan/M.R.I.) 
  नाही.
  No
  No</t>
  </si>
  <si>
    <t>(i)Those who hold a degree in Paramedical Technology (Radiation) or a degree in Paramedical Technology (Radiation) in the science stream
  or
 (ii)Those who hold a degree in science with Physics and Chemistry or Biology and a diploma or certificate in Radiology:
 However, preference will be given to candidates with at least one year of experience as an X-ray Assistant or Dark Room Assistant in government-approved hospitals</t>
  </si>
  <si>
    <t>SePraNi-0714/C.R.159/14/VaiSeva4</t>
  </si>
  <si>
    <t>दंत आरोग्यक Dental Hygienist</t>
  </si>
  <si>
    <t>1) Have passed the secondary school certificate (SSC) examination.And 
  2) Diploma in Dental Hygienist recognised by DCI OR Dental Hygienist course recognised by DCI</t>
  </si>
  <si>
    <t>स्वच्छता निरिक्षक / Sanitory Inspector</t>
  </si>
  <si>
    <t>Sanitary Inspector (NG Admin)</t>
  </si>
  <si>
    <t>Have passed the secondary school certificate examination or Government to be equivalent Examination. 
  Have passed minimum one year training course of Health sanitary Inspector from institute recognized by the Government. 
  नाही.
  No
  No</t>
  </si>
  <si>
    <t>Education: Bachelor's Degree in any stream and Certificate Course of Sanitary Inspector from Government Recognised Institution
 OR
 SSC + Diploma in Sanitary Engineering
  Experience / Additional Skills / Preferential Qualification: Not Required</t>
  </si>
  <si>
    <t>Have passed the secondary school certificate examination or Government to be equivalent Examination. 
  Have passed minimum one year training course of Health sanitary Inspector from institute recognized by the Government.</t>
  </si>
  <si>
    <t>GDC-0511/CR90/VAISEVA4</t>
  </si>
  <si>
    <t>15.09.2012</t>
  </si>
  <si>
    <t>लघुटंकलेखक / Stenographer</t>
  </si>
  <si>
    <t>Mining</t>
  </si>
  <si>
    <t>Mining Establishment</t>
  </si>
  <si>
    <t>Geologist</t>
  </si>
  <si>
    <t>(New Service) Maharashtra Scientific (Geologist) Services</t>
  </si>
  <si>
    <t>• Education: Post Graduation degree in Geology or applied Geology, at least IInd Class degree or any other qualification declared by the Govt. to be equivalent thereto
  Experience: not less than 3 years</t>
  </si>
  <si>
    <t>Requisition sent to MPSC for 11 posts</t>
  </si>
  <si>
    <t>Drilling Engineer</t>
  </si>
  <si>
    <t>• Education: Degree in Mechanical Engineer or any other qualification declared by Govt. to be equivalent thereto
  Experience: not less than 5 years</t>
  </si>
  <si>
    <t>Sr. Geologist</t>
  </si>
  <si>
    <t>• Education: Post Graduation degree in Geology or applied Geology, atleast IInd Class degree or any other qualification declare by the Govt. to be equalant thereto
  Experience: not less than 5 years</t>
  </si>
  <si>
    <t>Mode of recruitment: Internal Promotion
Department prefers to keep the nomination quota intact. Experience requirement also needs to be kept</t>
  </si>
  <si>
    <t>Dy. Director</t>
  </si>
  <si>
    <t>• Education: Post Graduation degree in Geology or applied Geology, atleast IInd Class degree or any other qualification declare by the Govt. to be equalant thereto
  Experience: not less than 8 years</t>
  </si>
  <si>
    <t>Requisition sent to MPSC for 2 posts</t>
  </si>
  <si>
    <t>S26 (82200 - 211500)</t>
  </si>
  <si>
    <t>• Education: Post Graduation degree in Geology or applied Geology, atleast IInd Class degree or any other qualification declare by the Govt. to be equivalent thereto
  Experience: not less than 10 years</t>
  </si>
  <si>
    <t>Assistant Administative Officer</t>
  </si>
  <si>
    <t>• Education: Any Degree</t>
  </si>
  <si>
    <t>Education: Any Degree
 Sound knowledge of rules and regulations pertaining to Mineral Administration in the state. 
 Preference may be given to candidates who have experience in the field of Mineral Administration</t>
  </si>
  <si>
    <t>Jr. Geologist</t>
  </si>
  <si>
    <t>• Education: Post Graduation degree in Geology or applied Geology, atleast IInd Class degree or any other qualification declare by the Govt. to be equalant thereto</t>
  </si>
  <si>
    <t>Sent for 14 posts to MPSC</t>
  </si>
  <si>
    <t>Chemist</t>
  </si>
  <si>
    <t>• Education: Post Graduation degree In Chemistry preferably In Organic Chemistry or any another equivalent qualification declare by the Govt. thereto</t>
  </si>
  <si>
    <t>Sent for 2 posts to MPSC</t>
  </si>
  <si>
    <t>Assistant Drilling Engineer</t>
  </si>
  <si>
    <t>• Education: Degree in Mechanical Engineer or any other equivalent qualification OR a Diploma in Mining and Mechanical or Automobile Engineer
  • Experience: 3 years in a related field if having a Degree, or 5 years in a related field if having a Diploma</t>
  </si>
  <si>
    <t>Driller Mechanic</t>
  </si>
  <si>
    <t>• Education: S. S. C. or any other examination declared by Govt. to be equivalent thereto
  Experience: not less than 7 years of handling different types of drilling machines
  • Skill (test): Have drilled 5000 meters by diamond drill or caly drill in various strata</t>
  </si>
  <si>
    <t>Roster updated on 14/08/2025</t>
  </si>
  <si>
    <t>CLAUSE3
 Prefernce may be given to diploma in mechanical or Automobile engineering of recognised institutionor any other qualification equivalent thereto</t>
  </si>
  <si>
    <t>RTR1382/188750/(35)/ADM1</t>
  </si>
  <si>
    <t>14.05.1990</t>
  </si>
  <si>
    <t>Stenographer (L. G.)</t>
  </si>
  <si>
    <t>• Education: Any Graduated
  • Skill (test): Shorthand 100 w.p.m., Typing English 40 w.p.m., and Marathi 30 w.p.m.
  • Preference: Yes</t>
  </si>
  <si>
    <t>Inspector/ Superintendent</t>
  </si>
  <si>
    <t>• Education: Degree from a statutory University atleast in IInd class
  • Experience: Atleast 6 years of any ministerial work in responsible position
  • Skill (test): Yes</t>
  </si>
  <si>
    <t>possess a degree of a Statutory University, atleast in Second Class; and
  possess an experience in ministerial work in responsible position for a period of not less than six years, gained after acquiring the qualification of possessing a degree of a Statutory University, atleast in Second Class
 Provided that, the age limit may be relaxed by the Government on recom-mendations of the Selecting Authority in favour of candidates having excep. tional qualifications or experience or both.</t>
  </si>
  <si>
    <t>RTR1389/456/(2119)/ADM2</t>
  </si>
  <si>
    <t>27.01.1994</t>
  </si>
  <si>
    <t>Workshop Superintendent</t>
  </si>
  <si>
    <t>• Education: Diploma in Mechanical Engineering or Automobile Engineering of recognised Institution or any other qualification declared by Govt. to be equivalent thereto.
  Experience: not less than 5 years in overhauling motor engines, pumps, rock drilling machines.
  • Skill (test): Possessing ability to supervise and control the mechanical workshop. Yes</t>
  </si>
  <si>
    <t>No roster updation needed. Cadre with a singular post</t>
  </si>
  <si>
    <t>Geographical Information System Assistant</t>
  </si>
  <si>
    <t>• Education: No
  Experience: Degree or Diploma in Civil Engineering, Mining Engineering, or Mine Surveying
  • Skill: Plain table, Chain compass Level, Theodolite, Total Station, G.P. S. and D.G.P. S. etc. and related survey of mineral bearing and other areas, recording in field books plotting and preparing of survey maps, leveling and plotting of contours and sections utilizing sophisticated instruments, Traverse survey by theodolite.</t>
  </si>
  <si>
    <t>At present RR used of Surveyar</t>
  </si>
  <si>
    <t>RR Pending with GAD</t>
  </si>
  <si>
    <t>Driller</t>
  </si>
  <si>
    <t>• Education: S. S. C. Exam passed
  Experience: not less than 3 years of handling different types of drilling machines
  • Skill (test): Have drilled 3000 meters by diamond drill or caly drill in various strata
  • Physical Qualification (test): Yes</t>
  </si>
  <si>
    <t>clause 4
 preferance may be given to a candidates possessing a diploma in Machanical and automobile engineering of recognised institutionor any other qualification equivalent thereto</t>
  </si>
  <si>
    <t>RTR1382/188750/(35)/adm1</t>
  </si>
  <si>
    <t>Museum-cum-Library Assistant</t>
  </si>
  <si>
    <t>• Education: Diploma in Library
  • Experience: 0
  • Skill (test): Yes</t>
  </si>
  <si>
    <t>Roster uppdation not needed. Cadre with singular post</t>
  </si>
  <si>
    <t>1) possess a Degree of a stuatory University 
 2) possess a Degree or Diploma in Library Sciences of a stuatory University or a recognized instituition
 Preference may be given to candidate having experience of Library work gained after acquiring the basic academic qualification</t>
  </si>
  <si>
    <t>RTR. 1383/94462(59)/ADM-1</t>
  </si>
  <si>
    <t>31-08-1984</t>
  </si>
  <si>
    <t>• Education: Graduation
  • Experience: 0
  • Skill (test): Yes</t>
  </si>
  <si>
    <t>Roster updated on 15/08/2025</t>
  </si>
  <si>
    <t>• Education: H. S. C. Certificate examination in IInd Class
  • Experience: 1 year experience
  • Skill (test): Yes</t>
  </si>
  <si>
    <t>Clause 4 (b) 
 (ii) Have passed secondary school certificate examination at least in second class
 (iii) posses practical experience in any chemical and petrological laboratory for a period of not less than two years gain after aquiring the qualification mentioned in sub clause (ii) of this rule</t>
  </si>
  <si>
    <t>RTR1382/189352/(32)/ADM-1</t>
  </si>
  <si>
    <t>07.02.1986</t>
  </si>
  <si>
    <t>Rigman</t>
  </si>
  <si>
    <t>• Education: S. S. C. Exam passed
  • Skill (test): Yes</t>
  </si>
  <si>
    <t>Education: SSC + ITI / Vocational Course from Government recognised institution in relevant trade
  Experience / Additional Skills / Preferential Qualification: Not Required</t>
  </si>
  <si>
    <t>(i) have passed Secondary School Certificate Examination preferably in second class</t>
  </si>
  <si>
    <t>RTR. 1382/188750/(35)/ADM-1</t>
  </si>
  <si>
    <t>14-05-1990</t>
  </si>
  <si>
    <t>• Education: S. S. C. and Possess a certificate in Civil Drafsmanship of a recognised institution or any other qualification declared by Govt. to be equivalent thereto
  • Preference: Yes</t>
  </si>
  <si>
    <t>1) SSC Certificate 
 2) Passed intermediate grade (Darwaing) examination of Government or any other qualification declared by the govt to be equivalent thereto
 3) Preference to be given to candidated holding a certificate in Civil Draftsmanship of a recognised institution</t>
  </si>
  <si>
    <t>RTR 1382/188296/(34)/ADM-1</t>
  </si>
  <si>
    <t>• Education: Graduation
  • Experience: 0</t>
  </si>
  <si>
    <t>Clause 3(b)
 ii) Possess a degree of a statutory University</t>
  </si>
  <si>
    <t>Assistant Driller</t>
  </si>
  <si>
    <t>• Education: S. S. C. Exam passed
  Experience: not less than 3 years
  • Skill (test): Handling different types of drilling machines and drilled 2000 meters by diamond drill or caly drill in various strata</t>
  </si>
  <si>
    <t>have passed Secondary School Certificate Examination preferably in second class
  and
 possess practical experience, gained after acquiring the qualification of having passed the Secondary School Certificate Examination preferably in second class and of not less than 3 years of handling the drilling machines and have drilled 2000 meters in various strata by diamond drill and caly drill.</t>
  </si>
  <si>
    <t>Operator-cum-Mechanic</t>
  </si>
  <si>
    <t>• Education: S. S. C. passed and possess I. T. I. certificate in Mechanics or any other qualification declared by Govt. to be equivalent thereto.
  • Preference: Yes</t>
  </si>
  <si>
    <t>(i) have studied upto Secondary School Certificate Examination standard; and
 (ii) possess I. T. L. certificate in Mechanics or any other qualification declared by Government to be equivalent thereto;
 Provided that preference may be given to candidates having higher educational qualifications and experience in overhauling motor engines. pumps, rock drilling machines and possessing general mechanical workshop experience</t>
  </si>
  <si>
    <t>RTR. 1382/94466(48)/ADM-1</t>
  </si>
  <si>
    <t>Minority</t>
  </si>
  <si>
    <t>Maharashtra State Hajj Committee Establishment</t>
  </si>
  <si>
    <t>Assistant</t>
  </si>
  <si>
    <t>• Education: Graduate</t>
  </si>
  <si>
    <t>• Education: SSS
  • Skill (test): English 40 wpm</t>
  </si>
  <si>
    <t>Accounts Clerk (Haj Committee)</t>
  </si>
  <si>
    <t>• Education: S.S.C
  • Skill (test): English 40 wpm</t>
  </si>
  <si>
    <t>• Education: S.S.C
  • Skill (test): English 80 wpm &amp; Marathi 40 wpm</t>
  </si>
  <si>
    <t>Maharashtra State Urdu Academy Establishment</t>
  </si>
  <si>
    <t>Superintendent-Cum-Executive Officer</t>
  </si>
  <si>
    <t>• Education: Possess a degree of a statutory University with Urdu as a special subject.
  • Skill (test): Have proficiency in writing Urdu articles and correspondence. Have adequate knowledge of Marathi language.</t>
  </si>
  <si>
    <t>No. A.V.V.-6524/P.R.88/Ka.1 
 (Draft RR)</t>
  </si>
  <si>
    <t>(Draft RR)</t>
  </si>
  <si>
    <t>Sub editor(Urdu) / Deputy Editor (Urdu)</t>
  </si>
  <si>
    <t>• Education: Holds Degree in Urdu Language; Holds a degree in Journalism or Mass Communication (Jana Sanjapan).</t>
  </si>
  <si>
    <t>Education: Bachelor's Degree in Urdu Language + Diploma / Degree in Journalism
  Experience / Additional Skills / Preferential Qualification: Not Required</t>
  </si>
  <si>
    <t>clause 3
 experiance 1 year
 prefernance given possessing master degree in Mass communication or exceptional qualifications</t>
  </si>
  <si>
    <t>USA2015/CR 227/Desk1</t>
  </si>
  <si>
    <t>23.03.2021</t>
  </si>
  <si>
    <t>• Education: No
  • Skill (test): typing</t>
  </si>
  <si>
    <t>Accounts Clerk (Urdu Academy)</t>
  </si>
  <si>
    <t>• Education: Must possess at least one of the following:
  • A degree in commerce.
  • A degree in Arts with Statistics, Mathematics, or Economics as the principal subject.
  • A degree in Science with Statistics or Mathematics as the principal subject.
  • A degree of Business Administration.
  • Any degree and has passed the intermediate examination for Chartered Account.</t>
  </si>
  <si>
    <t>Maharashtra State Waqf Tribunal, Chhatrapati Sambhajinagar Establishment</t>
  </si>
  <si>
    <t>Stenographer (Lg)</t>
  </si>
  <si>
    <t>• Education: degree, Commerce Certificate
  • Skill (test): Marathi Typewriting 30, Marathi Shorthand 100, Or English Typing 40</t>
  </si>
  <si>
    <t>• Education: Degree / Equivalent Qualification
  • Skill (test): Marathi typing speed 30 and English typing speed 40 words per minute</t>
  </si>
  <si>
    <t>Accountant (Clerk)</t>
  </si>
  <si>
    <t>• Education: Degree in Commerce
  • Skill (test): Marathi Typewriting 30, English Typing 40</t>
  </si>
  <si>
    <t>Clause No 6 (2)
 (a)
 i) a degree in commerce, or
 (ii) a degree in Arts with Statistics, Mathematics, or
 (iii) Economics as the principal subject, or
 (iv) a degree in Science with Statistics or Mathematics as the principal subject, or
 (v) a degree of Business Administration, or
 (vi) any degree and has passed intermediate examination for Chartered Account
 (b) Possess the Government Commercial Certificate or Computer Typing Certificate with a speed of not less than 30 words per minute in Marathi Typewriting or 40 words per minute in English Typewriting.</t>
  </si>
  <si>
    <t>Waqf 2022/CR 54/Desk-4</t>
  </si>
  <si>
    <t>21.05.2024</t>
  </si>
  <si>
    <t>Minority Commissionerate Chhatrapati Sambhajinagar Establishment</t>
  </si>
  <si>
    <t>• Education: Degree / Equivalent Qualification</t>
  </si>
  <si>
    <t>Assistant Engineer Grade2</t>
  </si>
  <si>
    <t>• Education: Degree in Civil Engineering</t>
  </si>
  <si>
    <t>Not needed</t>
  </si>
  <si>
    <t>• Education: Passed Secondary School Certificate Examination
  • Skill (test): English and Marathi shorthand speed 100 wpm, Typing Marathi 30 wpm, Typing English 40 wpm</t>
  </si>
  <si>
    <t>• Education: Passed Secondary School Certificate Examination
  • Skill (test): English and Marathi shorthand speed 120, Typing Marathi 30 words per minute, English 40 words per minute</t>
  </si>
  <si>
    <t>• Education: Degree / Equivalent Qualification.
  • Skill (test): Marathi typing speed 30 words per minute and English typing speed 40 words per minute.</t>
  </si>
  <si>
    <t>OBC</t>
  </si>
  <si>
    <t>OBC Establishment</t>
  </si>
  <si>
    <t>Public Realtion Officer</t>
  </si>
  <si>
    <t>• Education: Degree in Journalism/ Degree in Arts or Science or Commerce or Diploma in Journalism</t>
  </si>
  <si>
    <t>Assistant Director/ Project Officer/ Research Officer</t>
  </si>
  <si>
    <t>• Education: Graduation in any stream
  • Experience: 5 years</t>
  </si>
  <si>
    <t>Education Officer (Gazetted Officer)</t>
  </si>
  <si>
    <t>• Education: Graduation in any stream</t>
  </si>
  <si>
    <t>Other Backward Class Officer Gr-B (Gazetted Officer)</t>
  </si>
  <si>
    <t>29 vacancies fulfilled basis 2023 roster. No vacancies/ roster in 2025-2026</t>
  </si>
  <si>
    <t>• Education: No
  • Skill (test): 100 wpm for stenography, 40 wpm for Marathi and English Typing</t>
  </si>
  <si>
    <t>Singular post, roster not needed</t>
  </si>
  <si>
    <t>Stenographer (Higher Grade) (Non-Gazetted Officer)</t>
  </si>
  <si>
    <t>• Education: Graduation in any stream
  • Skill (test): 120 WPM for stenography and Marathi typing 40WPM</t>
  </si>
  <si>
    <t>Roster updated for 62 posts on 19th Jan 2026</t>
  </si>
  <si>
    <t>Possesses a degree in any branch of a statutory university or any other educational qualification declared by the Government to be equivalent thereto</t>
  </si>
  <si>
    <t>Asthapta-2021/cr-8 /Part C/Asthapra-2</t>
  </si>
  <si>
    <t>24.09.2025</t>
  </si>
  <si>
    <t>Senior Inspector</t>
  </si>
  <si>
    <t>• Education: Any Graduate
  • Experience: 0
  • Skill (test): Typing 30/40 Marathi &amp; English</t>
  </si>
  <si>
    <t>Planning</t>
  </si>
  <si>
    <t>Planning Establishment</t>
  </si>
  <si>
    <t>Deputy Director / Senior Research Officer</t>
  </si>
  <si>
    <t>• Education: a postgraduate degree in Statistics / Economics / Mathematics, or a graduate degree in Statistics / Economics along with a postgraduate degree from a recognized university in a sub-branch of Statistics / Economics.
  • Experience: At least five years of experience in a supervisory position in statistical/econometric operations.</t>
  </si>
  <si>
    <t>Yes
 31.08.2024</t>
  </si>
  <si>
    <t>Statistical Officer/ / Research Officer</t>
  </si>
  <si>
    <t>• Education: Postgraduate degree in Statistics / Economics / Mathematics, OR a graduate degree in Statistics / Economics along with a postgraduate degree in a sub-branch of Statistics / Economics from a recognized university.</t>
  </si>
  <si>
    <t>Assistant Research Officer</t>
  </si>
  <si>
    <t>• Education: Currently requires a postgraduate degree in Statistics / Biometry / Mathematics / Economics / Econometrics / Mathematical Economics / Commerce. Proposed revision is either a postgraduate degree in Statistics / Economics / Mathematics, or a graduate degree in Statistics / Economics along with a postgraduate degree from a recognized university in a sub-branch of Statistics / Economics.</t>
  </si>
  <si>
    <t>1) Master's Degree in statistics, biometry, mathematics, economics, ecometries, mathematical economics or commerce OR; having passed atleast in 2nd class or have secured aytleast 45% marks in bachelor's degree examination in any faculty with a post-graduate diploma in statistics of Indian Statistical institute or Indian Council of Agricultural Research or anyother institution recognised by the Government for which min qualification for admission to the diploma is graduation.
 2) Preference will be given to practical experience of actual field work connected with socio-economic surveys gainbed after the required qualiications.</t>
  </si>
  <si>
    <t>STW 1081/364/ADM-5</t>
  </si>
  <si>
    <t>28-08-1992</t>
  </si>
  <si>
    <t>the Draftsman</t>
  </si>
  <si>
    <t>• Education: Secondary School Certificate (SSC) Examination pass, and Bachelor’s Degree in Fine Arts (BFA) – Applied Arts with minimum 50% marks (Second Class), or G.D. Art Diploma (Applied Arts) with minimum 50% marks (Second Class).
  • Experience: Two years in handling design-related software.
  • Skill (test): Possession of a certificate from a recognized institute in handling/design-related software.</t>
  </si>
  <si>
    <t>• Education: Prescribed qualification is a graduate degree in Statistics / Economics / Mathematics / Commerce / Econometrics. Proposed revision is a graduate degree in Statistics / Economics / Mathematics.</t>
  </si>
  <si>
    <t>1) Master's degree in Mathematics, economics, commerce, statistics or ecometrics, OR;
 passed atleast in 2nd class or have secured atleast 45% marks in bachelor's degree examination with Mathematics, economics, commerce, statistics or ecometrics as one of the subjects.
 3) Preference to practical experience of actual field work connected with socio -economic surveys gained after acquiring the required qualifications.</t>
  </si>
  <si>
    <t>• Education: Degree in any discipline
  • Skill (test): Typing</t>
  </si>
  <si>
    <t>the investigator</t>
  </si>
  <si>
    <t>Investigator (NG Admin)</t>
  </si>
  <si>
    <t>• Education: Presently passed in school examination, proposed as degree in any discipline.</t>
  </si>
  <si>
    <t>Have passed the Secondary School Certificate Examination</t>
  </si>
  <si>
    <t>RRS4690/98/ADM-5</t>
  </si>
  <si>
    <t>30.11.2019</t>
  </si>
  <si>
    <t>PWD</t>
  </si>
  <si>
    <t>Chief Architect Establishment</t>
  </si>
  <si>
    <t>Architect</t>
  </si>
  <si>
    <t>• Education: Associate of the Royal Institute of British Architects or Associate Member of the Indian Institute of Architect (by examination) or minimum degree in Architect of statutory University, is a registered member of the Council of Architecture, New Delhi.
  Experience: not less than five years in a qualified Architects Office gained after acquiring the qualification.
  • Skill (test): Having experience of inspection of work under construction and possess adequate knowledge of municipal building By-laws regarding construction work.</t>
  </si>
  <si>
    <t>Requisition for 4 post sent to MPSC18/03/2025</t>
  </si>
  <si>
    <t>Junior Architect</t>
  </si>
  <si>
    <t>• Education: Architecture Degree of recognised university.
  t more than 33 years age.
  • Skill (test): Registered member of Counsil of Architecture, New Delhi.</t>
  </si>
  <si>
    <t>Assitant Junior Architect</t>
  </si>
  <si>
    <t>• Education: Architecture Degree of recognised university
 Exp: not more than 3 yrs</t>
  </si>
  <si>
    <t>Steno Higher Grade</t>
  </si>
  <si>
    <t>• Education: 10th pass
  • Skill (test): ENG-120 wpm, Eng typing 40wpm, Marathi typing 30 wpm</t>
  </si>
  <si>
    <t>Junior Clerk Cum Typist</t>
  </si>
  <si>
    <t>• Education: Graduate computer certificate</t>
  </si>
  <si>
    <t>Civil Establishment</t>
  </si>
  <si>
    <t>Assistant Executive Engineer</t>
  </si>
  <si>
    <t>• Education: Must have passed Bachelor of Engineering (Civil) from a recognized university or equivalent degree recognized by the Government of Maharashtra.</t>
  </si>
  <si>
    <t>Assistant Engineer Grade-I</t>
  </si>
  <si>
    <t>Assistant Engineer Grade-2 (Civil)</t>
  </si>
  <si>
    <t>• Education: B.E./B.Tech (Civil) and declared equivalent courses</t>
  </si>
  <si>
    <t>Requisition for 182 post sent to MPSC 2/11/25</t>
  </si>
  <si>
    <t>Junior Engineer (Civil)</t>
  </si>
  <si>
    <t>• Education: Minimum Diploma or Degree or higher qualification in Civil Engineering</t>
  </si>
  <si>
    <t>Extra 600 posts than DR posts</t>
  </si>
  <si>
    <t>Minimum diploma or degree or higher educational qualification in civil engineering.</t>
  </si>
  <si>
    <t>RTR 2023/CR75/Establishment-1</t>
  </si>
  <si>
    <t>26-10-2023</t>
  </si>
  <si>
    <t>Steno Lower Grade</t>
  </si>
  <si>
    <t>• Education: 10th pass
  • Skill (test): ENG-100 wpm, Eng typing 40wpm, Marathi typing 30 wpm</t>
  </si>
  <si>
    <t>Research Assistant</t>
  </si>
  <si>
    <t>• Education: At least a degree in Second Class in Science with the Mathematics / Physics / Chemistry / Statistics as Principal Subject or a degree in Agriculture of a recognised university.
  t more than 25 years of age.
  • Preference: Candidates having post graduate qualifications and/or practical / research experience.</t>
  </si>
  <si>
    <t>1) Degree in 2nd class in science with mathematics/physics/chemistry/statistics as principal subject OR; a degree in agriculture of a recognised university.
 2) Preference will be given to post-graduate qualification and/or practical/research experience</t>
  </si>
  <si>
    <t>BCS 1358-E-I</t>
  </si>
  <si>
    <t>Assistant Storekeeper</t>
  </si>
  <si>
    <t>• Education: 10th pass</t>
  </si>
  <si>
    <t>1) have passed SSC examination or an equivalent examination recognised by government</t>
  </si>
  <si>
    <t>BCS 1070/40209-E-I</t>
  </si>
  <si>
    <t>• Education: Degree in Physics / Chemistry / Geology OR Degree in Agriculture</t>
  </si>
  <si>
    <t>Appointment shall be made by nomination from amongst candidates who unless already in the service of the Government of Bombay are not more than 25 years of age and who are graduates in Science (with Chemistry as the principal subject) or in Agriculture of a recognised University."</t>
  </si>
  <si>
    <t>BCS1358E(I)</t>
  </si>
  <si>
    <t>18.03.1959</t>
  </si>
  <si>
    <t>• Education: Passed SSC or equivalent exam and the Intermediate Grade Drawing exam of the Govt of Maharashtra or equivalent recognised exam
  • Skill (test): Intermediate Grade Drawing exam
  t more than 25 years of age</t>
  </si>
  <si>
    <t>1) have passed the intermediate Grade Examination of the Government of Bombay or an equivalent recognised examination.
 Provided that preference may be given to candidates who have passed the S.S.C.Examination or an equivalent recognised examination. (modified in Government Resolution, Buildings &amp; Communications Department No. BCS 1365-E(I), dated 20.10.65).</t>
  </si>
  <si>
    <t>• Education: Graduatecomputer certificate
  • Skill (test): Graduatecomputer certificate</t>
  </si>
  <si>
    <t>Civil Engineer Assistant</t>
  </si>
  <si>
    <t>• Education: 10th + 1 Year Course of Civil Engineering and Declared Equivalent Courses
  • Experience: 1 year</t>
  </si>
  <si>
    <t>No Updated</t>
  </si>
  <si>
    <t>Candidate shall possess Degree or Diploma in civil engineering or any other qualification as declared by government</t>
  </si>
  <si>
    <t>RTR 2024/CR73/Establishment-1</t>
  </si>
  <si>
    <t>16-09-2025</t>
  </si>
  <si>
    <t>Sanitary Inspector</t>
  </si>
  <si>
    <t>• Education: Diploma in Sanitory Inspector</t>
  </si>
  <si>
    <t>Requisition for 2 post sent to MPSC 30/01/25</t>
  </si>
  <si>
    <t>i) candidate age should not be more than 30 years
 ii) Passed Secondary School Certificate Examination and any other examination declared by Government 
 iii) have passed a certificate of Sanitary Inspector granted by the Director of Public Health or any other certificate declared by the Government (preference may be given to candidate possessing diploma in Sanitary engineering; and 
 iv) have experience gained after acquiring the qualification mentioned in sub-clauses (ii) and (iii) above, of sanitation work for not less than 5 years</t>
  </si>
  <si>
    <t>EST 1090/129/ADM-4</t>
  </si>
  <si>
    <t>15-11-1994</t>
  </si>
  <si>
    <t>• Education: 10th pass
  • Skill (test): ENG-80 wpm, Eng typing 40wpm, Marathi typing 30 wpm</t>
  </si>
  <si>
    <t>Directorate, Chawl Development, Worli, Mumbai Establishment</t>
  </si>
  <si>
    <t>Requisition for 8 post sent to MPSC October 25
(This entry is not available in MPSC Sheet and Dept PPT as well)</t>
  </si>
  <si>
    <t>• Education: Graduatecomputer certificate</t>
  </si>
  <si>
    <t>23-11-2022</t>
  </si>
  <si>
    <t>Directorate, Parks and Gardens Establishment</t>
  </si>
  <si>
    <t>Assistant Director Parks And Garden</t>
  </si>
  <si>
    <t>• Education: Degree in Agriculture / Horticulture or Master degree in Botany
  • Experience: At least 3 years in the maintenance and development of garden attached to residential premises or any other public or private garden or nursery or all three, and of public parks and roadside arboriculture or any other experience related to gardening gained after acquiring the necessary educational qualification.</t>
  </si>
  <si>
    <t>Garden Superviser</t>
  </si>
  <si>
    <t>• Education: Degree in Agriculture / Horticulture or Master degree in Botany
  • Experience: At least 2 years in maintenance and development of gardens attached to residential premises or any other public or private garden or nursery or all three, and of public parks and roadside arboriculture or any other experience related to gardening gained after acquiring the degree</t>
  </si>
  <si>
    <t>Requisition for 1 post sent to Selection Board 05/09/25</t>
  </si>
  <si>
    <t>1) Degree in Agriculture or Horticulture;
 2) Atleast 2 years of practical experience i maintenance and development of gardens attached to residential premises or any other pubic or private garden or nursery, or all three.</t>
  </si>
  <si>
    <t>SEPRANI-1012/C.R.107/AASTHA-2</t>
  </si>
  <si>
    <t>Electrical Establishment</t>
  </si>
  <si>
    <t>Deputy Engineer (Electrical)</t>
  </si>
  <si>
    <t>• Education: Must have passed Bachelor of Engineering (Electrical) from a recognized university or equivalent degree recognized by the Government of Maharashtra.
  Experience: not less than 3 years as an Electrical Engineer gained after acquiring the qualification.</t>
  </si>
  <si>
    <t>Executive Engineer (Electrical)</t>
  </si>
  <si>
    <t>• Education: Degree of Electrical Engineering
  t less than 8 years</t>
  </si>
  <si>
    <t>Assistant Engineer Grade-2 (Electrical)</t>
  </si>
  <si>
    <t>• Education: B.E./B.Tech (Electrical) and declared equivalent courses</t>
  </si>
  <si>
    <t>Requisition sent for 08 post to Mpsc on Oct 2025
As per MPSC Data, requisition sent for 11 posts on 10.07.2025</t>
  </si>
  <si>
    <t>Junior Engineer (Electrical)</t>
  </si>
  <si>
    <t>• Education: Diploma in Electrical Engineering and declared Eqivalent courses</t>
  </si>
  <si>
    <t>Requisition for 10 post sent to MPSC 13/11/25</t>
  </si>
  <si>
    <t>Those who hold 3 years Diploma in Electrical engineering or equivalent qualification declared by the government</t>
  </si>
  <si>
    <t>SPN1006/185/ESTT-2</t>
  </si>
  <si>
    <t>Mechanical Establishment</t>
  </si>
  <si>
    <t>• Education: Graduate computer certificate
  • Skill (test): Graduate computer certificate</t>
  </si>
  <si>
    <t>Revenue</t>
  </si>
  <si>
    <t>Aastha 10 Establishment</t>
  </si>
  <si>
    <t>Gram Mahsul Adhikari</t>
  </si>
  <si>
    <t>Gram Mahsul Adhikari (NG Admin)</t>
  </si>
  <si>
    <t>Not sent due to under process Akrutiband</t>
  </si>
  <si>
    <t>Updated 
 Amravati - 31-08-2025
 Pune - 06-01-2023
 Kokan - 28-08-2025
 CH Sambhaji nagar - 09-12-2022
 Nagpur - 27-09-2024
 Nasik - Judicial Matter</t>
  </si>
  <si>
    <t>(b) Those who hold a degree.</t>
  </si>
  <si>
    <t>SePraNi. 2008/Pra.Kra. 406/E-10</t>
  </si>
  <si>
    <t>Aastha 2 Establishment</t>
  </si>
  <si>
    <t>Deputy Collector</t>
  </si>
  <si>
    <t>• Education: Any Graduation
  • Experience/Skill: No</t>
  </si>
  <si>
    <t>Aastha 3 Establishment</t>
  </si>
  <si>
    <t>Tahsildar</t>
  </si>
  <si>
    <t>S19 (55100 - 175100)</t>
  </si>
  <si>
    <t>• Education: Any Graduation</t>
  </si>
  <si>
    <t>Aastha 6 Establishment</t>
  </si>
  <si>
    <t>Deputy Superintendent of Land Records</t>
  </si>
  <si>
    <t>In process</t>
  </si>
  <si>
    <t>• Education: Any Degree
  • Skill (test): Marathi, English Typing</t>
  </si>
  <si>
    <t>Cadastral Surveyor</t>
  </si>
  <si>
    <t>• Education: Degree/ Diploma in Engineering, ITI
  • Experience: 2 years</t>
  </si>
  <si>
    <t>1) possess Diploma in Civil Engineering;
 or
 have passed the Secondary School Certificate Examination and possess a certificate in "Surveyor Trade" Course of the duration of two years conducted by Industrial Training Institute;
 2) possess the Government Commercial Certificate for a speed of not less than 30 w.p.m. in Marathi Type Writing and 40 w.p.m. in English Type Writing</t>
  </si>
  <si>
    <t>EST. 2014/C.R. 6/E-6</t>
  </si>
  <si>
    <t>Aastha 7 Establishment</t>
  </si>
  <si>
    <t>Lower Grade Stenographer 
  (Non gazeetted)</t>
  </si>
  <si>
    <t>• Education: SSC
  • Skill (test): Shorthand Certificate 120 (Marathi) W.P.M; Typing Certificate Marathi 30 W.P.M Or English 40 W.P.M; MS-CIT Or Equilvatant Course</t>
  </si>
  <si>
    <t>Updated, Divisional level</t>
  </si>
  <si>
    <t>Higher Grade Stenographer 
  (Non gazeetted)</t>
  </si>
  <si>
    <t>• Education: SSC
  • Skill (test):
  • Shorthand Certificate 120 (Marathi) W.P.M
  • Typing Certificate Marathi 30 W.P.M Or English 40 W.P.M
  • MS-CIT Or Equilvatant Course</t>
  </si>
  <si>
    <t>Assitant Revenue Officer</t>
  </si>
  <si>
    <t>N/A</t>
  </si>
  <si>
    <t>Circle Officer</t>
  </si>
  <si>
    <t>Revenue Assistant / Clerk Typist</t>
  </si>
  <si>
    <t>• Education: Graduate
  • Skill (test): 40 English Typing, 30 English Typing, MSCIT</t>
  </si>
  <si>
    <t>Requisition sent for 477 to MPSC in 12-12-2025</t>
  </si>
  <si>
    <t>Updated, District level</t>
  </si>
  <si>
    <t>Steno typist</t>
  </si>
  <si>
    <t>• Education: SSC
  • Skill (test): 1. Shorthand Certificate 120 (Marathi) W.P.M 2. Typing Certificate Marathi 30 W.P.M Or English 40 W.P.M 3. MS-CIT Or Equilvatant Course</t>
  </si>
  <si>
    <t>Aastha 9 Establishment</t>
  </si>
  <si>
    <t>Naib Tahsildar</t>
  </si>
  <si>
    <t>Stamp 1 and Stamp 2 Establishment</t>
  </si>
  <si>
    <t>Sub Registrar Grade1</t>
  </si>
  <si>
    <t>Requisition for 84 posts sent to MPSC on 05-12-25</t>
  </si>
  <si>
    <t>persons who,
  Possess a degree of a statutory university</t>
  </si>
  <si>
    <t>EST-2019/C.R.124/M-1(Est.)</t>
  </si>
  <si>
    <t>15-03-2025</t>
  </si>
  <si>
    <t>• Education: Graduation + TYPING</t>
  </si>
  <si>
    <t>Requisition for 316 posts has been sent to MPSC on 29-08-2025</t>
  </si>
  <si>
    <t>Rural Development</t>
  </si>
  <si>
    <t>Rural Development Establishment</t>
  </si>
  <si>
    <t>Block Development Officer</t>
  </si>
  <si>
    <t>Assistant Block Development Officer</t>
  </si>
  <si>
    <t>School Education</t>
  </si>
  <si>
    <t>Administrative Division Establishment</t>
  </si>
  <si>
    <t>Education Officer &amp; equivalent</t>
  </si>
  <si>
    <t>(b) Posses a degree in any discipline</t>
  </si>
  <si>
    <t>(a) by promotion of a suitable person on the basis of strict merit with due regards to the seniority from amongst the persons holding the said post of Deputy Education Officer having not less than Three years of regular service in that post; or</t>
  </si>
  <si>
    <t>SEPRANI-4717/C.R.65/PRASHA-2</t>
  </si>
  <si>
    <t>28-12-2022</t>
  </si>
  <si>
    <t>80:20</t>
  </si>
  <si>
    <t>Empowerment Division Establishment</t>
  </si>
  <si>
    <t>Principal</t>
  </si>
  <si>
    <t>• Education: Master’s degree in Humanity, Social Science or Sciences (at least second class) and M.Ed. of statutory University, preferably with specialization in Elementary Education or Adult Educational or Non‐Formal Education or Education Planning and Administration.
  • Experience: Five years teaching experience in school or junior college or Teacher Training Institute or on Educational Administration gained after acquiring the required qualifications.
  • Skill (test): Adequate knowledge of Marathi to enable the candidate to read, write and speak the language with facility.
  .
  • Preference:
  • Candidates having Second Class Master’s degree in Humanity or Social Science or Sciences and M.Ed. with degree or Diploma in management or Higher Education or Educational planning or Rural Development or Child Development.
  • Candidates possessing at least one year’s experience of teaching in approved primary school or two years experience of supervision on primary schools.</t>
  </si>
  <si>
    <t xml:space="preserve">By nomination from among the candidates who fulfill the following criteria, -
(i) Candidates already in Government service and not more than 45 years of age;
(ii) Those who hold a Postgraduate Degree in Anthropology, Sociology or History from a statutory University with at least Second Class and M. Ed. degree with specialization in Primary Education, Adult Education, Non-formal Education or Educational Planning and Administration:
However, candidates who have passed the Postgraduate Degree in Humanities or Sociology or Science with Second Class and who do not have a degree or diploma in Management, Education or Educational Planning or Rural Development or Development or other subjects may be admitted; including M. Ed. passed
(iii) Candidates who have 5 years of experience in a school or junior college or teacher training institute or in educational institutions and have a good record of service while working in the field of education and who have shown interest in educational innovation activities and research and who have worked as a team leader;
</t>
  </si>
  <si>
    <t xml:space="preserve">(a)  by promotion of such suitable person on the basis of strict selection from among the persons holding the posts of Senior Lecturer DIET (MES) Group-A who have completed at least 7 years of service as Senior Lecturer in the District. S. P. S., having qualification and experience prescribed for recognition by nomination
OR
</t>
  </si>
  <si>
    <t>PTC 1075/474/27195/Mashi-4</t>
  </si>
  <si>
    <t>NA</t>
  </si>
  <si>
    <t>Superintendent (G.S.S.)</t>
  </si>
  <si>
    <t>• Education: Any Degree
  • Experience: Experience as supeintendent</t>
  </si>
  <si>
    <t>• Education: A candidate shall possess a degree in Law</t>
  </si>
  <si>
    <t>(a) by nomination
(ii) Possess a degree in Law;
(ill) Are holding or have held the post of Assistant (Legal) for a period of not less than 5 years; or
(iii) Possess a degree in Law and having experience as an Advocate in the High Court or Courts subordinate thereto for a period of not less than 5 years; or
(iii) Are working in any of the offices of the Government and having experience of operating legal matters for a period of not less than 5 years, with degree in Law</t>
  </si>
  <si>
    <t>(b) by deputation of a person in the service of the Government or any local authority and who possess the qualifications mentioned in nomination</t>
  </si>
  <si>
    <t>LAO-4104/(191/2004)/Adm-5</t>
  </si>
  <si>
    <t>21-04-2007</t>
  </si>
  <si>
    <t>Deputy Education Officer &amp; equivalent</t>
  </si>
  <si>
    <t>C) by nomination from amongst the candidates recommended by the Commission on the basis of result of Competitive Examination conducted therefor, who fulfils the following criteria, namely:-
(i) Age limit-
(ii) Minimum Educational Qualification. Possesses a degree in any discipline from statutory university or any other educational qualification declared by e Government to be equivalent thereto.</t>
  </si>
  <si>
    <t>(B) by selection of a suitable person on the basis of merit list prepared from result of Limited Departmental Competitive Examination conducted by the Commission, from amongst the persons holding the post of,
(1) Superintendent, General State Service (Group B),
(ii) Maharashtra Education Service, Group C, and
(iii) District Technical Service (Class III) (Educational) Grade II,
and having not less than three years of regular service in that posts on the 1st of January of the year of advertisement.
OR
(A) (1) by promotion of a suitable person on the basis of seniority, subject to the fitness from amongst the persons holding the post of Maharashtra Education Service, Group-C having not less than three years of regular service in that post;
and
(2) by promotion of a suitable person who has opted promotion choice in Maharashtra Education service, on the basis of seniority, amongst the persons holding the post of District Technical Service, (Class III) (Educational) Grade II having not less than three years of regular service in that post;
and
(3) by promotion of a suitable person on the basis of seniority, subject to the fitness from amongst the persons holding the post of Superintendent, General State Service, Group-B (Administrative Branch) having not less than three years of regular service in that post;</t>
  </si>
  <si>
    <t>SePraNi-4717/C.R./PraSha-2</t>
  </si>
  <si>
    <t>Promotion:Limited Departmental Exam:Nomination - 30:20:50</t>
  </si>
  <si>
    <t>(New Service) Maharashtra School Education Services</t>
  </si>
  <si>
    <t>• Education: Master’s degree in Humanity or Social Science or Sciences (at least second class) AND Masters Degree in Education (M.Ed.) from a statutory University, preferably with specialization in Adult Education, Elementary Education, Education, non-Formal Education, or Educational Planning and Administration.
  • Preference: Candidates having Second Class Master’s degree in Humanity or Social Science or Sciences plus M.Ed. with Degree or Diploma in Management or Higher Education or Educational planning or Rural Development or Child Development may be given preference.</t>
  </si>
  <si>
    <t>(a) By nomination from among the candidates fulfilling the following conditions-
(i) Except for candidates already in Government service, whose age is not more than 35 years,
(ii) However, candidates who are pursuing a Master's degree in Humanities, Sociology or Sciences from a statutory university with at least Second Class and M. Ed. with specialization in Adult Education or Non-formal Education or Educational Planning and Administration:
However, those candidates who have passed the Post Graduate Diploma in Science with Second Class Honours or equivalent, or have passed the M. Ed. with a degree or post in the subject of Higher Education or Educational Planning and Child Development or Child Development may be given preference.</t>
  </si>
  <si>
    <t>(b) By transferring a person from a similar post in Schedule III, Group-B (Administration Branch), Maharashtra Education Department, having the qualifications and experience prescribed in  nomination
or
(c) From among officers working under the Government (Administrative Department), who are below 40 years of age and who possess the required academic qualifications and teaching experience—such as teachers in primary, secondary schools, junior colleges, senior colleges, educational institutions, or equivalent institutions—selection shall be made for nomination
Such appointments shall be made in accordance with clause (a) of these rules, based on prescribed qualifications and experience, and subject to administrative requirements.</t>
  </si>
  <si>
    <t>Senior Lecturer</t>
  </si>
  <si>
    <t>• Education: Master’s degree in Humanity or Social Science or Sciences (at least second class) and Master’s Degree in Education from a statutory University, preferably with specialization in Adult Education, Elementary Education, non‐Formal Education, or Educational Planning and Administration.
  • Experience: Three years experience of teaching in recognized school or Junior College or Teacher Training Institute or in Educational Administration gained after acquiring the required qualifications, and possessing a good record of service and interest in Educational or action research.
  • Preference:
  • Second Class Master’s degree in Humanity or Social Science or Sciences and M.Ed. with Degree or Diploma in Management or Higher Education or Educational planning or Rural Development or Child Development.
  • At least one year’s experience of teaching in approved primary school or two years experience of supervision on primary schools.</t>
  </si>
  <si>
    <t>(b) By nomination from among the candidates fulfilling the following conditions
(i) Except for candidates already in Government service, whose age is not more than 40 years,
(ii) Candidates who hold a Postgraduate Degree in Humanities, Social Sciences or Science from a statutory University with at least Second Class Honours and M. Ed. with specialization in Adult Education or Primary Education or Non-formal Education or Educational Planning and Administration:
However, candidates who have passed a Postgraduate Degree in Humanities or Sociology or Science with Second Class and those who have passed M. Ed. with a degree or diploma in Organizational Structure or Higher Education Economics or Educational Planning or Rural Development or Child Development may be given priority.
(iii) And those who have 3 years of experience in school or junior college or teacher training institute in village or educational administration and who have a good record of service while working in the above position and who are interested in educational innovation or work research.
(iv) Officers under the Maharashtra Education Service (Administrative Branch) who are not more than 40 years of age, and who have experience in teaching in secondary schools, junior colleges, senior colleges, teacher training institutes, or educational institutions, including experience in educational administration or academic supervision, shall be eligible for nomination.</t>
  </si>
  <si>
    <t>(a) By giving promotion to a suitable person on the basis of seniority subject to merit from among the persons holding the post of Lecturer in the cadre of Maharashtra Education Service Group-B (Teacher Training Branch) who have been regularized as Lecturer in the District Education Service for at least 5 years as Lecturer in the District Education Service.</t>
  </si>
  <si>
    <t>Amravati School Education Establishment</t>
  </si>
  <si>
    <t>Librarian (GE/MSCERT/SIET/DIET)</t>
  </si>
  <si>
    <t>Graduation from a recognized University, Librarian Degree/ Diploma is required.</t>
  </si>
  <si>
    <t>1) possess at least a degree of a recognised University, and
 ii) a diploma in librarianship.</t>
  </si>
  <si>
    <t>Statistical Assistant (PE/GE/AE/ MSCERT/SIET/MSCE)</t>
  </si>
  <si>
    <t>Masters degree in Statistics / Economics / Mathematics/ commerce.</t>
  </si>
  <si>
    <t>(B) by nomination from amongst the candidates who
(i) age limit
(ii) (a) possess a Master's degree in Mathematics, Economics, Commerce, Statistics or Econometrics; or.
(b) have passed at least in second class or have sedured at least 45 per cent marks in Bachelor's degree examination with Mathematics, Economics, Commerce, Statistics or Econometrics as one of the subjects:
Provided that, preference may be given to candidates who possess practical experience of actual field work connected with Socio Economic Surveys gained</t>
  </si>
  <si>
    <t>(A) by promotion of a stable person on the 'basis of seniority subject to fitnuss from amongst the persons holding the posts of Clork-cum-Typist, Punch-Operator, Investigator, and Field Assistant having a minimum three yeurs regular service in these posts in the Directorate; or</t>
  </si>
  <si>
    <t>SJW 1081/364/ADM-5</t>
  </si>
  <si>
    <t>Chief Clerk, S.Sc./Prof. / Prof. Shi./ M.Ra.Shai.No.P.P. Head Clerk GE/PE/AE /SIET</t>
  </si>
  <si>
    <t>A recognized graduate degree</t>
  </si>
  <si>
    <t>Educational Qualification: Any Degree
 Experience/ Additional Skill Qualification/ Preferential Qualification: Not Required</t>
  </si>
  <si>
    <t>Appointment shall be made by nomination and promotion in following manner
i) 25% of the vacancies shall be filled by DR
ii) 2 years of Clerical Experience</t>
  </si>
  <si>
    <t>DES 2366-D-99598</t>
  </si>
  <si>
    <t>Technician (PE/GE/AE/ MSCERT/SIET/MSCE)</t>
  </si>
  <si>
    <t>Diploma/Certificate in Mechanical or Electrical Engineering from a recognized institution Two years experience as mechanic in workshop</t>
  </si>
  <si>
    <t>1) a Diploma or Certificate in Mechanical or Electrical Engineering of a recognised Institution; and
Provided that preference will be give to those who possess practical experience of not of not less than two years as a mechanic. in s workshop.</t>
  </si>
  <si>
    <t>RTR 1058-M</t>
  </si>
  <si>
    <t>22-06-1962</t>
  </si>
  <si>
    <t>Workshop Assistance (PE/GE/AE/ MSCERT/SIET/MSCE)</t>
  </si>
  <si>
    <t>Graduate in Mechanical Engineering</t>
  </si>
  <si>
    <t>1) a Diploma or Certificate in Mechanical or Electrical Engineering of a recognised Institution; and
 2) Training and experience in a workshop for at least two years.</t>
  </si>
  <si>
    <t>BES 2358-D</t>
  </si>
  <si>
    <t>Stenographer (Lower Grade), Sashi/Adult Education/M.R.Shai.Tech.No./ Marashai Samprap/Dist. Shi. Q. no. / Stenographer (Lower Grade), GE/AE/ MSIET/ MSCERT/ D.I.E.T.</t>
  </si>
  <si>
    <t>• Education: SSC Exam passed, Must have passed Commerce Certificate Examination
  • Skill (test): English and Marathi dictation 100/120 S.P.M., Marathi Typing 30 S.P.M. and English 40 S.P.M.</t>
  </si>
  <si>
    <t xml:space="preserve">Appointment to the post shall be made by nomination
i) age
ii) possess at least a speed of 100 words per minutes in the shorthand and 40 words per minute in typing.
</t>
  </si>
  <si>
    <t>Assistant Deputy Education Inspector (GE/AE)</t>
  </si>
  <si>
    <t>• Education: Post Graduate Degree in Arts or Science or Commerce, Degree in Teaching
  • Experience: Three years teaching</t>
  </si>
  <si>
    <t>Administration Officer (Municipal Board of Education), General Education / Admn. Officer (Municipal School Board), GE</t>
  </si>
  <si>
    <t>• Education: Bachelor's degree in arts or science with relevant school subject; Bachelor's degree in teaching with school subject or equivalent
  • Experience: Teaching experience of not less than one year</t>
  </si>
  <si>
    <t>Science Supervisor (GE/MSCERT)</t>
  </si>
  <si>
    <t>(1) Bachelor's degree in arts or science with relevant school subject, (2) Bachelor's degree in teaching with school subject or equivalent Teaching experience of not less than one year</t>
  </si>
  <si>
    <t>1) holds a degree in Arts or Science with a relevant school subject; and
 2) Those who hold a degree in teaching with a school subject or equivalent. 
 However, preference may be given to candidates who hold a degree in teaching with a school subject and/or have teaching experience of not less than one year;"</t>
  </si>
  <si>
    <t>SHISAMPRO. 2992/(269/92)/PraSha-5</t>
  </si>
  <si>
    <t>27-05-2005</t>
  </si>
  <si>
    <t>100% DR</t>
  </si>
  <si>
    <t>Assistant Project Officer (AE) (Planning)</t>
  </si>
  <si>
    <t>Supervisors/ Assistant Project Officers (NG Technical)</t>
  </si>
  <si>
    <t>Education: Bachelor's Degree in any stream and Bachelor's Degree in Teaching
  Experience / Additional Skills / Preferential Qualification: Not Required</t>
  </si>
  <si>
    <t>(ii) holds a degree in Arts or Science with a relevant school subject;
 And
 (iii) Those who hold a degree in teaching with a school subject or equivalent.
 However, preference may be given to candidates who hold a degree in teaching with a school subject and/or have teaching experience of not less than one year</t>
  </si>
  <si>
    <t>SHISANPRO. 2992/(269/92)/PraSha-5</t>
  </si>
  <si>
    <t>Counselor (General Education / Adult Education)</t>
  </si>
  <si>
    <t>(ii) holds a degree in Arts or Science with a relevant school subject; And
(iii) Those who hold a degree in teaching with a school subject or equivalent.
 However, preference may be given to candidates who hold a degree in teaching with a school subject and/or have teaching experience of not less than one year"</t>
  </si>
  <si>
    <t>Assistant Teacher, Government Teachers College / S. T. College, Mumbai / Government Vidyaniketane / Asst. Teacher, Govt. D.Ed. College/S.T. College, Mumbai/ Govt. Vidya Niketan</t>
  </si>
  <si>
    <t>(1) Bachelor's degree in arts or science with relevant school subject, (2) Bachelor's degree in teaching with school subject or equivalent Teaching experience of not less than one year 0</t>
  </si>
  <si>
    <t>Laboratory Assistant, General Education</t>
  </si>
  <si>
    <t>• Education: Passed the Secondary School Certificate Examination with Science subjects.</t>
  </si>
  <si>
    <t>have passed the secondary school certificate examination or its equivalent examination with the subject physics chemistry and biology. 
 provided that prference may be given to the candidate possessing the certificate from industrial trainnig institute in SMITHY or carpentary awarded by the board of technical education, maharashtra state.</t>
  </si>
  <si>
    <t>SSN-3479/100783(297/79)XXVII</t>
  </si>
  <si>
    <t>28.05.1980</t>
  </si>
  <si>
    <t>Junior Clerk (PE/GE/AE/ MSCERT/SIET/MSCE)</t>
  </si>
  <si>
    <t>A recognized graduate degree 0 30 PM English Typing 40 S.P.M Marathi Typing, MSCIT</t>
  </si>
  <si>
    <t>No. 25
 i) at least Secondary School Certificate or its equivalent, and
 ii) knowledge of typing</t>
  </si>
  <si>
    <t>DES 2366-D-99596</t>
  </si>
  <si>
    <t>Metron (G.E.) / Metron (G.E.)</t>
  </si>
  <si>
    <t>Senior Clerk (PE/GE/AE/ MSCERT/SIET/MSCE)</t>
  </si>
  <si>
    <t>No. 24
 2 years of Clerical Experience</t>
  </si>
  <si>
    <t>Ch Sambhajinagar School Education Establishment</t>
  </si>
  <si>
    <t>Grathampal, (V.M.S.) / Librarian, (I.V.G.)</t>
  </si>
  <si>
    <t>• Education: Recognized Graduate Degree / Diploma in Librarianship
  • Experience: Teaching experience of not less than one year</t>
  </si>
  <si>
    <t>Chief Clerk</t>
  </si>
  <si>
    <t>A recognized graduate degree 2 Years clerical experience</t>
  </si>
  <si>
    <t>SSC Exam passed, English and Marathi dictation 100 S.P.M. Government Commercial Certificate of, Marathi Typing 30 S.P.M. and English 40 S.P.M. Must have passed Commerce Certificate Examination</t>
  </si>
  <si>
    <t>Stenographer (Higher Grade) (General Education / Maharashtra State Council of Educational Research and Training / Adult Education) / Stenographer(Higher Grade)(G.E./MSCERT/A.E.)</t>
  </si>
  <si>
    <t>SSC Exam passed, English and Marathi dictation 120 S.P.M. Government Commercial Certificate of Marathi Typing 30 S.P.M. and English 40 S.P.M. Must have passed Commerce Certificate Examination</t>
  </si>
  <si>
    <t>• Education: Degree in Arts or Science with relevant school subject, Degree in Teaching with school subject
  • Experience: Teaching experience of not less than one year</t>
  </si>
  <si>
    <t>• Education: Degree in Arts or Science with relevant school subject, Degree in Teaching with school subject
  • Experience: Three years teaching experience</t>
  </si>
  <si>
    <t>• Education: Degree in Arts or Science with relevant school subject, Degree in Teaching with school subject
  Experience: not less than one year</t>
  </si>
  <si>
    <t>The candidate should have passed the Secondary School Certificate Examination with Science subjects.</t>
  </si>
  <si>
    <t>Instructor (Sculpture Modeling) (Balbhavan) / Instructor (Sculpture Modeling) (Balbhavan)</t>
  </si>
  <si>
    <t>• Education: Recognized Graduate Degree / Diploma from J.J School of Art.
  • Experience: Five years teaching experience</t>
  </si>
  <si>
    <t>Assistant Librarian (MSCERT)</t>
  </si>
  <si>
    <t>StenoTypist (PE/GE/MSCERT)</t>
  </si>
  <si>
    <t>• Education: Secondary School Certificate Examination
  • Experience: Teaching experience of not less than one year
  • Skill (test): Shorthand speed of 80 Sh., Typing speed of 40 s.p.m. (etc.), 30 S.P.M Marathi Typing</t>
  </si>
  <si>
    <t>Appointment to the post shall be made by nomination
i) age
ii) possess at least a speed of 100 words per minutes in the shorthand and 40 words per minute in typing.</t>
  </si>
  <si>
    <t>Commissionerate of Education Pune Establishment</t>
  </si>
  <si>
    <t>Librarian (MSCERT)</t>
  </si>
  <si>
    <t>Graduation from a recognized University, Librarian Degree/ Diploma is required. Experience preferred</t>
  </si>
  <si>
    <t>Chief Clerk GE/PE/AE /SIET</t>
  </si>
  <si>
    <t>Stenographer (Lower Grade), GE/AE/ MSIET/ MSCERT/ D.I.E.T.</t>
  </si>
  <si>
    <t>SSC Exam passed, English and Marathi dictation 100 S.P.M. Government Commercial Certificate of, Marathi Typing 30 S.P.M. and English 40 S.P.M. Must have passed Commerce Certificate Examination 0 0</t>
  </si>
  <si>
    <t>A recognized graduate degree 30 WPM English Typing 40 W.P.M Marathi Typing, MSCIT</t>
  </si>
  <si>
    <t>It is suggested to consider Skill Certificate for typing by government authorised institutions ONLY as a pre-qualification for this cadre. 
 No additional skill test needs to be conducted as a part of selection process.</t>
  </si>
  <si>
    <t>Graduation from a recognized University, Librarian Diploma is required.</t>
  </si>
  <si>
    <t>Secondary School Certificate Examination 80 Sh. Such a speed of shorthand and 40 s.p.m. etc. Typing 30 S.P.M Marathi Typing Teaching experience of not less than one year 0</t>
  </si>
  <si>
    <t>Kolhapur School Education Establishment</t>
  </si>
  <si>
    <t>Librarian (S.S.S./M.R.S.S.S.P.P./ R.S.S.T.S.S./ D.S.S.P.S.S.)</t>
  </si>
  <si>
    <t>• Education: Graduation from a recognized University, Librarian Degree/ Diploma is required.
  • Experience: Preferred.</t>
  </si>
  <si>
    <t>• Education: Degree with 45% marks in Statistics Economics Mathematics from a recognized University
  • Experience: 0
  • Skill (test): 0</t>
  </si>
  <si>
    <t>Accountant, (D.S.P.S)/ Chief Clerk</t>
  </si>
  <si>
    <t>• Education: A recognized graduate degree
  • Experience: Two years experience in clerical post</t>
  </si>
  <si>
    <t>Junior Auditor (S.S.)</t>
  </si>
  <si>
    <t>• Education: SSC Examination passed</t>
  </si>
  <si>
    <t>Chief Clerk, Mr.</t>
  </si>
  <si>
    <t>• Education: SSC Examination passed
  • Experience: Two experience in clerical post</t>
  </si>
  <si>
    <t>Technician, S.Sc.</t>
  </si>
  <si>
    <t>• Education: SSC Passed Examination, Certificate in Electricity from Government recognized Industrial Training Institution (ITI electrician certificate)
  • Experience: experience preferred
  • Preference: ITI electrician certificate</t>
  </si>
  <si>
    <t>(ii) posses a diploma or certificate in mechanical or electrical engineering from a recognized institution. Provided that the age-limit may be relaxed in the case of a candidate possessing good qualifications and/or experience.</t>
  </si>
  <si>
    <t>Workshop Assistant, (D.S.P.S.)</t>
  </si>
  <si>
    <t>Stenographer (Lower Grade), Sashi/Adult Education/M.R.Shai.Tech.No./ Marashai Samprap/Dist. Shi. Q. no.</t>
  </si>
  <si>
    <t>• Education: SSC Exam passed, Commerce Certificate Examination passed
  • Skill (test): English and Marathi dictation 100 S.P.M., Marathi Typing 30 S.P.M., English 40 S.P.M.</t>
  </si>
  <si>
    <t>Stenographer (Higher Grade) (General Education / Maharashtra State Council of Educational Research and Training / Adult Education)</t>
  </si>
  <si>
    <t>Education: SSC Exam passed, Must have passed Commerce Certificate Examination,
 Skill Test: English and Marathi dictation 120 S.P.M. Government Commercial Certificate of Marathi Typing 40 S.P.M. and English 50 S.P.M.</t>
  </si>
  <si>
    <t>Assistant Project Officer (Prof. Shi.)</t>
  </si>
  <si>
    <t>Program Assistant (Prof. Shi.)</t>
  </si>
  <si>
    <t>• Education: Degree in Arts or Science with relevant school subject, Degree in Teaching
  or experience One year teaching experience</t>
  </si>
  <si>
    <t>(ii) Those who are holding a degree in Arts or Science with a relevant school subject;
 And
 (iii) Those who hold a degree in teaching with a school subject or equivalent.
 However, preference may be given to candidates who have a degree in teaching with a school subject and/or have teaching experience of not less than one year;
 It is further provided that those holding a diploma in the subject of vocational guidance
 Candidates may be given preference for appointment to the post of 'Advisor':
 It is further provided that in the case of candidates possessing exceptional academic qualifications or teaching experience or both, if the selection authority recommends</t>
  </si>
  <si>
    <t>Assistant Deputy Inspector of Education (General Education / Adult Education)</t>
  </si>
  <si>
    <t>• Education: Degree in Arts or Science with relevant school subject, Degree in Teaching
  • Experience: One year teaching experience</t>
  </si>
  <si>
    <t>Administrative Officer (Municipal Board of Education), General Education</t>
  </si>
  <si>
    <t>• Education: Degree in Arts or Science with relevant school subject, and Degree in Teaching
  • Experience: One year teaching experience</t>
  </si>
  <si>
    <t>District Science Supervisor (S.Sc.)</t>
  </si>
  <si>
    <t>Junior Clerk (Professor/Professor/Professor/M.R.S.S.P.P.P./ R.S.S.Tech.S.No./M.R.S.P.P.)</t>
  </si>
  <si>
    <t>• Education: Passed Degree Examination of recognized University, Must have passed Commerce Certificate Examination
  • Skill (test): Marathi Typing 30 S.P.M. and English Typing 40 S.P.M.</t>
  </si>
  <si>
    <t>Cable-Nail Operator (S.S.I.)</t>
  </si>
  <si>
    <t>• Education: Must have passed Degree Examination of a recognized University, Diploma in Electrician or ITI Electrician Certificate</t>
  </si>
  <si>
    <t>Taluka Commissioner, General Education</t>
  </si>
  <si>
    <t>• Education: No
  • Experience: Retired Army Constable
  • Skill (test): 0
  • Physical Qualification (test): 0</t>
  </si>
  <si>
    <t>• Education: SSC Examination passed
  • Experience: Two years in clerical post</t>
  </si>
  <si>
    <t>Craft Teacher (S.Sc.)- Karyanubhav Shikshak</t>
  </si>
  <si>
    <t>• Education: Passed Degree Examination of a recognized University and professional qualification of B.Ed., Art Diploma /Shilp Art Diploma</t>
  </si>
  <si>
    <t>Supervisor (Prof.</t>
  </si>
  <si>
    <t>• Education: Possess a degree in Arts or Science with relevant school subject.
  • Preference: Candidates possessing a degree of Bachelor of Education with relevant school subject and teaching experience not less than one year or both.</t>
  </si>
  <si>
    <t>Latur School Education Establishment</t>
  </si>
  <si>
    <t>Statistical Assistant (MSCERT/A.E./GE/ DIET)</t>
  </si>
  <si>
    <t>• Education: A graduate degree from a recognised university in one of the following combinations: B.Sc. with Mathematics &amp; Statistics, B.Com. with Statistics, B.A. in Economics and Statistics.
  • Experience: Experience in statistical work is desirable.</t>
  </si>
  <si>
    <t>1) Master's degree in Mathematics, economics, commerce, statistics or econometrics, OR;
 passed atleast in 2nd class or have secured atleast 45% marks in bachelor's degree examination with Mathematics, economics, commerce, statistics or econometrics as one of the subjects.
 3) Preference to practical experience of actual field work connected with socio-economic surveys gained after acquiring the required qualifications.</t>
  </si>
  <si>
    <t>craft teacher craft teacher</t>
  </si>
  <si>
    <t>• Education: C.T.C.</t>
  </si>
  <si>
    <t>• Education: Recognized Vidyapitha Degree, Diploma of Librarianship.
  • Skill: Recognized Vidyapitha Degree, Diploma of Librarianship.</t>
  </si>
  <si>
    <t>Technitian, G.E./D.I.E.T.</t>
  </si>
  <si>
    <t>• Education: Diploma/Certificate in Mechanical and Electrical Engineering from a recognized institution
  • Experience: Two years as mechanic in workshop</t>
  </si>
  <si>
    <t>1) possess a diploma or certificate in Mechanical or Electrical Engineering of a recognised institution.
 Provided that preference will be give to those who possess practical experience of not less than two years as a mechanic in a workshop.</t>
  </si>
  <si>
    <t>Workshop Assistant, (D.I.E.T.)</t>
  </si>
  <si>
    <t>• Education: Secondary School Certificate Examination
  • Skill (test): 100 Sh. Such a speed of shorthand, 40 s.p.m. Ir. Typing, 33 S.P.M Marathi Typing</t>
  </si>
  <si>
    <t>Stenographer(Higher Grade)(G.E.)</t>
  </si>
  <si>
    <t>• Education: Secondary School Certificate Examination
  • Skill (test): 120 Sh. speed of shorthand, 40 s.p.m. Ir. Typing, 33 S.P.M Marathi Typing</t>
  </si>
  <si>
    <t>Assistant Project Officer (AE)</t>
  </si>
  <si>
    <t>It is suggested to consider the removal of experience requirement as it is a group C cadre.</t>
  </si>
  <si>
    <t>• Education: Degree in any discipline from a Statutory University</t>
  </si>
  <si>
    <t>Laboratory Assistant (GE/MSCERT)</t>
  </si>
  <si>
    <t>• Education: Secondary School Certificate Examination
  • Experience: Some practical experience in the laboratory</t>
  </si>
  <si>
    <t>Mumbai School Education Establishment</t>
  </si>
  <si>
    <t>• Education: A recognized graduate degree</t>
  </si>
  <si>
    <t>• Education: Secondary School Certificate Examination
  Experience: not less than one year teaching experience
  • Skill (test): 100 Sh. speed of shorthand, 40 s.p.m. English Typing, 33 S.P.M Marathi Typing, 100 sq. sq.m. speed of shorthand, 40 s.p.m. English Typing, 30 S.P.M Marathi Typing</t>
  </si>
  <si>
    <t>• Education: Secondary School Certificate Examination; A government commercial certificate
  • Skill (test): English shorthand writing speed of 120 words per minute; English typing speed of 40 words per minute; Marathi Typing 33 S.P.M</t>
  </si>
  <si>
    <t>• Education: Degree in Science with relevant school subject, Degree in Teaching with School subject
  • Experience: Teaching experience of not less than one year</t>
  </si>
  <si>
    <t>• Education: A recognized graduate degree, MSCIT
  (The value 0 appears to be an unrelated time component or a placeholder, not a measurable 'years' of experience.)
  • Skill (test): English Typing 40 S.P.M, Marathi Typing</t>
  </si>
  <si>
    <t>Director (Sculpture Modeling) (Balbhavan) / Instructor (Sculpture Modeling) (Balbhavan)</t>
  </si>
  <si>
    <t>• Education: Recognized Graduate Degree / Diploma from J.J School of Art
  • Experience: Five years teaching experience</t>
  </si>
  <si>
    <t>• Education: Secondary School Certificate Examination
  • Experience: Teaching experience of not less than one year
  • Skill (test): 80 Sh. Such a speed of shorthand and 40 s.p.m. etc. Typing 30 S.P.M Marathi Typing</t>
  </si>
  <si>
    <t>Nagpur School Education Establishment</t>
  </si>
  <si>
    <t>Workshop Assistant (D.S.P.No.)</t>
  </si>
  <si>
    <t>• Education: Must pass Graduation in Mechanical Department.</t>
  </si>
  <si>
    <t>• Education: Graduation from a recognized University, Librarian Degree/ Diploma is required.</t>
  </si>
  <si>
    <t>Statistical Assistant (D.S.P.No.)</t>
  </si>
  <si>
    <t>• Education: (Statistics/Mathematics) Degree from a recognized University
  • Experience: 0
  • Skill (test): 0</t>
  </si>
  <si>
    <t>Technician (D.S.P.No.)</t>
  </si>
  <si>
    <t>• Education: Passed ITI Electrical
  • Skill (test): Passed ITI Electrical</t>
  </si>
  <si>
    <t>• Education: SSC Exam passed, Must have passed Commerce Certificate Examination
  • Skill (test): English and Marathi dictation 100 S.P.M., Marathi Typing 30 S.P.M. and English 40 S.P.M., Government Commercial Certificate</t>
  </si>
  <si>
    <t>• Education: Bachelor's degree in science with relevant school subject or Bachelor's degree in teaching with school subject or equivalent.
  • Experience: Teaching experience of not less than one year.</t>
  </si>
  <si>
    <t>Assistant Project Officer (AE) (Plan)</t>
  </si>
  <si>
    <t>• Education: Bachelor's degree in arts or science with relevant school subject or Bachelor's degree in teaching with school subject or equivalent.
  Experience: not less than one year of Teaching experience.</t>
  </si>
  <si>
    <t>Subject Expert (S.Sc.)</t>
  </si>
  <si>
    <t>• Education: Degree in Science/Arts with relevant school subject, Degree in Teaching with school subject
  • Experience: Equivalent Teaching experience of not less than one year</t>
  </si>
  <si>
    <t>(ii) holds a degree in Arts or Science discipline; and
 (iii) Those who hold a degree in teaching with a school subject or equivalent.
 However, candidates who hold a degree in teaching with a school subject and/or have teaching experience of not less than one year, will be given preference</t>
  </si>
  <si>
    <t>• Education: Post Graduate Degree in Arts or Science or Commerce, Degree in Teaching
  • Experience: Three years teaching experience</t>
  </si>
  <si>
    <t>Subject Assitant</t>
  </si>
  <si>
    <t>Degree in Arts or Science with relevant school subject, Degree in Teaching with school subject Teaching experience of not less than one year 0</t>
  </si>
  <si>
    <t>It is suggested to revise educational qualification to bachelor's degree in any stream and bachelor's degree in teaching
 It is suggested to consider the removal of experience requirement as it is a group C cadre.</t>
  </si>
  <si>
    <t>• Education: Bachelor's degree in arts or science with relevant school subject, or Bachelor's degree in teaching with school subject.
  • Experience: Teaching experience of not less than one year.</t>
  </si>
  <si>
    <t>Junior Clerk/ Clerk-cum-Typist</t>
  </si>
  <si>
    <t>• Education: University degree in any discipline or any other qualification declared as equivalent by the Govt.
  • Skill (test): Marathi Typing 30 S.P.M. and English 40 S.P.M. Must have passed Govt Commerce Certificate Examination.</t>
  </si>
  <si>
    <t>Tabalji</t>
  </si>
  <si>
    <t>H.SC</t>
  </si>
  <si>
    <t>It is suggested to consider revising educational qualification to Bachelor's Degree in Science in order to bring parity in similar cadres from other departments.</t>
  </si>
  <si>
    <t>Taluka samadeshak</t>
  </si>
  <si>
    <t>Retired Army Constable 0 0</t>
  </si>
  <si>
    <t>• Education: Passed Degree Examination of recognized University, Must have passed Govt Commerce Certificate Examination.
  • Experience: Minimum two years in Government/SemiGovernment office as Junior Clerk/ClerkcumTypist is required.
  • Skill (test): Marathi Typing 30 S.P.M. and English 40 S.P.M.</t>
  </si>
  <si>
    <t>Nashik School Education Establishment</t>
  </si>
  <si>
    <t>• Education: Degree from a recognized university
  • Experience: 02 years in the post of Senior Clerk
  • Skill (test): Pass in Marathi 30 and English 40 computer typing tes</t>
  </si>
  <si>
    <t>• Education: Passed Science Degree from a recognized University and Passed Bachelor's Degree in Education (B.Eng).
  • Experience: Minimum 01 year.</t>
  </si>
  <si>
    <t>• Education: Passed Science Degree from a recognized University and Passed Bachelor's Degree in Education (B.Eng).
  • Experience: Minimum 01 year preferred
  • Preference: Minimum 01 year experience preferred</t>
  </si>
  <si>
    <t>• Education: Passed Degree in Arts / Science from a recognized University and Passed Degree in Education (B.Eng).
  • Experience: Minimum 01 year preferred</t>
  </si>
  <si>
    <t>• Education: Passed Degree in Arts / Science from a recognized University and Passed Degree in Education (B.Eng)
  • Experience: Minimum 01 year experience preferred</t>
  </si>
  <si>
    <t>• Education: Passed Science Degree from a recognized University and Passed Bachelor's Degree in Education (B.Eng).
  • Experience: Minimum 01 year experience preferred.</t>
  </si>
  <si>
    <t>• Education: Degree from a recognized university
  • Skill (test): Marathi 30 and English 40 computer typing test</t>
  </si>
  <si>
    <t>• Education: 10th passed
  • Experience: Experience preferred</t>
  </si>
  <si>
    <t>The recruitment rules prescribed for appointment to similar posts in the Medical Department shall apply to these posts without insistence on any specific educational or technical qualifications. 
 2. Candidates appointed te the posts shall be required to pass an examination in Hindi according to the prescribed rules.</t>
  </si>
  <si>
    <t>S-66/226-B</t>
  </si>
  <si>
    <t>16-06-1959</t>
  </si>
  <si>
    <t>• Education: Degree from a recognized university
  • Experience: 01 year in the post of Junior Clerk
  • Skill (test): Pass in Marathi 30 and English 40 computer typing tes</t>
  </si>
  <si>
    <t>• Education: Degree from a recognized University and Degree/Graduate in Librarianship
  • Experience: Minimum 01 year preferred</t>
  </si>
  <si>
    <t>Pune School Education Establishment</t>
  </si>
  <si>
    <t>• Education: Graduation from a recognized University, Librarian Degree/ Diploma is required.
  • Experience: Preferred 0</t>
  </si>
  <si>
    <t>chief clerk</t>
  </si>
  <si>
    <t>• Education: Post Graduate Degree in Arts or Science or Commerce, Degree in Teaching
  • Experience: 0</t>
  </si>
  <si>
    <t>Stenographer (Lower Grade) (General Education / Maharashtra State Council of Educational Research and Training / Adult Education) / Stenographer(Higher Grade)(G.E./MSCERT/A.E.)</t>
  </si>
  <si>
    <t>• Education: SSC Exam passed; Must have passed Commerce Certificate Examination
  • Skill (test): English and Marathi dictation 100 S.P.M.; Marathi Typing 40 S.P.M. (Government Commercial Certificate); English 50 S.P.M. (Government Commercial Certificate)</t>
  </si>
  <si>
    <t>• Education: (1) Post Graduate Degree in Arts or Science or Commerce, (2) Degree in Teaching
  • Experience: One year teaching experience</t>
  </si>
  <si>
    <t>• Education: Post Graduate Degree in Arts or Science or Commerce, Degree in Teaching
  • Experience: One year teaching</t>
  </si>
  <si>
    <t>• Education: Post Graduate Degree in Arts or Science or Commerce, Degree in Teaching
  • Experience: One year teaching experience</t>
  </si>
  <si>
    <t>• Education: SSC Passed Examination, Must have passed Commerce Certificate Examination
  • Experience: 0
  • Skill (test): Marathi Typing 30 S.P.M. and English 40 S.P.M.
  • Preference: Experience preferred</t>
  </si>
  <si>
    <t>• Education: Post Graduate Degree in Arts or Science or Commerce, Degree in Teaching</t>
  </si>
  <si>
    <t>Skill, Employment, Entrepreneurship and Innovation</t>
  </si>
  <si>
    <t>Skill Commissionerate Establishment</t>
  </si>
  <si>
    <t>• Education: Possess a degree
  • Skill (test): Must pass in Hindi &amp; Marathi; Must possess a certificate in computer operation prescribed by the Directorate of Information &amp; Technology</t>
  </si>
  <si>
    <t>Advt. published by MPSC on 08-05-2024 and 08-01-2026</t>
  </si>
  <si>
    <t>Skill Development, Employment &amp; Entrepreneurship Guidance Officer</t>
  </si>
  <si>
    <t>• Education: Possess a degree
  • Skill (test): Shall pass in Hindi &amp; Marathi; Shall possess a certificate in computer operation prescribed by the Directorate of Information &amp; Technology</t>
  </si>
  <si>
    <t>Junior Skill Development, Employment &amp; Entrepreneurship Guidance Officer</t>
  </si>
  <si>
    <t>• Education: Possess a degree
  • Skill (test): Must pass in Hindi &amp; Marathi and possess a certificate in computer operation prescribed by the Directorate of Information &amp; Technology</t>
  </si>
  <si>
    <t>Minimum Educational Qualification.-
 (A) passing of Secondary School Certificate Examination; and
 (B) passing of the National Apprenticeship Certificate Examination in engineering
 trade or passing of the National Trade Certificate Examination for those engineering trades where the National Apprenticeship Certificate Examination is not held (iii) Experience. An experience of work of Store handling or Store management of
 (A) not less than two years after possessing a Diploma,
 (B) not less than three years after passing the National Apprenticeship Certificate Examination,
 Examination, (C) Not less than four years after passing the National Trade Certificate
 in the Government or Semi-Government or private establishments or any Corporation or any other institute.</t>
  </si>
  <si>
    <t>VEA/2021/CR.104/VE-4</t>
  </si>
  <si>
    <t>Clerk Typist - 1</t>
  </si>
  <si>
    <t>• Education: Possess a degree.
  • Skill (test): Certificate in Typing at 30 w.p.m. (prescribed by GCC), pass in Hindi &amp; Marathi, and certificate in computer operation (prescribed by the Directorate of Information &amp; Technology).</t>
  </si>
  <si>
    <t>• Education: Possess a degree
  • Skill (test): Shall pass in Hindi &amp; Marathi and possess a certificate in computer operation prescribed by the Directorate of Information &amp; Technology</t>
  </si>
  <si>
    <t>• Education: Possess a degree.
  • Skill (test): Certificate in Shorthand (80 w.p.m) and Typing (30 w.p.m) prescribed by GCC. Pass in Hindi &amp; Marathi. Certificate in computer operation prescribed by the Directorate of Information &amp; Technology.</t>
  </si>
  <si>
    <t>Vocational Education Establishment</t>
  </si>
  <si>
    <t>Principal/ 
  Vice Principal/ Inspector/
  Controller of Examinations</t>
  </si>
  <si>
    <t>• Education: Degree in Engineering or Technology at least in second class.
  Experience: not less than Seven years of Professional or Teaching or Administrative Cadre after possessing the qualification mentioned in rule 9 (b) (ii).</t>
  </si>
  <si>
    <t>Deputy Director of Vocational Education and Training</t>
  </si>
  <si>
    <t>• Education: Degree in Engineering or Technology at least in second class.
  Experience: not less than Ten years of Professional or Teaching or Administrative Cadre after possessing the qualification mentioned in rule 6 (b) (ii) in the Government or Semi-Government or private establishments or any Corporation or any other institute.</t>
  </si>
  <si>
    <t>Not Updated</t>
  </si>
  <si>
    <t>Joint Director of Training-Cum-Apprenticeship Advisior/ Joint Director, Vocational Education &amp; Training/ Director, Maharashtra State Skill Vocational Education and Training Board</t>
  </si>
  <si>
    <t>• Education: Degree in Engineering or Technology at least in second class.
  Experience: not less than fifteen years of Professional or Teaching or Administrative Cadre work experience after possessing the qualification mentioned in rule 4 b (ii).</t>
  </si>
  <si>
    <t>Ass.Director (NT)/ Registarar</t>
  </si>
  <si>
    <t>• Education: Possess a degree from the statutory University or any other equivalent qualification declared by the Government in this behalf.
  • Experience: Administrative work experience in Government or Semi-Government or Private Establishments or Corporation or Business, not less than three years after acquiring the qualification mentioned in rule 4 b (ii) herewith.</t>
  </si>
  <si>
    <t>Headmaster</t>
  </si>
  <si>
    <t>• Education: Diploma in Engineering or Technology, at least in second class.
  • Experience: Professional, Teaching, or Administrative Cadre of not less than 2 years after possessing a Degree, or not less than 6 years after possessing a Diploma, in Government, Semi-Government, private establishments, Corporation, or any other institute.</t>
  </si>
  <si>
    <t>Principal/
  Vice Principal/ Assistant Apprenticeship Advisor</t>
  </si>
  <si>
    <t>• Education: Diploma in Engineering or Technology, at least in second class.
  • Experience: Professional, Teaching or Administrative Cadre of not less than Two years after possessing a Degree, or not less than Six years after possessing a Diploma, in Government, Semi-Government, private establishments, Corporation, or any other institute.</t>
  </si>
  <si>
    <t>Instructor (Pre- Vocational Courses)</t>
  </si>
  <si>
    <t>• Education: Diploma in Mechanical or Electrical Engineering or Diploma in Vocational or in relevant trade (at least second class); OR Passed the Examination in Vocational Study Course in relevant subject in 10 + 2 level Higher Secondary Vocational Course or its equivalent examination (in 1st class); OR Possess specialized module in Center of Excellence in the relevant sector; OR Possess National Trade Certificate or National Apprenticeship in relevant trade.
  • Experience: Two years (diploma holder); three years (Higher Secondary Vocational Certificate holder); four years (National Trade Certificate or National Apprenticeship Certificate holder), in a responsible post in industry or a Government Department or an industrial undertaking or commercial concern or local authority or Corporation or Board established by Government, after acquiring the qualification.
  • Skill (test): Tradewise Skill Test</t>
  </si>
  <si>
    <t>Minimum Educational Qualifications. -
 (i) Passed the Secondary School Certificate Examination;
 And
 (ii) Passed the National Apprenticeship Certificate Examination prescribed for the relevant trade course mentioned in the attached Appendix-B or passed the National Trade Certificate Examination prescribed for the relevant trade course mentioned in the attached Appendix-B for trade courses not having the National Apprenticeship Certificate Examination.
 (three) Qualification of experience. - Experience in teaching or technical work or both, -
 (i) Not less than one year after the date of graduation,
 (ii) Not less than two years after the date of receipt of the diploma,
 (iii) Not less than three years after passing the National Apprenticeship Certificate Examination</t>
  </si>
  <si>
    <t>SePraNi-2024/C.R.234/VyaShi-1</t>
  </si>
  <si>
    <t>Millwrite Maintenance (Mechanical/ Electrical/Electronics)</t>
  </si>
  <si>
    <t>• Education: Passed Secondary School Certificate Examination, and passed National Apprenticeship Certificate or National Trade Certificate Examination in the relevant trade (Mechanic Machine Tool Maintenance, Electrician, or Electronics Mechanic/Instrument Mechanic).
  Experience: not less than one year after possessing a Degree; not less than two years after possessing a Diploma; or not less than five years after passing the National Apprenticeship Certificate examination or National Trade Certificate Examination in repair and maintenance of machinery in Government, Semi-Government, private establishments, or other institutes.
  • Skill (test): Streamwise Skill Test.</t>
  </si>
  <si>
    <t>For the post of Millwright Maintenance Mechanic (Mechanical),
 (A) passing of Secondary School Certificate Examination;
 And
 (B) passing of the National Apprenticeship Certificate Examination or the National Trade Certificate Examination in Mechanic Machine Tool Maintenance trade; (
 II) For the post of Millwright Maintenance Mechanic (Electrical),-
 (A) passing of Secondary School Certificate Examination;
 And
 (B) passing of the National Apprenticeship Certificate Examination or the National Trade Certificate Examination in Electrician trade;
 (III) For the post of Millwright Maintenance Mechanic (Electronics),
 (A) passing of Secondary School Certificate Examination;
 And
 (B) passing of the National Apprenticeship Certificate Examination or the National Trade Certificate Examination in Electronics Mechanic or Instrument
 Mechanic trade;
 (iii) Experience. A work experience of repair and maintenance of machinery of,-
 ty or any
 echnical
 (A) not less than one year after possessing a Degree,
 (B) not less than three years after possessing a Diploma,
 (C) not less than five years after passing the National Apprenticeship Certificate Examination or the National Trade Certificate Examination, in the Government or Semi-Government or private establishments or any Corporation or any other institute.</t>
  </si>
  <si>
    <t>VEA-2021/CR104/VE-4</t>
  </si>
  <si>
    <t>Storekeeper (NG Technical)</t>
  </si>
  <si>
    <t>• Education:
  • Passed Secondary School Certificate Examination
  • Passed National Apprenticeship Certificate Examination in engineering trade OR passed National Trade Certificate Examination for those engineering trades where the National Apprenticeship Certificate Examination is not held.
  • Experience:
  • Not less than two years of Store handling or Store management after possessing a Diploma, OR
  • Not less than three years of Store handling or Store management after passing the National Apprenticeship Certificate Examination, OR
  • Not less than four years of Store handling or Store management after passing the National Trade Certificate Examination, in Government or Semi-Government or private establishments or any Corporation or any other institute.</t>
  </si>
  <si>
    <t>NAC/ NTC and CITS OR
Diploma/ Degree in Relevant Trade</t>
  </si>
  <si>
    <t>(A) passing of Secondary School Certificate Examination; and
 (B) ) passing of the National Apprenticeship Certificate Examination in engineering trades where the National Apprenticeship Certificate Examination is not held.
  not less than two years after possessing a Diploma,
 Examination, (B) not less than three years after passing the National Apprenticeship Certificate
 Examination, (C) Not less than four years after passing the National Trade Certificate in the Government or Semi-Government or private establishments
 or any Corporation or any other institute</t>
  </si>
  <si>
    <t>VEA-2021/CR106/VE-4</t>
  </si>
  <si>
    <t>16-11-2022</t>
  </si>
  <si>
    <t>• Education:
  • Hold Secondary School Certificate issued by the S.S.C. Examination Board or its equivalent.
  • Hold Certificate in Physical Education of a recognized institute.
  • Experience: Minimum one year of organisation of work and administrative ability.
  • Skill (test):
  • Possess ability to keep and maintain proper account of expenditure.
  • Possess ability to supervise games and sports and other recreational facilities.</t>
  </si>
  <si>
    <t>1) hold Secondary School Certificate issstel by tho S.S.C. Examination Board or its equivalent
 2) hold certificate in Physical education of a recognised Institutes
 3) possess minimum experience of one year of organisation of work and administrativeability
 4) possess ability to keep and maintain proper account of expenditure;
 5) possess ability to supervise games and sports and other recreational facilities. 
 Preference may be given to the candidates; who possess experience for not less than 3 years in supervising games and sports and other recreational facilities.</t>
  </si>
  <si>
    <t>TSA-5764/147303-T</t>
  </si>
  <si>
    <t>15-01-1966</t>
  </si>
  <si>
    <t>Craft Instructor / Trade Instructor</t>
  </si>
  <si>
    <t>• Education: Passed School Certificate Examination AND passed National Apprenticeship Certificate Examination in relevant engineering trade OR passed National Trade Certificate Examination (if NAC is not prescribed).
  Experience: not less than one year after possessing a Degree; OR not less than two years after possessing a Diploma; OR not less than three years after passing the National Apprenticeship Certificate Examination; OR not less than four years after passing the National Trade Certificate Examination in the relevant field in Government, Semi-Government, private establishment, Corporation, or any other institute.
  • Skill (test): Tradewise Skill Test.
  .
  .</t>
  </si>
  <si>
    <t>(ii) Minimum Educational Qualification.-
 (A) passing of Secondary School Certificate Examination; and
 (B) passing of the National Apprenticeship Certificate Examination in relevant engineering trade as prescribed in Appendix-A or passed the National Trade Certificate Examination for those engineering trades where the National Apprenticeship Certificate Examination is not prescribed in Appendix -A.
 (iii) Experience.- An experience of teaching or technical work or both of,-
 (A) not less than one year after possessing a Degree,
 (B) not less than two years after possessing a Diploma,
 (C) not less than three years after passing the National Apprenticeship Certificate Examination,
 (D) not less than four years after passing the National Trade Certificate Examination,
 in the relevant field, in the Government or Semi-Government or private establishments or any Corporation or any other institute:</t>
  </si>
  <si>
    <t>SEPRANI-2024/CR.234/VE-1</t>
  </si>
  <si>
    <t>Mathematics cum Drawing Instructor</t>
  </si>
  <si>
    <t>• Education: Diploma in Mechanical Engineering or Technology at least in second class
  Experience: not less than one year after possessing a Degree OR not less than two years after possessing a Diploma in the relevant field, in Government, Semi-Government, private establishments, Corporations, or any other institute.
  • Skill (test): Tradewise Skill Test</t>
  </si>
  <si>
    <t>1) Minimum Educational Qualification.- A Diploma in Mechanical Engineering or Technology at least in second class.
 2) Experience. An experience of teaching or technical work or both of,-
 (A) not less than one year after possessing a Degree,
 (B) not less than two years after possessing a Diploma,
 in the relevant field, in the Government or Semi-Government or private establishments or any Corporation or any other institute:
 Provided that, the period required in obtaining the National Craft Instructor Certificate shall be counted in the experience for teaching or technical work or both.</t>
  </si>
  <si>
    <t>Full Time Instructor (Bifocal/MCVC)/ Full Time Teacher (Practical)</t>
  </si>
  <si>
    <t>• Education: Passed Secondary School Certificate Examination AND passed National Apprenticeship Certificate Examination in relevant trade OR passed the National Trade Certificate Examination (where NAC is not prescribed).
  Experience: not less than one year after possessing a Degree; OR not less than two years after possessing a Diploma; OR not less than three years after passing the National Apprenticeship Certificate Examination; OR not less than four years after passing the National Trade Certificate Examination.
  • Skill (test): Tradewise Skill Test</t>
  </si>
  <si>
    <t>1) Minimum Educational Qualification.-
 (A) passing of Secondary School Certificate Examination; and
 (B) passing of the National Apprenticeship Certificate Examination in relevant trade as prescribed in Appendix-B or passed the National Trade Certificate Examination for those trades where the National Apprenticeship Certificate Examination is not prescribed in Appendix -B.
 2) Experience. Industrial work experience of,-
 (A) not less than one year after possessing a Degree,
 (B) not less than two years after possessing a Diploma,
 (C) not less than three years after passing the National Apprenticeship Certificate Examination,
 (D) not less than four years after passing the National Trade Certificate Examination</t>
  </si>
  <si>
    <t>VEA/2021/CR.75/VE-4</t>
  </si>
  <si>
    <t>Assistant Lecturer</t>
  </si>
  <si>
    <t>• Education: Diploma at least in second class in Mechanical or Electrical or Electronics or Automobile Engineering or Technology
  Experience: not less than one year after possessing a Degree OR not less than two years after possessing a Diploma, in the industrial sector.
  • Skill (test): Streamwise Skill Test</t>
  </si>
  <si>
    <t>1) Minimum Educational Qualification.- A Diploma at least in second class in Mechanical or Electrical or Electronics or Automobile Engineering or Technology.
 2) Experience.- Practical experience of teaching work of,-
 (A) not less than one year after possessing a Degree,
 (B) not less than two years after possessing a Diploma,
 in the industrial sector.</t>
  </si>
  <si>
    <t>Superintendent (Technical)</t>
  </si>
  <si>
    <t>• Education: Diploma in Engineering or Technology of any Branch
  Experience: not less than one year after possessing a Degree, or not less than three years after possessing a Diploma, in work of technical management or supervisory level.</t>
  </si>
  <si>
    <t>Diploma in Engineering or Technology of any Branch.
 (iii) Experience.-An experience of work of technical management or supervisory level of,-
 (A) not less than one year after possessing a Degree,
 (B) not less than three years after possessing a Diploma,
 in the Government or Semi-Government or private establishments or any Corporation or any other institute.</t>
  </si>
  <si>
    <t>Junior Serveyor-cum Junior Apprenticeship Advisor (Technical)</t>
  </si>
  <si>
    <t>• Education: Diploma in Engineering or Technology of any Branch.
  • Experience: Work of survey or technical management or consultancy or supervisory level of not less than one year after possessing a Degree, or not less than two years after possessing a Diploma, in a Government, Semi-Government, private establishment, Corporation, or any other institute.</t>
  </si>
  <si>
    <t>(i) Minimum Educational Qualification. - Diploma in Engineering or Technology of any Branch.
 (ii) Experience. An experience of work of survey or technical management or consultancy or supervisory level of,-
 (A) not less than one year after possessing a Degree,
 (B) not less than three years after possessing a Diploma,
 in the Government or Semi-Government or private establishments or any Corporation or any other institute</t>
  </si>
  <si>
    <t>Computer Programmer</t>
  </si>
  <si>
    <t>• Education: Graduate in Computer Engineering or Computer Technology or Computer Science or Computer Application
  • Experience: Computer Programming of not less than two years after possessing an educational qualification, in the Government or Semi-Government or Private Establishments or any Corporation or any other institute
  • Skill (test): Computer Skill Test</t>
  </si>
  <si>
    <t>1) Minimum Educational Qualification - Graduate in Computer Engineering or Computer Technology or Computer Science or Computer Application.
 2) Experience. An experience of computer programming of not less than two years after possessing an educational qualification prescribed in sub-clause (ii), or any other institute. in the Government or Semi-Government</t>
  </si>
  <si>
    <t>VEA-2018/CR.270/18/VE-4</t>
  </si>
  <si>
    <t>Full Time Teacher (Bifocal/ MCVC)</t>
  </si>
  <si>
    <t>• Education: Diploma at least in second class in the relevant vocational course.
  Experience: not less than one year after possessing a Degree, or not less than two years after possessing a Diploma, in the industrial sector.
  • Skill (test): Tradewise Skill Test</t>
  </si>
  <si>
    <t>• Education: Possess a degree.
  • Skill (test): Possess the Government Commercial Certificate or Computer Typing Certificate with a speed of not less than 30 words per minute in Marathi Typewriting. (Marathi Typing Test)</t>
  </si>
  <si>
    <t>Assistant Store Keeper</t>
  </si>
  <si>
    <t>• Education: Passed Secondary School Certificate Examination AND Passed National Apprenticeship Certificate Examination in engineering trade or passed National Trade Certificate Examination for those engineering trades where the National Apprenticeship Certificate Examination is not held.
  Experience: not less than two years of work of Store handling or Store management or Store Assistant after possessing a Diploma; OR Not less than three years after passing the National Apprenticeship Certificate Examination; OR Not less than four years after passing the National Trade Certificate Examination in Government, Semi-Government, private establishments, Corporation, or any other institute.</t>
  </si>
  <si>
    <t>(A) Passing of Secondary School Certificate Examination; and
 ( B) Passing of the National Apprenticeship Certificate Examination in engineering trade or passing of the National Trade Certificate Examination for those engineering trades where the National Apprenticeship Certificate Examination is not held.
 (iii) Experience. An experience of work of Store handling or Store management or Store Assistant,-
 (A) not less than two years after possessing a Diploma,
 (B) not less than three years after passing the National Apprenticeship Certificate Examination,
 (C) not less than four years after passing the National Trade Certificate Examination,
 in the Government or Semi-Government or private establishments or any Corporation or any other institute</t>
  </si>
  <si>
    <t>• Education: Bachelor degree in any faculty of Arts, Commerce, Science, or Law from a recognized institution, or equivalent qualification.
  • Experience: Minimum 3 years in administration or accounting work in any industry, industrial enterprise, commercial institutes, Local Authority, Corporation, or Board established by the Government, after acquiring the minimum educational qualification.
  • Skill (test): Government Commercial Certificate or Computer Typing Certificate with a speed of not less than 30 words per minute in Marathi Typewriting and 40 words per minute in English Typewriting. Tests required are 1) Marathi Typing Test and 2) English Typing Test.</t>
  </si>
  <si>
    <t>Education: Bachelor's Degree in any stream
Experience / Additional Skills / Preferential Qualification: Not Required</t>
  </si>
  <si>
    <t>Clause NO. 5(b)(ii)
 (A) passed Bachelor's Degree in any faculty of Arts or Commerce or Science or Law from a recognised institution approved by the statutory University or any other equivalent qualification declared by the Government in this behalf; and
 (B) possess the Government Commercial Certificate or Computer Typing Certificate with a speed of not less than 30 words per minute in Marathi Typewriting and 40 words per minute in English Typewriting.
 and
 (iii) Experience. - Possess a practical experience for minimum period of three years in administration or accounting work in any industry or in an industrial enterprise or commercial institutes or Local Authority or Corporation or Board established by the Government, after acquiring the minimum educational qualification mentioned in sub-clause (ii) :</t>
  </si>
  <si>
    <t>VEA-2016/CR.405/16/VE-4</t>
  </si>
  <si>
    <t>• Education: Possess a degree.
  • Skill (test): Certificate in Shorthand with a speed of 80 w.p.m and in Typing a speed of 30 w.p.m. prescribed by GCC; Certificate in computer operation prescribed by the Directorate of Information &amp; Technology.
  • Physical Qualification (test): Shall pass in Hindi &amp; Marathi.</t>
  </si>
  <si>
    <t>Social Justice</t>
  </si>
  <si>
    <t>Social Justice Establishment</t>
  </si>
  <si>
    <t>Assistant Commissioner, Social Welfare</t>
  </si>
  <si>
    <t>• Education: Any Graduate
  • Experience: 0</t>
  </si>
  <si>
    <t>Special Offcier / Social Welfare Officer II</t>
  </si>
  <si>
    <t>Social Welfare Inspector</t>
  </si>
  <si>
    <t>• Education: Any Graduate
  • Experience: 0
  • Skill (test): Nil</t>
  </si>
  <si>
    <t>1) possess a Degree of a recognised university.
 2. Candidates appointed by nomination shall be on probaton for one year.
 3. A person appointed whether by transfer promotion of or</t>
  </si>
  <si>
    <t>SCE 1360-J</t>
  </si>
  <si>
    <t>16-12-1961</t>
  </si>
  <si>
    <t>Sr. Social welfare Inspector</t>
  </si>
  <si>
    <t>• Education: Any Graduate
  • Experience: 0 (No years mentioned, but 0 is present)
  • Skill (test): Nil</t>
  </si>
  <si>
    <t>1) possess a degree of a statutory University:
 Provided further that, preference may be given to candidates possessing all or any of the following qualifications, namely:
 (i) a degrée or diploma in Physical Education from a recognised institution:
 Note: A person appointed to the post by nomination shall be on probation for a period of one year.</t>
  </si>
  <si>
    <t>BCE 1080/2527/D.IV</t>
  </si>
  <si>
    <t>26-05-1982</t>
  </si>
  <si>
    <t>Warden</t>
  </si>
  <si>
    <t>(ii) possess a degree of a recognised University. Provided that preference shall be given to candidates with all or any of following qualifications
 (a) A diploma in Physical education from a Institution recognised
 2) Candidate appointed by nomination shall be on probation for one year</t>
  </si>
  <si>
    <t>• Education: SSC
  • Skill (test): Shorthand (लघुलेखन) 100 WPM (श.प्र.मि), English Typing (टंकलेखन इंग्रजी) 40 WPM (श.प्र.मि), Marathi Typing (टंकलेखन मराठी) 30 WPM (श.प्र.मि)</t>
  </si>
  <si>
    <t>• Education: SSC
  • Skill (test): Stenography 120 w.p.m, Typing English 40 w.p.m, Typing Marathi 30 w.p.m</t>
  </si>
  <si>
    <t>Jr.Clerk</t>
  </si>
  <si>
    <t>• Education: Any Graduate
  • Skill (test): English Typing 40 wpm, Marathi Typing 30 wpm</t>
  </si>
  <si>
    <t>MPSC</t>
  </si>
  <si>
    <t>Have passed SSC Matriculation or equivalent examination
 Have knowledge of Typing</t>
  </si>
  <si>
    <t>• Education: SSC
  • Skill (test): Shorthand (लघुलेखन) 80 wpm, English Typing (टंकलेखन इंग्रजी) 40 wpm, Marathi Typing (टंकलेखन मराठी) 30 wpm</t>
  </si>
  <si>
    <t>Soil &amp; Water Conservation</t>
  </si>
  <si>
    <t>Soil &amp; Water Conservation Establishment</t>
  </si>
  <si>
    <t>Sub -Divisional Water
  conservation officer
  (civil)</t>
  </si>
  <si>
    <t>• Education: BE Civil</t>
  </si>
  <si>
    <t>Water conservation
  officer (Civil)</t>
  </si>
  <si>
    <t>Sent to MPSC dt. 02-01-2026</t>
  </si>
  <si>
    <t>Water conservation
  officer(civil)</t>
  </si>
  <si>
    <t>• Education: DCE/BE Civil</t>
  </si>
  <si>
    <t>Diploma or Degree in Civil Engineering</t>
  </si>
  <si>
    <t>RR-2018/C.R.17(PART-1)/2018/Jal-2</t>
  </si>
  <si>
    <t>21-09-2021</t>
  </si>
  <si>
    <t>Draftsman</t>
  </si>
  <si>
    <t>• Education: BE Mech/Civil/Ele</t>
  </si>
  <si>
    <t>who possess a Diploma in Civil/Mechanical/Electrical Engineering;
 or
  who possess a Diploma in Civil/Mechanical/Electrical Engineering and have three years’ experience of actual work on the post of Assistant Draughtsman in a Government/Semi-Government office.</t>
  </si>
  <si>
    <t>SePraNi 1114/112(2014)/ Aa Tantrik</t>
  </si>
  <si>
    <t>• Education: Graduate
  • Skill (test): Typeing Mar-30/Eng-40</t>
  </si>
  <si>
    <t>• Education: Graduate Degree in Arts, Science or Commerce
  • Government Professional Certificate Examination in Typing 30 words per minute
 Marathi or 40 words per minute English has been passed.</t>
  </si>
  <si>
    <t>SEPRANI. 2008/1265/(684/2008)/AA (Non-Technical)</t>
  </si>
  <si>
    <t>Higher Grade
  Stenographer</t>
  </si>
  <si>
    <t>• Education: HSC
  • Skill (test): Short Hand 120 Wp/PM, Typing Mar-30/Eng-40</t>
  </si>
  <si>
    <t>Asst Store Keeper</t>
  </si>
  <si>
    <t>1) SSC 
 2) Government Professional Certificate Examination in Typing 30 words per minute Marathi or 40 words per minute English has been passed.</t>
  </si>
  <si>
    <t>• Education: SSC+ITI Civil Draftsman</t>
  </si>
  <si>
    <t>SSC+ ITI (Civil) or Arts Teacher Diploma from a Government recognised institution</t>
  </si>
  <si>
    <t>Circle Water
  Conservation
  Officer(CEA)</t>
  </si>
  <si>
    <t>(a) Has passed the Secondary School Leaving Examination conducted by the Maharashtra State Board of Secondary and Higher Secondary Education and has passed the following examination;
 (b) Degree in Civil Engineering (B.E.) or Diploma in Civil Engineering (D.CE.) "or its equivalent qualification"</t>
  </si>
  <si>
    <t>SePraNi-1213/C.K.413/2013/AA(Tantrik)</t>
  </si>
  <si>
    <t>Asst Draftsman / Junior Draftsman</t>
  </si>
  <si>
    <t>• Education: Diploma in Mech/Civil/Ele</t>
  </si>
  <si>
    <t>Those who hold a Diploma in Civil / Mechanical / Electrical Engineering.</t>
  </si>
  <si>
    <t>1114/(112/2014) Aa(Tantrik)</t>
  </si>
  <si>
    <t>Sports</t>
  </si>
  <si>
    <t>Sports (Directorate) Establishment</t>
  </si>
  <si>
    <t>Assistant Director/ District Sports Officer</t>
  </si>
  <si>
    <t>• Education: Degree in B.P.Ed., B.P.E., or from the National Institute of Sports (NIS).
  • Experience: 7 years working as a Physical Training Instructor (PTI).</t>
  </si>
  <si>
    <t>Officer on Special Duty</t>
  </si>
  <si>
    <t>Assistant Account Officer</t>
  </si>
  <si>
    <t>• Education: No
  • Experience: Holding equivalent post in the service of the Government
  • Skill: Suitable person for transfer or deputation</t>
  </si>
  <si>
    <t>Taluka Sports Officer</t>
  </si>
  <si>
    <t>• Education: Degree in B.P.Ed., B.P.E., or from the National Institute of Sports (NIS).
  • Experience: 5 years working as a Physical Training Instructor (PTI).</t>
  </si>
  <si>
    <t>• Education:
  • Bachelor's degree in Commerce from a statutory university with at least 55 percent marks.
  • Passed the final examination of Chartered Accountant conducted by the Institute of Cost and Works Accounts.
  • Passed the final examination of Cost Accounting taken by the Institute of Cost and Works Accounts of India.
  • Master's degree in Commerce from a statutory university.
  • Master of Business Administration (MBA) in Finance approved by All India Council for Technical Education.
  • Experience: Must have served in the District Technical Service Class-III (Group-C) of Zilla Parishads (Accounting) cadre for not less than 3 years.</t>
  </si>
  <si>
    <t>Sports Officer</t>
  </si>
  <si>
    <t>Sports Officer/ Coach (NG Technical)</t>
  </si>
  <si>
    <t>• Education: Those who hold a degree in B.P.Ed., B.P.E., or from the National Institute of Sports (NIS).</t>
  </si>
  <si>
    <t>Who has passed the Degree in Arts/Science/Commerce/Law from a statutory University, along with a Degree in Physical Education from a recognized institution. (Physical Education 1 year) 1
 or
 Conducted by Netaji Subhash Chandra Bose National Institute of Sports, Patiala or its Calcutta, Bangalore and Gandhinagar regional centres or similar recognized institutions.
 Graduated in Sports (Guide).
 or
  Bachelor of Physical Education (B.P.E.) with Physical Education as the main subject and Passed the exam.
 or
 Has received a state/national award in a particular sport.</t>
  </si>
  <si>
    <t>KriAa-1097/C.R.142/Bhag-1/KriYuSe-2</t>
  </si>
  <si>
    <t>18-12-2001</t>
  </si>
  <si>
    <t>Ladies Sports Officer</t>
  </si>
  <si>
    <t>• Education: Degree in B.P.Ed., B.P.E., or from the National Institute of Sports (NIS).</t>
  </si>
  <si>
    <t>Sports Coach</t>
  </si>
  <si>
    <t>A person who has passed a degree in Arts/Science/Commerce/Law from a statutory university and a degree in Physical Education from a recognized institution (Physical Education 1 year)
 or
 Has passed the Diploma (Guide) in Sports conducted by the Calcutta, Bangalore and Gandhinagar Regional Centres of Netaji Subhash Chandra National Institute of Sports, Patiala or a similarly recognized institution;
 or
 has Passed the Bachelor of Physical Education (B.P.E.) examination with Physical Education as the main subject;
 or
 Has received a state/national award in a particular sport.</t>
  </si>
  <si>
    <t>Stenographer (Lower)</t>
  </si>
  <si>
    <t>• Education: Passed the post-secondary school examination.
  • Skill (test): Shorthand speed 100 per minute; English typing speed - 40 or Marathi typing speed - 30</t>
  </si>
  <si>
    <t>Stenographer (Higher)</t>
  </si>
  <si>
    <t>• Education: Passed the post-secondary school examination.
  • Skill (test): Shorthand speed 80 per minute. English typing speed - 40 or Marathi typing speed - 30.</t>
  </si>
  <si>
    <t>Sports Establishment</t>
  </si>
  <si>
    <t>Chief Sports Executive Officer</t>
  </si>
  <si>
    <t>• Education: Graduate, Higher Secondary Certificate
  • Skill (test): International Medals</t>
  </si>
  <si>
    <t>The post of Chief Sports Executive Officer is recruited from Sports Persons under the Direct Recruitment scheme (GR Dated 09.07.2024) hence there is no requirement of Requisition, Advertisement and roaster._x000B_</t>
  </si>
  <si>
    <t>Sports Executive Officer</t>
  </si>
  <si>
    <t>The post of Sports Executive Officer is recruited from Sports Persons under the Direct Recruitment scheme (GR Dated 09.07.2024) hence there is no requirement of Requisition, Advertisement and roaster._x000B_</t>
  </si>
  <si>
    <t>Assistant Sports Development Officer</t>
  </si>
  <si>
    <t>The post of Assistant Sports Development Officer is recruited from Sports Persons under the Direct Recruitment scheme (GR Dated 09.07.2024) hence there is no requirement of Requisition, Advertisement and roaster._x000B_</t>
  </si>
  <si>
    <t>Textile</t>
  </si>
  <si>
    <t>Sericulture Establishment</t>
  </si>
  <si>
    <t>• Education: Possess a degree in Science with Agriculture/Sericulture/Biology/Zoology/Botany or Textile Engineering in First Class.
  Experience: Not less than Six Years of experience, of which at least three years should be practical experience in the Agriculture/Sericulture/Biology/Zoology/Botany or Textile Engineering and three years should be administrative experience in a responsible position gained after acquiring the qualification.</t>
  </si>
  <si>
    <t>Sericulture Development Officer Gr 1</t>
  </si>
  <si>
    <t>• Education: Possess a degree in Science with Agriculture/Sericulture or Biology or Zoology or Botany or Textile Engineering in First Class.
  • Experience: Possess practical experience in Agriculture/Sericulture/Biology/Zoology/Botany or Textile Engineering for a period of not less than three years gained after acquiring the qualification.</t>
  </si>
  <si>
    <t>Sericulture Development Officer Grade2</t>
  </si>
  <si>
    <t>Sericulture Development Officer Grade II / Sr. Technical Assistant (Sericulture) (NG Technical)</t>
  </si>
  <si>
    <t>• Education: Possess a degree in Science with Agriculture or Sericulture or Biology or Zoology or Botany or Textile Engineering or Biological Science at least in second class.
  • Experience: Possess practical experience in responsible position involving administrative responsibilities for a period of not less than three years in any Industry or Government department or Public Sector Undertaking or Statutory Board or Corporation established by Government or Sericulture Industry gained after acquiring the qualification mentioned in subclause (b)(ii).</t>
  </si>
  <si>
    <t>GAD</t>
  </si>
  <si>
    <t>Atleast II Class degree in B.SC. Agriculture or Sericulture or Biology or Zoology or Botany or Textile Engineering or Biological Science</t>
  </si>
  <si>
    <t>Reshim-1310/C.R. 72/Reshim Kaksha</t>
  </si>
  <si>
    <t>Sr.Technical Assistant</t>
  </si>
  <si>
    <t>S11 (30100 - 95100)</t>
  </si>
  <si>
    <t>• Education: Possess a degree in Science with Agriculture or Sericulture or Biology or Zoology or Botany or Textile Engineering or Biological Science as one subject.</t>
  </si>
  <si>
    <t>RR RULE 4
  1) Possesses a degree in Science with: Agriculture or Sericulture or Biology or Zoology or Botany or Textile Engineering or Biological Science as one subject.
 2) Preference will be given to those candidates who have post-graduate degree or diploma in sericulture or exceptional experience in this field.</t>
  </si>
  <si>
    <t>Reshim-132000/C.R.39/Reshim Kaksha
 Revised: Reshim-1310/C.R.72/Reshim Kaksha</t>
  </si>
  <si>
    <t>05-01-2010
 Revised: 04-06-2014</t>
  </si>
  <si>
    <t>Rearing Operative</t>
  </si>
  <si>
    <t>• Education: Secondary School Certificate Examination with Science at least in second class</t>
  </si>
  <si>
    <t>• Education: Must possess a degree.
  • Skill (test): Must possess the Government Commercial Certificate or Computer Typist Certificate with speed of not less than 30 words per minute in Marathi Typewriting or 40 words per minute in English Typewriting.</t>
  </si>
  <si>
    <t>Field Asst.</t>
  </si>
  <si>
    <t>• Education: have passed possess the Higher Secondary School Certificate Examination with Science subject or have passed the Secondary School Certificate and possess Training in Sericulture or a Diploma in Agriculture, from Recognized Institute</t>
  </si>
  <si>
    <t>RR RULE 7
 1) Passed HSC examination or; SSC examination with Science as a subject
 2) Training in Sericulture from a recognised institution or; holds a diploma in Agriculture</t>
  </si>
  <si>
    <t>Sr.Assistant</t>
  </si>
  <si>
    <t>• Education: Second class degree holder
  • Experience: Nil
  • Skill (test): Nil</t>
  </si>
  <si>
    <t>1) Any Degree passed in atleast II Class</t>
  </si>
  <si>
    <t>Reshim-1308/C.R.75/Reshim Kaksha</t>
  </si>
  <si>
    <t>13-09-2010</t>
  </si>
  <si>
    <t>• Education: Passed the Higher Secondary School Certificate Examination with Science subject or passed Secondary School Certificate Examination and possess Training in Sericulture or Diploma in Agriculture, from Recognized Institute Nil Nil</t>
  </si>
  <si>
    <t>Education: SSC + Diploma in Agriculture from a Government recognised institution
 Experience / Additional Skills / Preferential Qualification: Not Required</t>
  </si>
  <si>
    <t>RR RULE 6
 1) Higher Secondary School Certificate Examination with Science as a subject OR has passed the Secondary School Certificate Examination and holds a Diploma in Sericulture Training or Agriculture from a recognized institution.</t>
  </si>
  <si>
    <t>Sr.Field cum Lab Asst.</t>
  </si>
  <si>
    <t>RR RULE 5
 1) Degree in science with Biology or Zoology or Botany as the main subject along with Agriculture and Sericulture
 2) However, preference will be given to candidates holding a degree or postgraduate diploma in the subject of sericulture or possessing exceptional academic qualifications in this subject.</t>
  </si>
  <si>
    <t>Textile Establishment</t>
  </si>
  <si>
    <t>Assistant Commissioner (Technical)</t>
  </si>
  <si>
    <t>• Education: Diploma in handloom technology recognized by the government of India or by all India handloom board New Delhi or diploma in textile technology or textile manufacturing.
  Experience: Not less than 3 years practical experience in weaving of handloom, power loom and spinning section after acquiring the qualification, in an industry, government office, industrial undertaking, commercial concern, local authority, corporation or board established by the government.
  • Skill (test): Possess equivalent knowledge of Marathi language.</t>
  </si>
  <si>
    <t>• Education: Possess a degree or diploma of a recognized Institute in the respective Technical Trade.
  • Preference: Practical experience of at least 5 years in the same trade and experience in administration and accounts.</t>
  </si>
  <si>
    <t>Jr.Industrial Inspector</t>
  </si>
  <si>
    <t>• Education: Diploma - Engineering, Technology, Science</t>
  </si>
  <si>
    <t>With GAD</t>
  </si>
  <si>
    <t>Powerloom Jobber (Machine Operator)</t>
  </si>
  <si>
    <t>• Education: Studied up to S.S.C. or its equivalent examination or possess a diploma of any recognized Textile Institute.
  • Experience: At least 3 years in weaving in a reputed textile mill.</t>
  </si>
  <si>
    <t>Diploma in
 1) Spinning OR 2)Weaving OR 3)Garment OR 4) Processing OR
 5)Technical Textile from a recognized Textile Institute.</t>
  </si>
  <si>
    <t>CEN 1064/23690-C-3
 Draft RR</t>
  </si>
  <si>
    <t>Textile inspector</t>
  </si>
  <si>
    <t>• Education: Completed the handloom technology course from the Indian Institute of Handloom Technology at Salem in Tamil Nadu State, or possess a diploma or certificate in weaving from a recognized institute.
  • Experience: 2 years in weaving industries.
  • Skill: Handloom technology/weaving.</t>
  </si>
  <si>
    <t>Junior Marketing Officer</t>
  </si>
  <si>
    <t>Stamping Inspector</t>
  </si>
  <si>
    <t>• Education: S.S.C. Examination or equivalent Examination.
  • Preference: Diploma or certificate in weaving of a recognized institute; or a course in cooperative training to lower diploma in corporation etc.; or passed the agriculture diploma examination.</t>
  </si>
  <si>
    <t>Diploma in 1) Spinning OR 2) Weaving OR 3) Garment OR 4) Processing OR 5)Technical Textile from a recognized Textile Institute.</t>
  </si>
  <si>
    <t>Assistant Textile Inspector</t>
  </si>
  <si>
    <t>• Education: Up to S.S.C. Examination.
  • Skill (test): Possessing a diploma or certificate in weaving from a recognized Institute.</t>
  </si>
  <si>
    <t>Tribal Development</t>
  </si>
  <si>
    <t>Tribal Development Commissionerate Establishment</t>
  </si>
  <si>
    <t>Assistant Commissioner / Project Officer Grade (2)</t>
  </si>
  <si>
    <t>• Education: ANY BACHELOR DEGREE</t>
  </si>
  <si>
    <t>Yes - 31-08-24</t>
  </si>
  <si>
    <t>Senior Research Officer</t>
  </si>
  <si>
    <t>• Education: SOCIAL SCIENCE / ANTHROPOLOGY DEGREE/ MSW
  Experience: not less than three years in any field of tribal, social welfare or tribal research</t>
  </si>
  <si>
    <t>Yes - 2-06-25</t>
  </si>
  <si>
    <t>Deputy Director /Deputy Commissioner/ Project officer Grade (1)</t>
  </si>
  <si>
    <t>• Education: LAW DEGREE
  Experience: not less than 7 years in the practice of law before a High Court or a court subordinate to it.</t>
  </si>
  <si>
    <t>Yes - 09-07-24</t>
  </si>
  <si>
    <t>Assistant Project Officer/Research officer/House Master/Registrar/Lecturer/Administrative Officer/Museum Curator</t>
  </si>
  <si>
    <t>Yes 03-1-25</t>
  </si>
  <si>
    <t>Assistant Project Officer (Education)</t>
  </si>
  <si>
    <t>Camoraman cum projector</t>
  </si>
  <si>
    <t>• Education: HSC, diploma or certificate in photography</t>
  </si>
  <si>
    <t>Education: SSC + Diploma in Photography
  Experience / Additional Skills: Not Required</t>
  </si>
  <si>
    <t>1) Those who have passed the Higher Secondary Certificate Examination, and
 2) Holds a diploma or certificate in the subject of photography from a recognized institution.
 3) not less than 3 years of practical experience in photography, printing, printing and related science or technology etc. and audio visual equipment in a Government recognized institution from an Industrial Training Institute/Government recognized institution.</t>
  </si>
  <si>
    <t>TDR.1096/C.R.-27(B)/FA-15</t>
  </si>
  <si>
    <t>Primary Teacher (Marathi Medium)</t>
  </si>
  <si>
    <t>• Education: SSC or HSC, D.ED, TET</t>
  </si>
  <si>
    <t>Arts Teacher</t>
  </si>
  <si>
    <t>• Education: SSC or HSC, ATD</t>
  </si>
  <si>
    <t>Superintendent Male</t>
  </si>
  <si>
    <t>• Education: A Degree of a recognised university in social welfare or social welfare administration branch.</t>
  </si>
  <si>
    <t>by nomination from amongst the candidates who-
  (i)Possess A Degree in any non-technical faculty.
 other qualification declared by the Government to be equivalent Possess a Degree of Bachelor of Physical Education or any thereto</t>
  </si>
  <si>
    <t>EST.1099/C.R. 89/D-XV</t>
  </si>
  <si>
    <t>7.1.2004</t>
  </si>
  <si>
    <t>Superintendent (Female)</t>
  </si>
  <si>
    <t>by nomination from smongst the female candidates who-
 (i) Have passed H.S.C. Examination,
 (ii)Possess the Diploma in Nursing Course:</t>
  </si>
  <si>
    <t>Junior Education Extension Officer</t>
  </si>
  <si>
    <t>• Education: Possesses Bachelor's Degree in any discipline from a recognised institution approved by the statutory university or any equivalent qualification as may be declared by the government to be equivalent thereto in this behalf.</t>
  </si>
  <si>
    <t>by nomination from amongst the candidates recommended by the selection committee on the basis of result of Competitive Examination conducted therefor, fulfilling the following criteria,
 (i) Minimum Educational Degree in any equivalent qualification as may be declared by the government to be equivalent thereto, discipline from a recognised institution approved by the statutory university or any in this behalf</t>
  </si>
  <si>
    <t>Aastha-2016/Cr.No.308/desk-15</t>
  </si>
  <si>
    <t>30.11.2023</t>
  </si>
  <si>
    <t>Deputy Accountant / Head Clerk</t>
  </si>
  <si>
    <t>• Education: Degree of a recognized university.
  • Preference: Post-Graduate Degree or Degree in Education.</t>
  </si>
  <si>
    <t>Clause No. 5 (b)
 ii) Who possesses a degree
 Preference:- candidates possessing a post-graduate degree from a recognized (statutory) university or a degree in Education shall be given preference.</t>
  </si>
  <si>
    <t>TDR. 1096/Pr. No. 27 (A) Desk-15</t>
  </si>
  <si>
    <t>10.1.2006</t>
  </si>
  <si>
    <t>Tribal Development Inspector</t>
  </si>
  <si>
    <t>• Education: Possesses a degree of a recognized university.
  • Preference: Preference may be given to those candidates who possess PostGraduate Degree or Degree in Education.</t>
  </si>
  <si>
    <t>possess a degree:
 Provided that preference may be given to those candidates who possess Post-Graduate Degree or Degree in Education</t>
  </si>
  <si>
    <t>TDR. 1096/CR-27(A)/D-XV</t>
  </si>
  <si>
    <t>Senior Tribal Development Inspector</t>
  </si>
  <si>
    <t>• Education: A Degree in Arts, Science, Commerce or Law at least in Second Class and a degree in Education or Physical Education of a statutory University.
  • Preference: May be given to candidates possessing experience of Institutional Management, Educational Administration, Inspection and aptitude for hobbies and games.</t>
  </si>
  <si>
    <t>possess a degree in Arts, Scicace, Commerce or Law at least in Second Class and lass and a decree in Education or Physical Education of a Statutory University:
 Provided that the age limit may be relaxed by the appointing authority on the recommendation of the a candidate having exceptional qualification or experience or both: of the selecting authority in favour of
 Provided further that, preference ing experience of Institutional Management, Educational Administra-may be given to, candidates possess-tion, Inspection and aptitude for hobbies and games</t>
  </si>
  <si>
    <t>TWE-1082/815 (iii)/D.XV</t>
  </si>
  <si>
    <t>7.10.1988</t>
  </si>
  <si>
    <t>• Education: A Degree of a recognized university.
  • Preference: Preference may be given to those candidates who possess a degree either in the subject of Mathematics/ Economics/ Commerce and Statistics.</t>
  </si>
  <si>
    <t>1) possess a degree
 2) Preference may be given to those candidates who possess degree either in the subject of Mathematics, Economics, Commerce and Statistice</t>
  </si>
  <si>
    <t>Warden (Male)</t>
  </si>
  <si>
    <t>• Education: A Post Gratuate Degree of a recognised university in social welfare or social welfare administration or tribal welfare development or tribal welfare administration branch.</t>
  </si>
  <si>
    <t>nomination from amongst the candidates who
 (i) possess a Degree in any non-technical faculty,
 (ii) possess a Degree of Bachelor in Physical Education or any other qualification declared by Government to be equivalent thereto
 (iii) have experience of practical work of experience of inspection not less than 2 years of the supervisory past in any Department of the Government.</t>
  </si>
  <si>
    <t>EST1099/C.R .89/CR89/D-XV</t>
  </si>
  <si>
    <t>10.01.2006</t>
  </si>
  <si>
    <t>Warden (Female)</t>
  </si>
  <si>
    <t>by transfer of a suitable female candidate from equivalent post in any department of the government</t>
  </si>
  <si>
    <t>Secondary Teacher</t>
  </si>
  <si>
    <t>• Education: Gratuate Degree (Specipic Subject as per vacant post.), B. Ed</t>
  </si>
  <si>
    <t>Stenografer(LG)</t>
  </si>
  <si>
    <t>• Education: Secondary School Certificate Examination or equivalent.
  • Skill (test): Government Commercial Certificate for shorthand speed of not less than 100 wpm, English typewriting speed of not less than 40 wpm, and Marathi typewriting speed of not less than 30 wpm.</t>
  </si>
  <si>
    <t>Stenografer(HG)</t>
  </si>
  <si>
    <t>• Education: Secondary School Certificate Examination or equivalent recognized by Government.
  • Skill (test): Government Commercial Certificate for shorthand speed of not less than 120 words per minute, English typewriting speed of not less than 40 words per minute, and Marathi typewriting speed of not less than 30 words per minute (from Maharashtra State Council of Examination or Government ITI).</t>
  </si>
  <si>
    <t>Junior College Teacher</t>
  </si>
  <si>
    <t>• Education: A Post Graduate Degree (Specific Subject as per vacant post), B. Ed</t>
  </si>
  <si>
    <t>Laboratary Assistant</t>
  </si>
  <si>
    <t>• Education: Have passed SSC examination.</t>
  </si>
  <si>
    <t>(a) have passed S.S.C. Examination;
 b) posses a Certificate in computer operation prescribed by the Directorate of Information technology, Govt of Maharashtra</t>
  </si>
  <si>
    <t>TDR1096/CR27(C)/DDESK15</t>
  </si>
  <si>
    <t>• Education: SSC examination and possess a Certificate in Library Training of Recognised College or Institude.</t>
  </si>
  <si>
    <t>1) Have passed SSC examination
 2) posssess a certificate in Library training of recognized college or institute
 3) posses a Certificate in computer operation prescribed by the Directorate of Information technology, Govt of Maharashtra</t>
  </si>
  <si>
    <t>TDR-1096/CR-27/CVD-XV</t>
  </si>
  <si>
    <t>Senior Clerk/ Statistic Assistant</t>
  </si>
  <si>
    <t>Clause No. 6(b)
 ii) possess a degree:
 provided that preference may be given to those candidates who possess degree either in the subject of Mathematics, Economics, Commerece and Statistic</t>
  </si>
  <si>
    <t>TDR-1096/CR-27/(A)/D-XV</t>
  </si>
  <si>
    <t>• Education: SSC examination and a Certificate in Library Training of Recognised College or Institute.</t>
  </si>
  <si>
    <t>1) Have passed SSC examination
 2) posssess a certificate in Library training of recognized college or institute
 Preference may be given to candidate who possess diploma in Library sciences and having experience of Library work for not less than 2 years
 3) posses a Certificate in computer operation prescribed by the Directorate of Information technology, Govt of Maharashtra</t>
  </si>
  <si>
    <t>Nurse</t>
  </si>
  <si>
    <t>• Education: SSC or HSC and ANM diploma</t>
  </si>
  <si>
    <t>• Education: Secondary School Certificate Examination recognised as equivalent thereto by Government.
  • Skill (test): Government Commercial Certificate for a speed of not less than 80 words per minute in shorthand, 40 words per minute in English typewriting, and 30 words per minute in Marathi typewriting. (Maharashtra State council of Examination or Government ITI)</t>
  </si>
  <si>
    <t>Urban Development 1</t>
  </si>
  <si>
    <t>Town planning Establishment</t>
  </si>
  <si>
    <t>• Education: A degree in Law</t>
  </si>
  <si>
    <t>Town Planner</t>
  </si>
  <si>
    <t>(New Service) Maharashtra Town Planning Services</t>
  </si>
  <si>
    <t>• Education: Degree in Civil Engineering or Civil and Rural Engineering or Urban and Rural Engineering or Construction Technology or Construction Engineering or Construction Engineering and Management or Construction Technology and Management or Urban Planning and Regional Planning or Urban Planning or Architecture or Architecture and Regional Planning or any other equivalent educational qualification declared by the Government, from time to time.
  Experience: not less than 3 years of working in a Government or SemiGovernment or Private Registered Institution in the field of, Town Planning or Town Planning and Valuation of Lands and Buildings after possessing the minimum educational qualification.
  • Skill (test): A person appointed to the said post by nomination shall possess a certificate of passing the examination in AutoComputer Aided Design (AutoCAD) or Geographical Information System (GIS) in Spatial Planning from a recognized institution after appointment for the promotion to the senior post.</t>
  </si>
  <si>
    <t>Assistant Town Planner</t>
  </si>
  <si>
    <t>• Education: Degree in Civil Engineering, Civil and Rural Engineering, Urban and Rural Engineering, Construction Technology, Construction Engineering, Construction Engineering and Management, Construction Technology and Management, Urban Planning and Regional Planning, Urban Planning, Architecture, Architecture and Regional Planning, or any other equivalent educational qualification declared by the Government.
  • Skill (test): Must possess a certificate of passing the examination in AutoComputer Aided Design (AutoCAD) or Geographical Information System (GIS) in Spatial Planning from a recognized institution (required for appointment by nomination and promotion to the senior post).</t>
  </si>
  <si>
    <t>Planning Assistant</t>
  </si>
  <si>
    <t>Town Planning Assistant (NG Technical)</t>
  </si>
  <si>
    <t>• Education: Diploma in Civil Engineering or Civil and Rural Engineering or Urban and Rural Engineering or Construction Technology or Construction Engineering or Construction Engineering and Management or Construction Technology and Management or Urban Planning and Regional Planning or Urban Planning or Architecture or Architecture and Regional Planning or any other equivalent educational qualification declared by the Government to be equivalent, from time to time.
  • Skill (test): Certificate of passing the examination in AutoComputer Aided Design (AutoCAD) or Geographical Information System (GIS) in Spatial Planning from a recognized institution after appointment for the promotion to the senior post.</t>
  </si>
  <si>
    <t>amongst the candidates recommended by the selection committee on the basis of result of competitive examination conducted therefor, who fulfills the following criteria, 
 namely:-
 (i) Educational Qualification.-Possess Diploma in Civil Engineering or Civil and Rural Engineering or Urban and Rural Engineering or Construction Technology or Construction Engineering or Construction Engineering and Management or Construction Technology and Management or Urban Planning and Regional Planning or Urban Planning or Architecture or Architecture and Regional Planning or any other equivalent educational qualification declared by the Government to be equivalent, from time to time.
 (ii) Technical qualification. A person appointed to the said post by nomination shall possess a certificate of passing the examination in Auto-Computer Aided Design (Auto-CAD) or Geographical Information System (GIS) in Spatial Planning from a recognized institution after appointment for the promotion to the senior post.</t>
  </si>
  <si>
    <t>SEPRANI-2421/724/C.R.128/UD-27</t>
  </si>
  <si>
    <t>29-08-2024</t>
  </si>
  <si>
    <t>• Education: Passed Secondary School Certificate Examination
  • Skill (test): Possess Government Commercial Certificate with speed of not less than 100 words per minute in shorthand and not less than 40 words per minute in English typewriting or 30 words per minute in Marathi typewriting</t>
  </si>
  <si>
    <t>• Education: Passed Secondary School Certificate Examination
  • Skill (test): Government Commercial Certifacate with not less than 120 words per minute in shorthand, and not less than 40 words per minute in English typewriting or 30 words per minute in Marathi typewriting</t>
  </si>
  <si>
    <t>• Education: Degree of any discipline of a statutory university or any other qualification declared by the Government to be equivalent thereto.
  • Skill (test): Must possess the Government Commercial Certificate or Computer Typing Certificate with a speed of not less than 30 words per minute in Marathi Typewriting or 40 words per minute in English Typewriting.</t>
  </si>
  <si>
    <t>• Education: Passing Certificate of two years Course of Civil or Architectural Draftsman from a Government recognized Institution after passing Secondary School Certificate Examination, or any other equivalent qualification as declared by the Government.
  • Skill (test): Certificate of passing examination in AutoComputer Aided Design (AutoCAD) or Geographical Information System (GIS) in Spatial Planning from a recognized institution (required for appointment by nomination).</t>
  </si>
  <si>
    <t>Education: SSC + ITI / Vocational Course from Government recognised institution in relevant trade
  Experience / Preferential Qualification: Certificate of passing in Auto Computer-Aided Design (AutoCAD) or geographucal information system (GIS) in Spatial Planning from recognised institution</t>
  </si>
  <si>
    <t>1) Two years Course of Civil Draftsman from a Government recognized Institution after passing Higher Secondary School Certificate Examination or any other equivalent examination
 2) Certificate of passing in Auto Computer-Aided Design (AutoCAD) or geographucal information system (GIS) in Spatial Planning from recognised institution</t>
  </si>
  <si>
    <t>SEPRANI-2421/702/CR121/UD-27</t>
  </si>
  <si>
    <t>24-09-2024</t>
  </si>
  <si>
    <t>• Education: Passing Certificate of two years Course of Civil or Architectural Draftsman from a Government recognized Institution after passing Secondary School Certificate Examination; or any other equivalent qualification as declared by the Government, from time to time.
  • Experience: Two years (implied from the course duration).
  • Skill (test): Certificate of passing examination in AutoComputer Aided Design (AutoCAD) or Geographical Information System (GIS) in Spatial Planning from a recognized institution.</t>
  </si>
  <si>
    <t>Urban Development 2</t>
  </si>
  <si>
    <t>CO Establishment</t>
  </si>
  <si>
    <t>Assistant Commissioner ClassA/Chief Officer</t>
  </si>
  <si>
    <t>Assistant Commissioner ClassB/Chief Officer</t>
  </si>
  <si>
    <t>Directorate of Municipal Administration Establishment</t>
  </si>
  <si>
    <t>superintendent</t>
  </si>
  <si>
    <t>Those who hold a degree</t>
  </si>
  <si>
    <t>DMA 1095/367/C.K.25(A)/96/NaVi-16</t>
  </si>
  <si>
    <t>• Education: Graduate
  • Skill (test): Stenographer Course</t>
  </si>
  <si>
    <t>assistant</t>
  </si>
  <si>
    <t>1) Any degree</t>
  </si>
  <si>
    <t>DMA-1095/367/C.R.25(A)/96/NAVI-16</t>
  </si>
  <si>
    <t>• Education: 12th
  • Skill (test): Stenographer Course</t>
  </si>
  <si>
    <t>State Cadre Establishment</t>
  </si>
  <si>
    <t>Tax Assessment and Administrative officer (Grade C)</t>
  </si>
  <si>
    <t>• Education: Graduate in any discipline from a recognized University or Board
  • Skill (test): M.SCIT Examination or equivalent examination and pass such examination as may be determined by the Government from time to time</t>
  </si>
  <si>
    <t>Fire service Officer (Grade C)</t>
  </si>
  <si>
    <t>• Education: Graduate in any discipline from a recognized University or Board; Passed Fire Station Officer and Instructor Course from Central Fire Service College, Nagpur
  • Skill (test): M.SCIT Examination or equivalent examination and pass such examination as may be determined by the Government from time to time</t>
  </si>
  <si>
    <t>Education: SSC + Fire Safety Diploma from a Government recognised institution
 Experience / Additional Skills: Not Required
 Physical Qualification: As may be required</t>
  </si>
  <si>
    <t>Sanitation Inspector (Grade C)</t>
  </si>
  <si>
    <t>• Education: Graduate in any discipline from a recognized University
  • Skill (test): Passed Diploma Course in Sanitation Inspector from a recognized institution</t>
  </si>
  <si>
    <t>Audit and accounts officer (Grade C)</t>
  </si>
  <si>
    <t>• Education: Graduate in Commerce from a recognized University or Board
  • Skill (test): M.SCIT Examination or equivalent examination and pass such examination as may be determined by the Government from time to time</t>
  </si>
  <si>
    <t>Education: Bachelor's Degree in Commerce
 Experience / Additional Skills: Not Required</t>
  </si>
  <si>
    <t>Civil engineer (Grade C)</t>
  </si>
  <si>
    <t>• Education: Graduate in Civil Engineering from a recognized University or Board; M.SCIT Examination or equivalent examination and pass such examination as may be determined by the Government from time to time.</t>
  </si>
  <si>
    <t>Electrical engineer (Grade C)</t>
  </si>
  <si>
    <t>• Education: Graduate in Electrical Engineering from a recognized University or Board; M.SCIT Examination or equivalent examination and pass such examination as may be determined by the Government from time to time</t>
  </si>
  <si>
    <t>Computer engineer (Grade C)</t>
  </si>
  <si>
    <t>• Education: Graduate in Computer Engineering from a recognized University or Board
  • Skill (test): M.SCIT Examination or equivalent examination and pass such examination as may be determined by the Government from time to time</t>
  </si>
  <si>
    <t>Water supply Engineer (Grade C)</t>
  </si>
  <si>
    <t>• Education: Graduate in Mechanical or Environmental Engineering from a recognized University or Board</t>
  </si>
  <si>
    <t>Tax Assessment and Administrative officer (Grade B)</t>
  </si>
  <si>
    <t>• Education: Graduate in any discipline from a recognized University or Board; M.SCIT Examination or equivalent examination and pass such examination as may be determined by the Government from time to time</t>
  </si>
  <si>
    <t>Audit and accounts officer (Grade B)</t>
  </si>
  <si>
    <t>Fire service Officer (Grade B)</t>
  </si>
  <si>
    <t>• Education: Graduate in any discipline from a recognized University or Board
  • Skill (test): Passed Fire Station Officer and Instructor Course from Central Fire Service College, Nagpur; M.SCIT Examination or equivalent examination and pass such examination as may be determined by the Government from time to time</t>
  </si>
  <si>
    <t>Civil engineer (Grade B)</t>
  </si>
  <si>
    <t>• Education: Graduate in Civil Engineering from a recognized University or Board
  • Skill (test): M.SCIT Examination or equivalent examination and pass such examination as may be determined by the Government from time to time</t>
  </si>
  <si>
    <t>Electrical engineer (Grade B)</t>
  </si>
  <si>
    <t>• Education: Graduate in Electrical Engineering from a recognized University or Board
  • Skill (test): M.SCIT Examination or equivalent examination and pass such examination as may be determined by the Government from time to time</t>
  </si>
  <si>
    <t>Computer engineer (Grade B)</t>
  </si>
  <si>
    <t>• Education: Graduate in Computer Engineering from a recognized University or Board; M.SCIT Examination or equivalent examination and pass such examination as may be determined by the Government from time to time</t>
  </si>
  <si>
    <t>Water supply Engineer (Grade B)</t>
  </si>
  <si>
    <t>Sanitation Inspector (Grade B)</t>
  </si>
  <si>
    <t>• Education: Graduate in any discipline from a recognized University; Passed Diploma Course in Sanitation Inspector from a recognized institution</t>
  </si>
  <si>
    <t>Tax Assessment and Administrative officer (Grade A)</t>
  </si>
  <si>
    <t>Audit and accounts officer (Grade A)</t>
  </si>
  <si>
    <t>Fire service Officer (Grade A)</t>
  </si>
  <si>
    <t>• Education: Graduate in any discipline from a recognized University or Board
  • Skill (test): Passed Fire Station Officer and Instructor Course from Central Fire Service College, Nagpur, and M.SCIT Examination or equivalent examination</t>
  </si>
  <si>
    <t>Civil engineer (Grade A)</t>
  </si>
  <si>
    <t>Electrical engineer (Grade A)</t>
  </si>
  <si>
    <t>Computer engineer (Grade A)</t>
  </si>
  <si>
    <t>• Education: Bachelor's in Computer Engineering</t>
  </si>
  <si>
    <t>Water supply Engineer (Grade A)</t>
  </si>
  <si>
    <t>Sanitation Inspector (Grade A)</t>
  </si>
  <si>
    <t>• Education: Graduate in any discipline from a recognized University
  • Skill: Passed Diploma Course in Sanitation Inspector from a recognized institution</t>
  </si>
  <si>
    <t>Water Resources</t>
  </si>
  <si>
    <t>Water Resources Establishment</t>
  </si>
  <si>
    <t>Assistant Executive Engineer (Civil)</t>
  </si>
  <si>
    <t>• Education: BE (Civil)</t>
  </si>
  <si>
    <t>Assistant Engineer Grade-1 (Civil)</t>
  </si>
  <si>
    <t>Dy Engineer (Mechanical)</t>
  </si>
  <si>
    <t>• Education: BE (Mechanical)
  • Experience: 3 years</t>
  </si>
  <si>
    <t>Dy Engineer (Electrical)</t>
  </si>
  <si>
    <t>• Education: BE (Electrical)
  • Experience: 3</t>
  </si>
  <si>
    <t>Soil Survey Officer</t>
  </si>
  <si>
    <t>• Education: Post Graduate (Physics/Chemistry/Geology/Soil)
  • Experience: 3 years</t>
  </si>
  <si>
    <t>Dy Soil Survey Officer</t>
  </si>
  <si>
    <t>• Education: Post Graduate (Physics/Chemistry/Geology/Soil)
  • Experience: 3</t>
  </si>
  <si>
    <t>Assistant Engineer,Grade-2(Civil) Gazetted</t>
  </si>
  <si>
    <t>• Education: Possess a degree of statutory University in Civil Engineering or any other qualification declared by Government to be equivalent thereto</t>
  </si>
  <si>
    <t>Assistant Engineer, Grade-2 (Mechanical) Gazatted</t>
  </si>
  <si>
    <t>• Education: Possess Bachelors degree in Mechanical Engineering.
  • Skill: Mechanical Engineering</t>
  </si>
  <si>
    <t>Assistant Engineer,Grade-2(Electrical) Gazatted</t>
  </si>
  <si>
    <t>• Education: Bachelors degree in Electrical or Electrical and Mechanical Engineering.</t>
  </si>
  <si>
    <t>• Education: Diploma in Civil Engineering No</t>
  </si>
  <si>
    <t>A three-year diploma in civil engineering recognized by a competent authority or any other qualification recognized as equivalent.</t>
  </si>
  <si>
    <t>RTR1089/1183/Aasthapana-2</t>
  </si>
  <si>
    <t>Junior Engineer (Mechanical)</t>
  </si>
  <si>
    <t>• Education: Diploma in Mechnical Engineering or Auto mobile Engineering or Production Engineering or Production Engineering</t>
  </si>
  <si>
    <t>Those who hold a Diploma of at least three years duration in Mechanical Engineering or Automobile Engineering or Production Engineering or Production Technology awarded by the Maharashtra State Board of Technical Education, Government.</t>
  </si>
  <si>
    <t>SePraNi.1207/1958/(54)2007- Aa(Tantrik)</t>
  </si>
  <si>
    <t>13-04-2010</t>
  </si>
  <si>
    <t>• Education: Diploma in Electrical Engineering or Electrical Power Engineering No</t>
  </si>
  <si>
    <t>Those who hold a Diploma in Electrical Engineering or Electrical Power Systems of at least three years duration awarded by the Maharashtra State Board of Technical Education, Government.</t>
  </si>
  <si>
    <t>SePraNi.1211/68/(2012)- Aa (Tantrik)</t>
  </si>
  <si>
    <t>20-04-2013</t>
  </si>
  <si>
    <t>Chief Draftsman</t>
  </si>
  <si>
    <t>• Education: Degree/Diploma in Civil/Mechanical/Electrical Engineering No Degree/Graduate in Civil/Mechanical/Electrical Engineering</t>
  </si>
  <si>
    <t>Low grade stenographer</t>
  </si>
  <si>
    <t>• Education: 12th</t>
  </si>
  <si>
    <t>High Grade shorthand</t>
  </si>
  <si>
    <t>• Education: 12th No</t>
  </si>
  <si>
    <t>• Education: Degree/Graduate in Civil/Mechanical/Electrical Engineering</t>
  </si>
  <si>
    <t>storekeeper</t>
  </si>
  <si>
    <t>• Education: Degree in any discipline No</t>
  </si>
  <si>
    <t>(1) Those who hold a degree in Arts/Science/Commerce
 and
 (2) Those who have passed the Government Professional Certificate Examination in Typing at 30 words per minute in Marathi or 40 words per minute in English.</t>
  </si>
  <si>
    <t>1008/1265/(684/2008)/Aa Atantrik</t>
  </si>
  <si>
    <t>Junior Scientific Assistant</t>
  </si>
  <si>
    <t>• Education: Post Graduate Degree in Physics/Chemistry/Geology or Agriculture (Soils)
  t mentioned
  Post Graduate Degree in Physics/Chemistry/Geology or Agriculture (Soils)</t>
  </si>
  <si>
    <t>Those who have a Postgraduate degree in Physics/Chemistry/Geology or Agriculture (Soil Science/Agricultural Chemistry).</t>
  </si>
  <si>
    <t>BCS 1351-E-i</t>
  </si>
  <si>
    <t>28-04-2011</t>
  </si>
  <si>
    <t>the accountant</t>
  </si>
  <si>
    <t>Canal inspector</t>
  </si>
  <si>
    <t>Canal Inspector (NG Admin)</t>
  </si>
  <si>
    <t>possess a Degree in any discipline; and
 and
 possess Government Commercial Certificate with the speed 40 words per minute in English typewriting or 30 words per minute in Marathi typewriting</t>
  </si>
  <si>
    <t>RTR 1108/C.R. 144(1) Est.(Nontech.)</t>
  </si>
  <si>
    <t>29-02-2016</t>
  </si>
  <si>
    <t>Office Clerk</t>
  </si>
  <si>
    <t>Those who have passed the Secondary School Certificate Examination;
 and
 Those who have passed the Government Professional Certificate Examination in Typing at a speed of 30 words per minute in Marathi or 40 words per minute in English.</t>
  </si>
  <si>
    <t>wire men</t>
  </si>
  <si>
    <t>• Education: Wiring Certificate No</t>
  </si>
  <si>
    <t>possess 2nd Class Wiremen's certificate awarded by the Licensing Board of the Public Works Department of the Government of Bombay or equivalent recognised qualifications</t>
  </si>
  <si>
    <t>BCS1358-E-i</t>
  </si>
  <si>
    <t>30-09-1959</t>
  </si>
  <si>
    <t>Computer K./Computer Driver</t>
  </si>
  <si>
    <t>• Education: 10th passed</t>
  </si>
  <si>
    <t>are not more than 25 years of age; and
 (b) have passed the S.S.C. Examination with mathematics or an equivalent examination recognised by Government.
 Provided that preference may be given to the candidates who possess practical experience of mensuration and calculation".</t>
  </si>
  <si>
    <t>have passed the Secondary School Certificate Examination; and
  have knowledge of Marathi, English and Hindi, with a fluency speaking;
 Provided that, preference may be given to a candidate possessing training and experience in Telephone Operating:
 Provided further that, preference may be given to a candidate who, in the opinion of the Selecting Authority, possesses pleasing manners and agreeable voice:
 Provided also that the age limit may be relaxed by Government on the recommendation of the Selecting Authority in favour of candidates having exceptional qualifications or experience or both</t>
  </si>
  <si>
    <t>Messenger</t>
  </si>
  <si>
    <t>Those who hold a degree in Arts/Science/Commerce.</t>
  </si>
  <si>
    <t>1211/(371/2011) Aa.(Tantrik)</t>
  </si>
  <si>
    <t>24-07-2012</t>
  </si>
  <si>
    <t>Senior Survey Asst</t>
  </si>
  <si>
    <t>Who has passed the exam in Physics/Chemistry/Geology and Holds a degree from a recognized university or holds a degree in agriculture</t>
  </si>
  <si>
    <t>BCS 1666-10756-A(1)</t>
  </si>
  <si>
    <t>17-12-2011</t>
  </si>
  <si>
    <t>Junior Survey Assistant</t>
  </si>
  <si>
    <t>• Education: 12th in Physics/Chemistry/Mathematics or English
  12th in Physics/Chemistry/Mathematics or English</t>
  </si>
  <si>
    <t>Those who have passed the Higher Secondary School Leaving Examination with Physics/Chemistry/Mathematics/English as a subject.
 or
 (b) Has passed the Land Surveyor (Surveyor) course of an Industrial Training Institute.
  Preference will be given to those holding a degree in agriculture.</t>
  </si>
  <si>
    <t>• Education: Degree in Physics/Chemistry/Geology or Agriculture (Soils). No Degree in Physics/Chemistry/Geology or Agriculture (Soils).</t>
  </si>
  <si>
    <t>Who have completed Physics / Chemistry / Geology and Holds a degree from a recognized University
 or
 (b) Those who hold a degree in agriculture</t>
  </si>
  <si>
    <t>BCS 1358-E(1)</t>
  </si>
  <si>
    <t>18-03-1959</t>
  </si>
  <si>
    <t>Junior Clerk/Typist</t>
  </si>
  <si>
    <t>• Education: Degree in any discipline</t>
  </si>
  <si>
    <t>(i)Those who hold a degree (two) in Civil/Mechanical/Electrical Engineering
 Or
 (ii) Possess a Diploma in Civil/Mechanical/Electrical Engineering and have three years of direct work experience as an Assistant Draftsman in a Government/Semi-Government office.</t>
  </si>
  <si>
    <t>Assistant Draftsman</t>
  </si>
  <si>
    <t>• Education: Degree/Diploma in Civil/Mechanical/Electrical Engineering No; Degree/Graduate in Civil/Mechanical/Electrical Engineering</t>
  </si>
  <si>
    <t>Civil Engineering Asstt</t>
  </si>
  <si>
    <t>• Education: Degree/Diploma in Civil Engineering No, Degree/Diploma in Civil Engineering</t>
  </si>
  <si>
    <t>Has passed the Secondary School Leaving Examination conducted by the Maharashtra State Board of Secondary and Higher Secondary Education and has passed the following examination;
 and 
 Degree in Civil Engineering (B.E.) or Diploma in Civil Engineering (D.C.E.) or its equivalent qualification"</t>
  </si>
  <si>
    <t>sePraNi 1213/CR413/2013/Aa Tantrik</t>
  </si>
  <si>
    <t>Short hand typist</t>
  </si>
  <si>
    <t>• Education: No
  • Experience: 5 Years
  • Skill (test): Wiring Certificate</t>
  </si>
  <si>
    <t>(i) possess certificate of competency awarded by the Licensing Board of the Public Works Department of the Government of Bombay, or equivalent
 And
 (ii) have worked for 5 years as Wiremen in a reputed firm carrying out electrical wiring works.</t>
  </si>
  <si>
    <t>Water Supply and Sanitation</t>
  </si>
  <si>
    <t>Water Supply and Sanitation Establishment</t>
  </si>
  <si>
    <t>• Education: Degree in Arts, Science, Commerce or Law or agriculture or equivalent qualification.
  Experience: not less than 5 years in the administrative capacity in any dept/ office of govt of maharshtra/ local body/ industrial/ commercial undertaking.
  • Preference: Post graduate degree and experience of administrative work in large industrial or commercial establishment</t>
  </si>
  <si>
    <t>Deputy Engineer (mech.)</t>
  </si>
  <si>
    <t>Posses a degree in Mechanical Engineering or Automobile Engineering or qualification declared by the Government to be equivalent theretopossess an experience for the period of not less than three years in handling combustion, air compresors, light and heavy duty vehicles, drilling rigs or related machinery in a responsible position in Government Department or Industrial Organisation or any Industrial Undertacking or Local Authority or Corporation Board Established by Government:No</t>
  </si>
  <si>
    <t>Senior Geophysicist</t>
  </si>
  <si>
    <t>S21 (57100 - 180800)</t>
  </si>
  <si>
    <t>Possess a Post-Graduate degree in Geophysics or Applied Geophysics; or Geology or Applied Geology with physics as one of the optional or subsidiary subject at B.Sc. And at least one or two papers in Geophysics at Post-Graduate degree or any other qualification declared by the government to be equivalrnt thereto;Minimum 6 years, in any Industry or in a Government Department or in an Industrial Undertaking or Corporation or Board established by the Government, gained after acquiring the qualification mentioned in Sub Clause (ii)No</t>
  </si>
  <si>
    <t>Education: Master's Degree in Science (Relevant Stream)
 Experience / Additional Skills / Preferential Qualification: Not Required</t>
  </si>
  <si>
    <t>Senior Drilling Engineer</t>
  </si>
  <si>
    <t>• Education: Degree in Mechanical Engineering or Automobile Engineering or equivalent qualification.
  Experience: not less than five years in drilling in different formations with different types of drilling machines.
  • Skill (test): Adequate knowledge of maintenance and repairs of drilling machines, air compressor, diesel engines and hydraulic system, yield testing equipment, various types of pumping sets.</t>
  </si>
  <si>
    <t>Requition sent to MPSC for 3 post dated 08-08-2024</t>
  </si>
  <si>
    <t>Senior Geologist</t>
  </si>
  <si>
    <t>• Education: Post-graduate degree in Geology or Applied Geology of recognized University or the diploma in Geology or Applied Geology from the Indian School of Mines, Dhanbad or any other recognized equivalent qualification.
  • Experience: Seven years (Five years for candidates with a first class post graduate degree or diploma) of practical experience in hydrogeological work comprising of regional hydrogeological surveys in sedimentary, metamorphic and volcanic terrains, exploratory drilling and testing of aquifers and problems related to well hydraulics.</t>
  </si>
  <si>
    <t>• Education: Post-graduate degree in Geology or Applied Geology of recognized University or Diploma in Applied Geology of the Indian School of Mines, Dhanbad, or any qualifications recognized by Government to be equivalent thereto.
  • Experience: Total period of ten years practical experience in the field, out of which three years experience shall be in organizing, supervising and guiding field units.
  • Skill: Practical experience in carrying out of systematic hydro-geological surveys in igneous sedimentary and metamorphic terrans; groundwater Exploration and Assessment by Drilling and Testing; and processing interpretation of field data and in preparing and editing technical reports.</t>
  </si>
  <si>
    <t>Chief Drilling Engineer</t>
  </si>
  <si>
    <t>• Education: Degree in Mechanical Engineering or Automation Engineering or any other qualification declared equivalent by the Government.
  Experience: not less than ten years of direct experience in excavation and supervisory work with different types of excavation machines in different structures.
  • Skill (test): Should have adequate knowledge in maintenance and repair of drilling machines, air compressors, yield testing equipment, various types of pump sets and similar items.</t>
  </si>
  <si>
    <t>• Education: Master’s degree in Geology or Applied Geology or a diploma in Applied Geology of the Indian School of Mines, Dhanbad or any equivalent qualifications.
  Experience: not less than twelve years, gained after acquiring the qualifications, out of which not less than five years must be in organizing, supervising, and guiding field units.
  • Skill: 1) Carrying out Systematic Hydrogeological Surveys in Igncous Sedimentary and Metamorphic Terrains 2) Groundwater Exploration and Assessment by Drilling and Testing and 3) processing and interpretation of field data and in preparing and editing technical reports.</t>
  </si>
  <si>
    <t>Additional Director</t>
  </si>
  <si>
    <t>• Education: Master's degree in Geology or Applied Geology or any other equivalent qualification recognised by Government (for nomination).
 • Experience: not less than fourteen years of practical experience gained after acquiring educational qualifications, with not less than seven years of said practical experience (for nomination).
  • Skill (test): Practical experience in (a) carrying out Systematic Hydrogeological Surveys in igneous, sedimentary and metamorphic terrians; (b) groundwater exploration and assessment by drilling and testing; and (c) processing and interpretation of field data, preparing and editing technical reports.</t>
  </si>
  <si>
    <t>Assistant Administrative Officer</t>
  </si>
  <si>
    <t>• Education: Possess a degree in Arts, Science, Commerce, Law or Agriculture of a recognized University or an equivalent qualification.
 • Experience: not less than three years in a supervisory capacity in any department or the office of the Government of Maharashtra, Local Body or Industrial or Commercial Undertaking.</t>
  </si>
  <si>
    <t>Requition sent to MPSC for 2 post dated 08-08-2024</t>
  </si>
  <si>
    <t>Junior Geologist</t>
  </si>
  <si>
    <t>• Education: Master’s Degree in Geology or Applied Geology or a diploma in geology or Applied Geology of the Indian School of Mines, Dhanbad or equivalent qualification.</t>
  </si>
  <si>
    <t>Experience / Additional Skills / Preferential Qualification: Not Required
 Mention of specific institutions such as Indian chool of Mines, Dhanbad removed.</t>
  </si>
  <si>
    <t>Assistant Geophysicist</t>
  </si>
  <si>
    <t>• Education: Post-Graduate degree in Geophysics or a bachelor of Science degree with Physics and Geology at optional or subsidiary level and a post-Graduate Degree in Geology with at least one paper in Geophysics.
  Experience: not less than three years of practical experience in Geophysical work in an Industry, Government Department, Industrial undertaking, local authority, Corporation, or Board established by the Government, gained after acquiring the qualification.</t>
  </si>
  <si>
    <t>Assistant Chemist</t>
  </si>
  <si>
    <t>• Education: Master’s degree of a statutory University in Chemistry or any other equivalent qualification
  Experience: not less than 3 years practical experience in Chemical Analysis works gained after acquiring qualification</t>
  </si>
  <si>
    <t>Assistant Geologist</t>
  </si>
  <si>
    <t>• Education: Post-graduate degree in Geology or Applied Geology of recognized University by the State Government or diploma in Geology or Applied Geology of the Indian School of Mines, Dhanbad or any other equivalent qualification
  • Experience: Practical experience in hydrogeological work comprising of regional hydrogeological surveys in sedimentary, metamorphic and volcanic terrains, exploratory drilling and testing of aquifers and problems related to well hydraulics for a period of seven No
  • Preference: To be given to candidates having practical experience in hydrogeological work comprising of regional hydrogeological surveys in sedimentary, metamorphic and volcanic terrains, exploratory drilling and testing of aquifers and problems related to well hydraulics for a period of seven No</t>
  </si>
  <si>
    <t>G.I.S. Senior Assistant</t>
  </si>
  <si>
    <t>G.I.S. Assistant and Equivalent (NG Technical)</t>
  </si>
  <si>
    <t>• Education: Possess a degree of statutory university or a diploma an Institution recognised by the Government of Maharashtra in Civil/Mechanical/Electrical Engineering.</t>
  </si>
  <si>
    <t>Education: SSC + Diploma in Relevant Stream
 OR 
 Bachelor's Degree in Geoinformatics from recognised institution or equivalent qualification
  Experience / Additional Skills / Preferential Qualification: Not Required</t>
  </si>
  <si>
    <t>(i)possess a Master's degree in Science with chemistry or agricultural chemistry with soil science as a principal subject; and
 (ii) possess practical experience in chemical analysis of water samples, gained after acquiring the qualification mentioned in clause (ii) : 
 Provided that, the age limit may be relaxed by Government on the recommendation of the Selection Board in favour of candidates having exceptional qualifications or experience or both.</t>
  </si>
  <si>
    <t>EST-1080/233/(3686)/XVI</t>
  </si>
  <si>
    <t>Technical Officer</t>
  </si>
  <si>
    <t>Technical Officer (NG Technical)</t>
  </si>
  <si>
    <t>• Education: Possess a degree in Science or Agriculture of a recognised University or any other equivalent qualification</t>
  </si>
  <si>
    <t>requisition sent for 7 posts to IBPS vide letter dated 07.10.25</t>
  </si>
  <si>
    <t>possess a degree in Science or Agriculture of a recognised: Univer-sity, or any other equivalent qualification
 Provided that, the age limit may be relaxed in favour of cardidates who possess exceptional qualifications or experience or both;
 Provided further that, preference may be given to a candidate who has previous, experience of collection, compilation, interpretation and evalua Lion of technical data of scientific nature in any institution or Government department for a period of not less than two years</t>
  </si>
  <si>
    <t>GWO-3774/(675)-XVI</t>
  </si>
  <si>
    <t>29-03-1976</t>
  </si>
  <si>
    <t>Office Superintendent</t>
  </si>
  <si>
    <t>• Education: possess a degree in any faculty
  • Experience/Skill: possess practical eperience in Establihment matters in Government Department for a period of not less than one eperience, gained after acquiring the qualification</t>
  </si>
  <si>
    <t>requisition sent for 1 post to IBPS vide letter dated 07.10.25</t>
  </si>
  <si>
    <t>Junior Engineer (Mech.)</t>
  </si>
  <si>
    <t>• Education: Degree from a statutory University in Mechanical Engineering or a Diploma in Mechanical or Automobile Engineering from a recognized Institution.
  Experience: not less than one year of practical experience in handling pneumatic machines, heavy vehicles, water well drilling rigs, and allied machines, gained after acquiring the qualifications.</t>
  </si>
  <si>
    <t>requisition sent for 4 posts to IBPS vide letter dated 07.10.25</t>
  </si>
  <si>
    <t>possess a degree of statutory University in Mechanical Engineering or a Diploma in Mechanical or Automobile Engineering of recognised Institution
  and
 have practical experiene in pneumatic maciones, heavy vehicles, water well drilling ries and allied mechines, for a period of not less than one year gained after acquiring the qualification of possess a degree of statutory University in Mechanical Engineering or a Diploma in Mechanical or Automobile Engineering of recognised Institution
 Provided that, the age limit may be relaxed by Government on the recommendation of the Selection Board in favour of candidates having exceptional qualifications or experience or both
 or
 Provided further that, preference may be given to candidates possessing exceptional qualifications or experience or both.</t>
  </si>
  <si>
    <t>GWO-3774/1183/(2006)/XXXI-A</t>
  </si>
  <si>
    <t>26-02-1982</t>
  </si>
  <si>
    <t>• Education: Degree in mathematics or statistics of recognized University (at least second class) and a certificate of satisfactory completion of a computer course recognized by the Government of Maharashtra.</t>
  </si>
  <si>
    <t>1) Degree in mathematics or statistics of recognized University (at least second class) and a certificate of satisfactory completion of a computer course from an institute recognized by the Government of Maharashtra.
 2) Preference may be given to candidate having previous experience of collection, compilation and interpretation of econmical or statistical data in any institution or government department for a period of not less than 2 years.</t>
  </si>
  <si>
    <t>Junior Chemist</t>
  </si>
  <si>
    <t>• Education: Masters degree in Science with chemistry or agricultural chemistry with soil science as a principal subject
  • Experience: Practical experince in chemical analysis of water samples, gained after acquiring the qualification</t>
  </si>
  <si>
    <t>possess a Master's degree in Science with chemistry or agricultural chemistry with soil science as a principal subject; 
 and
 possess practical experience in chemical analysis of water samples, gained after acquiring the qualification mentioned
 Provided that, the age limit may be relaxed by Government on the recommendation of the Selection Board in favour of candidates having exceptional qualifications or experience or both.</t>
  </si>
  <si>
    <t>EST-1080/233/(3686/XVI)</t>
  </si>
  <si>
    <t>G.I.S. Officer</t>
  </si>
  <si>
    <t>• Education: Degree from a statutory University in Civil, Mechanical, or Electrical Engineering OR Diploma from a Government-recognized Institution in Civil Engineering.
  • Experience: At least three years practical experience in Draftsmanship for degree holders; 3 years practical experience of draftmanship for diploma holders.
  • Skill (test): Draftsmanship.</t>
  </si>
  <si>
    <t>possess a degree of Statutory University in Civil, Mechanical or Electrical Engineering
 or
  possess a Diploma of an Institution recognised by Government in Civil Engineering with at least three years preetical experience in Draftsmanship</t>
  </si>
  <si>
    <t>AAPANA.2092/CR-3075/JAL-5</t>
  </si>
  <si>
    <t>16-03-1994</t>
  </si>
  <si>
    <t>Junior Geophysicist</t>
  </si>
  <si>
    <t>Junior Geophysicist (NG Technical)</t>
  </si>
  <si>
    <t>• Education: Possess a Master degree in Geophysics or degree in bachelor of Science with Geology, as one subject and Master degree in physics.</t>
  </si>
  <si>
    <t>Education: Bachelor's Degree in Geophysics/Bachelor's s in Science with geology as a subject
  Experience / Additional Skills: Not Required</t>
  </si>
  <si>
    <t>requisition sent for 6 posts to IBPS vide letter dated 07.10.25</t>
  </si>
  <si>
    <t>possess a Master degree in Geophysics or degree in Bachelor of Science with Geology, as one subject and Master degree in Physics:
 Provided that, the upper age limit may be relaxed in the case of those having exceptional qualifications or experience or both.</t>
  </si>
  <si>
    <t>Apapna-2011/C.R. 38/W.S-15</t>
  </si>
  <si>
    <t>19-05-2018</t>
  </si>
  <si>
    <t>• Education: Secondary School Certificate Examination or equivalent, and Government Commercial Certificate.
  • Skill (test): Shorthand speed of not less than 100 wpm; English typing speed of not less than 40 wpm; Marathi typing speed of not less than 30 wpm.</t>
  </si>
  <si>
    <t>requisition sent for 3posts to IBPS vide letter dated 07.10.25</t>
  </si>
  <si>
    <t>• Education: Passed the Secondary School Certificate Examination or equivalent.
  • Skill (test): Government Commercial Certificate for shorthand speed of not less than 120 words per minute and English typewriting speed of not less than 40 words per minute or Marathi typewriting speed of not less than 30 words per minute.</t>
  </si>
  <si>
    <t>• Education: have passed the S.S.C Examination</t>
  </si>
  <si>
    <t>requisition sent for 2 posts to IBPS vide letter dated 07.10.25</t>
  </si>
  <si>
    <t>(i) have passed the S. S. C. Examination
 Provided that preference may be given to candidates having practical experience in a Chemical Analysis Laboratory.</t>
  </si>
  <si>
    <t>EST.1284/4665/CR-165/37</t>
  </si>
  <si>
    <t>• Education: Possess a degree.
  • Skill (test): Possess the Government Commercial certificate or Computer Typing Certificate with a speed of not less than 30 words per minute in Marathi Typewriting and 40 words per minute in English Typewriting.</t>
  </si>
  <si>
    <t>Clause 6(b) - 
 ii) have passed Secondary School Certificate Examination; and
 iii) possesses a Government Commercial Certificate for a speed of not less than 40 words per minute in English typewriting or 30 words per minute in Marathi Typewriting</t>
  </si>
  <si>
    <t>AAPANA. 2089/PK-2048/37</t>
  </si>
  <si>
    <t>• Education: Passed the Secondary School Certificate Examination or an equivalent qualification.
  Experience: not less than one year of driving heavy goods vehicle or heavy passenger motor vehicle after acquiring the qualification.
  • Skill (test): Possess a valid heavy duty driving licence for heavy goods vehicle or heavy passenger motor vehicle.</t>
  </si>
  <si>
    <t>Education: SSC + ITI / Vocational Course from Government recognised institution in relevant trade
  Experience / Preferential Qualification: Not Required
  Skill: Heavy Duty Driving License</t>
  </si>
  <si>
    <t>requisition sent for 8 posts to IBPS vide letter dated 07.10.25</t>
  </si>
  <si>
    <t>(i)have passed the Secondary School Certificate Examination or hold any other qualification declared by Government to be equivalent thereto 
 and
 (ii) possess a valid heavy duty driving licence for heavy goods vehicle or heavy passenger motor vehicle and have experience of driving heavy goods vehicle or heavy passenger motor vehicle for not less than one year, gained after acquiring the qualifications mentioned in clause (i) above :
 Provided that, preference may be given to the candidates who have experience in boring and drilling work for not less than two years:
 Provided further that, the age limit or period of experience or both may be relaxed by Government on the recommendation of the Selection Board in 'avour of candidates having exceptional qualification or experience or both</t>
  </si>
  <si>
    <t>• Education: possess a degree in any faculty</t>
  </si>
  <si>
    <t>requisition sent for 5 posts to IBPS vide letter dated 07.10.25</t>
  </si>
  <si>
    <t>Clause 4(b)(ii)
 ii) possess Degree in any faculty</t>
  </si>
  <si>
    <t>G.I.S. Assistant</t>
  </si>
  <si>
    <t>• Education: Secondary School Certificate Examination or any other equivalent qualification; Intermediate Grade (Drawing) Exam</t>
  </si>
  <si>
    <t>have passed Secondary School Certificate Examination;
 and
  possess a certificate in Civil Draftsmanship of a recognised institution or any other qualification declared by Government to be equivalent thereto</t>
  </si>
  <si>
    <t>RTR. 1382/188296/(34)/ADM-1</t>
  </si>
  <si>
    <t>• Education: Passed the Secondary School Certificate Examination or equivalent.
  • Skill (test): Government Commercial Certificate for shorthand speed of not less than 80 wpm, English typewriting speed of not less than 40 wpm, or Marathi typewriting speed of not less than 30 wpm.</t>
  </si>
  <si>
    <t>• Education: Passed the Secondary School Certificate Examination or an equivalent qualification; Obtained a certificate in Mechanical, Electrical or Automobile Engineering from a Government Industrial training Institute or a recognised Institution.
  • Experience: Not less than one year of driving heavy goods vehicle or heavy passenger motor vehicle gained after acquiring the qualification.
  • Physical Qualification (test): Possess a valid heavy duty driving licences for heavy goods vehicle or heavy passenger motor vehicle.</t>
  </si>
  <si>
    <t>Experience / Preferential Qualification: Not Required
  Skill: Heavy Duty Driving License</t>
  </si>
  <si>
    <t>(i)have passed the Secondary School Certificate Examination or hold any other qualification declared by Government to be equivalent thereto
 AND
 (ii)have obtained a certificate in Mechanical, Electrical or Automobile Engineering from any Industrial Training Institute of Government or from any recognised Institution; and
 (iii) possess a valid heavy duty driving licence for heavy goods vehicle or heavy passenger motor vehicle and have experience of driving heavy goods vehicle or heavy passenger motor vehicle for not less than one year gained after acquiring the qualifications mentioned in sub-clauses (ii) and (iii):
 Provided that, the age limit or period of experience or both may be claxed by Government on the recommendation of the Selection Board in vour of candidates having exceptional qualification, or experience, or both : Provided further that, preference may be given to candidates who have morked and operated air hammer drilling rigs or rotary drilling rigs or both upto a depth of about 1,000 metres
 Provided further that, the age limit or period of experience or both may be relaxed by Government on the recommendation of the Selection Board in 'avour of candidates having exceptional qualification or experience or both</t>
  </si>
  <si>
    <t>09-01-2026 (as per FD)</t>
  </si>
  <si>
    <t>Women &amp; Child</t>
  </si>
  <si>
    <t>Women &amp; Child Establishment</t>
  </si>
  <si>
    <t>District women and child devlopment officer/CDPO/Asst.
  Commissioner</t>
  </si>
  <si>
    <t>• Education: Any Graduate
  • Experience: 0
  • Skill: NA</t>
  </si>
  <si>
    <t>Child Psychologist</t>
  </si>
  <si>
    <t>• Education: M.SW or MA (Clinical psychology) or M.Phill (Clinical psychology) or M.Phill (Psychiatric Social work)</t>
  </si>
  <si>
    <t>District women and child devlopment officer/CDPO (rural) / Supritendent/ondm</t>
  </si>
  <si>
    <t>• Education: Any Graduate
  • Experience: 0
  • Skill (test): NA</t>
  </si>
  <si>
    <t>District Protection Officer</t>
  </si>
  <si>
    <t>• Education: MSW
  • Experience: 3 Years
  • Skill (test): NA</t>
  </si>
  <si>
    <t>• Education: Any Graduate
  • Skill (test): NA</t>
  </si>
  <si>
    <t>possess a degree</t>
  </si>
  <si>
    <t>MBA-2014/C.R.278/D-VII</t>
  </si>
  <si>
    <t>Probation Officer</t>
  </si>
  <si>
    <t>Steno (Lower Grade)</t>
  </si>
  <si>
    <t>• Education: SSC
  • Skill (test): Typing &amp; Stenography</t>
  </si>
  <si>
    <t>Oversear</t>
  </si>
  <si>
    <t>• Education: Diploma Civil
  • Experience: 0 years
  • Skill (test): NA</t>
  </si>
  <si>
    <t>Steno (Higher Grade)</t>
  </si>
  <si>
    <t>• Education: Any Graduate
  • Experience: 0 years
  • Skill (test): NA</t>
  </si>
  <si>
    <t>Clause No. 9(1)(b)
 (ii) who possess a degree; and
 (iii) possess a Government Commercial Certificate not less than thirty words per minute in Marathi Typing or forty words per minute in English Typing</t>
  </si>
  <si>
    <t>Protection Officer
  Jr.</t>
  </si>
  <si>
    <t>• Education: Any Graduate
  • Experience: 0 years</t>
  </si>
  <si>
    <t>Sr.Clerk</t>
  </si>
  <si>
    <t>Clause No 8(b)(ii)
 ii) Should possess a degree</t>
  </si>
  <si>
    <t>Assistant Commissioner, Animal husbandry</t>
  </si>
  <si>
    <t>सहायक पर्यवेक्षक प्रतिरुप / Assistant Supervisor (Offset)</t>
  </si>
  <si>
    <t>यंत्रचालक श्रेणी-1/ Machin operator Grade-I</t>
  </si>
  <si>
    <t>सहायक पर्यवेक्षक लेखपट/Assistant Supervisor Document</t>
  </si>
  <si>
    <t>लेखपट यंत्रचालक ग्रेड-2 /Film Setter Operator Grade-2</t>
  </si>
  <si>
    <t>Personal Assistant</t>
  </si>
  <si>
    <t>Sports Development Officer</t>
  </si>
  <si>
    <t>Dy.SP/ACP, Armourer</t>
  </si>
  <si>
    <t>Dean ( Yoga and Naturopathy)</t>
  </si>
  <si>
    <t>Dean (Ayurveda)</t>
  </si>
  <si>
    <t>Dean (Homoeopathy)</t>
  </si>
  <si>
    <t>Polytechnic &amp; Pharmacy posts  - 01-04-2004 (New Akrutiband is approved but has stay with court)
Teaching post (Senior college) - 07-12-2019 (Final)
Non teaching post - 01-04-2004 (New Akrutibandh is Pending with department)</t>
  </si>
  <si>
    <t>Column1</t>
  </si>
  <si>
    <t>Vacancy Proportion</t>
  </si>
  <si>
    <t>Vancancy (After Akrutibandh Status)</t>
  </si>
  <si>
    <t>Adv published by MPSC on dated 25.04.2025</t>
  </si>
  <si>
    <t>Roster not needed as mentioned by the dept in CM ppt</t>
  </si>
  <si>
    <t>No Response in PPT</t>
  </si>
  <si>
    <t>17 posts
Dept ppt says "No" for both requisition and roster</t>
  </si>
  <si>
    <t>32 posts
Dept ppt says "No" for both requisition and roster</t>
  </si>
  <si>
    <t>Roster not required as cadre is recommended for Internal Promotion (Remark by the dept in CM ppt)</t>
  </si>
  <si>
    <t>Partially Accepted</t>
  </si>
  <si>
    <t>Roster not required as it is a cadre with singular post.</t>
  </si>
  <si>
    <t>Roster in process</t>
  </si>
  <si>
    <t xml:space="preserve">Recruitment is done by SPs/CP 
</t>
  </si>
  <si>
    <t>Dt.20.8.2024 
Dt.17.04.2025</t>
  </si>
  <si>
    <t>Yes - 29-07-2025</t>
  </si>
  <si>
    <t>Advertise published by MPSC for 4 post on Dt.14.07.2025 &amp; for 3 post on Dt.24.09.2025</t>
  </si>
  <si>
    <t>Requisition sent on Dt.05.02.2026</t>
  </si>
  <si>
    <t>Establishment is undergoing restructuring</t>
  </si>
  <si>
    <t>Advertisement published by MPSC</t>
  </si>
  <si>
    <t>632 posts for the Civil Judge Junior Division and Judicial Magistrate First Class selection process -2026 has been sent to the MPSC vide Government letter 04.02.2026</t>
  </si>
  <si>
    <t xml:space="preserve">01.10.2025 
08.12.2025 
</t>
  </si>
  <si>
    <t>Advt published for 10 Posts by MPSC in July 2025</t>
  </si>
  <si>
    <t xml:space="preserve">Advertisement published by MPSC for 5 posts in October 2025 
Requisition letter sent for 4 posts on 07.11.2025 
Requisition letter sent for 1 post for compassionate appointment 
</t>
  </si>
  <si>
    <t xml:space="preserve">Advertisement published by MPSC on 06.10.2025 
</t>
  </si>
  <si>
    <t>23 posts
28.11.2025</t>
  </si>
  <si>
    <t>25 posts
03.11.2022 
Recruitment in last stage</t>
  </si>
  <si>
    <t>14 post are for 2026
Requsition has been sent for 3 exam 30/5/25</t>
  </si>
  <si>
    <t>Requisition for 28 post sent to MPSC 24/10/24, 07 under process
Advt. Published on 18.03.2025</t>
  </si>
  <si>
    <t>Requisition for 86 post sent to MPSC 24/10/24,
Advt. Published on 18.03.2025</t>
  </si>
  <si>
    <t>(55 Posts) 
(13/11/2025, 18/12/2025)</t>
  </si>
  <si>
    <t>Requisition for 9 post sent to MPSC 26/06/24
Advertisement Published 24.02.2023 &amp; 05.08.2024
Details of requisition not found in dept ppt and MPSC requisition data</t>
  </si>
  <si>
    <t>requisition for 2 post sent to MPSC 05/07/2024
Advertisement Published 05.08.2024
As per MPSC Data, requisition sent for 2 posts on 07.06.2023 and advt published on 06.08.2024</t>
  </si>
  <si>
    <t>13/11/2025 
(2 Posts)</t>
  </si>
  <si>
    <t xml:space="preserve">Advertisement for 7 vacant post has been published by MPSC on 08.05.2024 and for 5 vacant post on 08.01.2026 
Requisition for remaining 9 vacant post has been sent on 19 th January,2026 to MPSC. 
</t>
  </si>
  <si>
    <t>Recruitment for the year 2023 completed. Merit List awaited. Therefore no roster and requisition to be sent for the year 2025-2026</t>
  </si>
  <si>
    <t>Sent for 206 posts
Dept ppt says "No" for both requisition and roster</t>
  </si>
  <si>
    <t>Sent for 5 posts
Dept ppt says "No" for both requisition and roster</t>
  </si>
  <si>
    <t xml:space="preserve">Rejected
</t>
  </si>
  <si>
    <t>sent for 3 posts
Dept ppt says "No" for both requisition and roster</t>
  </si>
  <si>
    <t>46 posts
Dept ppt says "No" for both requisition and roster</t>
  </si>
  <si>
    <t>86 posts
Dept ppt says "No" for both requisition and roster</t>
  </si>
  <si>
    <t>Dept ppt says "No" for both requisition and roster</t>
  </si>
  <si>
    <t>1 post
Dept ppt says "No" for both requisition and roster</t>
  </si>
  <si>
    <t>4 posts
Dept ppt says "No" for both requisition and roster</t>
  </si>
  <si>
    <t>18 posts
Dept ppt says "No" for both requisition and roster</t>
  </si>
  <si>
    <t>3 posts
Dept ppt says "No" for both requisition and roster</t>
  </si>
  <si>
    <t>44 posts
Dept ppt says "No" for both requisition and roster</t>
  </si>
  <si>
    <t>Dept PPT says requisition as Not Sent and Roster is updated</t>
  </si>
  <si>
    <t>OS</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</si>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</sst>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d\-yyyy"/>
  </numFmts>
  <fonts count="9" x14ac:knownFonts="1">
    <font>
      <sz val="10"/>
      <color rgb="FF000000"/>
      <name val="Arial"/>
      <scheme val="minor"/>
    </font>
    <font>
      <u/>
      <sz val="10"/>
      <color theme="10"/>
      <name val="Arial"/>
      <scheme val="minor"/>
    </font>
    <font>
      <sz val="10"/>
      <color rgb="FF000000"/>
      <name val="Arial"/>
      <scheme val="minor"/>
    </font>
    <font>
      <b/>
      <sz val="10"/>
      <color theme="1"/>
      <name val="Aptos Display"/>
      <family val="2"/>
    </font>
    <font>
      <sz val="10"/>
      <color theme="1"/>
      <name val="Aptos Display"/>
      <family val="2"/>
    </font>
    <font>
      <sz val="10"/>
      <color rgb="FFFF0000"/>
      <name val="Aptos Display"/>
      <family val="2"/>
    </font>
    <font>
      <sz val="10"/>
      <color rgb="FF000000"/>
      <name val="Aptos Display"/>
      <family val="2"/>
    </font>
    <font>
      <u/>
      <sz val="10"/>
      <color rgb="FF000000"/>
      <name val="Aptos Display"/>
      <family val="2"/>
    </font>
    <font>
      <u/>
      <sz val="10"/>
      <color theme="10"/>
      <name val="Aptos Display"/>
      <family val="2"/>
    </font>
  </fonts>
  <fills count="17">
    <fill>
      <patternFill patternType="none"/>
    </fill>
    <fill>
      <patternFill patternType="gray125"/>
    </fill>
    <fill>
      <patternFill patternType="solid">
        <fgColor rgb="FFDDEBF7"/>
        <bgColor rgb="FFDDEBF7"/>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
      <patternFill patternType="solid">
        <fgColor rgb="FFFFFF00"/>
        <bgColor rgb="FFFFFF00"/>
      </patternFill>
    </fill>
    <fill>
      <patternFill patternType="solid">
        <fgColor rgb="FFC00000"/>
        <bgColor rgb="FFC00000"/>
      </patternFill>
    </fill>
    <fill>
      <patternFill patternType="solid">
        <fgColor rgb="FFEA9999"/>
        <bgColor rgb="FFEA9999"/>
      </patternFill>
    </fill>
    <fill>
      <patternFill patternType="solid">
        <fgColor rgb="FFFFFFFF"/>
        <bgColor rgb="FFFFFFFF"/>
      </patternFill>
    </fill>
    <fill>
      <patternFill patternType="solid">
        <fgColor rgb="FFFCE5CD"/>
        <bgColor rgb="FFFCE5CD"/>
      </patternFill>
    </fill>
    <fill>
      <patternFill patternType="solid">
        <fgColor rgb="FFFFFF00"/>
        <bgColor indexed="64"/>
      </patternFill>
    </fill>
    <fill>
      <patternFill patternType="solid">
        <fgColor rgb="FFFCE4D6"/>
        <bgColor indexed="64"/>
      </patternFill>
    </fill>
    <fill>
      <patternFill patternType="solid">
        <fgColor rgb="FFC00000"/>
        <bgColor indexed="64"/>
      </patternFill>
    </fill>
    <fill>
      <patternFill patternType="solid">
        <fgColor rgb="FFE2EFDA"/>
        <bgColor indexed="64"/>
      </patternFill>
    </fill>
    <fill>
      <patternFill patternType="solid">
        <fgColor rgb="FFFCE5CD"/>
        <bgColor indexed="64"/>
      </patternFill>
    </fill>
    <fill>
      <patternFill patternType="solid">
        <fgColor rgb="FFFFFFFF"/>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rgb="FF000000"/>
      </left>
      <right style="thin">
        <color rgb="FF000000"/>
      </right>
      <top/>
      <bottom/>
      <diagonal/>
    </border>
  </borders>
  <cellStyleXfs count="3">
    <xf numFmtId="0" fontId="0" fillId="0" borderId="0"/>
    <xf numFmtId="0" fontId="1" fillId="0" borderId="0" applyNumberFormat="0" applyFill="0" applyBorder="0" applyAlignment="0" applyProtection="0"/>
    <xf numFmtId="9" fontId="2" fillId="0" borderId="0" applyFont="0" applyFill="0" applyBorder="0" applyAlignment="0" applyProtection="0"/>
  </cellStyleXfs>
  <cellXfs count="73">
    <xf numFmtId="0" fontId="0" fillId="0" borderId="0" xfId="0"/>
    <xf numFmtId="0" fontId="4" fillId="0" borderId="1" xfId="0" applyFont="1" applyBorder="1" applyAlignment="1">
      <alignment horizontal="center" vertical="center" wrapText="1"/>
    </xf>
    <xf numFmtId="0" fontId="6" fillId="0" borderId="5" xfId="0" applyFont="1" applyBorder="1" applyAlignment="1">
      <alignment horizontal="center" vertical="center" wrapText="1"/>
    </xf>
    <xf numFmtId="0" fontId="5" fillId="0" borderId="6" xfId="0" applyFont="1" applyBorder="1" applyAlignment="1">
      <alignment horizontal="center" vertical="center" wrapText="1"/>
    </xf>
    <xf numFmtId="0" fontId="6" fillId="0" borderId="6" xfId="0" applyFont="1" applyBorder="1" applyAlignment="1">
      <alignment horizontal="center" vertical="center" wrapText="1"/>
    </xf>
    <xf numFmtId="0" fontId="6" fillId="0" borderId="6" xfId="0" applyFont="1" applyBorder="1" applyAlignment="1">
      <alignment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8" xfId="0" applyFont="1" applyBorder="1" applyAlignment="1">
      <alignment vertical="center" wrapText="1"/>
    </xf>
    <xf numFmtId="0" fontId="6" fillId="0" borderId="7" xfId="0" applyFont="1" applyBorder="1" applyAlignment="1">
      <alignment vertical="center" wrapText="1"/>
    </xf>
    <xf numFmtId="0" fontId="6" fillId="11" borderId="8" xfId="0" applyFont="1" applyFill="1" applyBorder="1" applyAlignment="1">
      <alignment horizontal="center" vertical="center" wrapText="1"/>
    </xf>
    <xf numFmtId="0" fontId="6" fillId="12" borderId="7" xfId="0" applyFont="1" applyFill="1" applyBorder="1" applyAlignment="1">
      <alignment horizontal="center" vertical="center" wrapText="1"/>
    </xf>
    <xf numFmtId="0" fontId="6" fillId="12" borderId="8" xfId="0" applyFont="1" applyFill="1" applyBorder="1" applyAlignment="1">
      <alignment horizontal="center" vertical="center" wrapText="1"/>
    </xf>
    <xf numFmtId="0" fontId="6" fillId="12" borderId="8" xfId="0" applyFont="1" applyFill="1" applyBorder="1" applyAlignment="1">
      <alignment vertical="center" wrapText="1"/>
    </xf>
    <xf numFmtId="0" fontId="6" fillId="0" borderId="8" xfId="0" applyFont="1" applyBorder="1" applyAlignment="1">
      <alignment wrapText="1"/>
    </xf>
    <xf numFmtId="0" fontId="6" fillId="11" borderId="8" xfId="0" applyFont="1" applyFill="1" applyBorder="1" applyAlignment="1">
      <alignment vertical="center" wrapText="1"/>
    </xf>
    <xf numFmtId="0" fontId="6" fillId="13" borderId="7" xfId="0" applyFont="1" applyFill="1" applyBorder="1" applyAlignment="1">
      <alignment horizontal="center" vertical="center" wrapText="1"/>
    </xf>
    <xf numFmtId="0" fontId="6" fillId="13" borderId="8" xfId="0" applyFont="1" applyFill="1" applyBorder="1" applyAlignment="1">
      <alignment horizontal="center" vertical="center" wrapText="1"/>
    </xf>
    <xf numFmtId="14" fontId="6" fillId="0" borderId="8" xfId="0" applyNumberFormat="1" applyFont="1" applyBorder="1" applyAlignment="1">
      <alignment horizontal="center" vertical="center" wrapText="1"/>
    </xf>
    <xf numFmtId="0" fontId="6" fillId="13" borderId="8" xfId="0" applyFont="1" applyFill="1" applyBorder="1" applyAlignment="1">
      <alignment vertical="center" wrapText="1"/>
    </xf>
    <xf numFmtId="0" fontId="8" fillId="0" borderId="8" xfId="1" applyFont="1" applyBorder="1" applyAlignment="1">
      <alignment horizontal="center" vertical="center" wrapText="1"/>
    </xf>
    <xf numFmtId="0" fontId="6" fillId="14" borderId="8" xfId="0" applyFont="1" applyFill="1" applyBorder="1" applyAlignment="1">
      <alignment horizontal="center" vertical="center" wrapText="1"/>
    </xf>
    <xf numFmtId="0" fontId="6" fillId="15" borderId="7" xfId="0" applyFont="1" applyFill="1" applyBorder="1" applyAlignment="1">
      <alignment horizontal="center" vertical="center" wrapText="1"/>
    </xf>
    <xf numFmtId="0" fontId="6" fillId="15" borderId="8" xfId="0" applyFont="1" applyFill="1" applyBorder="1" applyAlignment="1">
      <alignment vertical="center" wrapText="1"/>
    </xf>
    <xf numFmtId="0" fontId="6" fillId="15" borderId="8" xfId="0" applyFont="1" applyFill="1" applyBorder="1" applyAlignment="1">
      <alignment horizontal="center" vertical="center" wrapText="1"/>
    </xf>
    <xf numFmtId="0" fontId="6" fillId="16" borderId="7" xfId="0" applyFont="1" applyFill="1" applyBorder="1" applyAlignment="1">
      <alignment horizontal="center" vertical="center" wrapText="1"/>
    </xf>
    <xf numFmtId="0" fontId="6" fillId="16" borderId="8" xfId="0" applyFont="1" applyFill="1" applyBorder="1" applyAlignment="1">
      <alignment horizontal="center" vertical="center" wrapText="1"/>
    </xf>
    <xf numFmtId="0" fontId="6" fillId="16" borderId="7" xfId="0" applyFont="1" applyFill="1" applyBorder="1" applyAlignment="1">
      <alignment vertical="center" wrapText="1"/>
    </xf>
    <xf numFmtId="0" fontId="6" fillId="12" borderId="7" xfId="0" applyFont="1" applyFill="1" applyBorder="1" applyAlignment="1">
      <alignment vertical="center" wrapText="1"/>
    </xf>
    <xf numFmtId="0" fontId="6" fillId="16" borderId="8" xfId="0" applyFont="1" applyFill="1" applyBorder="1" applyAlignment="1">
      <alignment vertical="center" wrapText="1"/>
    </xf>
    <xf numFmtId="0" fontId="3" fillId="2" borderId="3"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4" borderId="9" xfId="0" applyFont="1" applyFill="1" applyBorder="1" applyAlignment="1">
      <alignment horizontal="center" vertical="center" wrapText="1"/>
    </xf>
    <xf numFmtId="49" fontId="3" fillId="3" borderId="2" xfId="0" applyNumberFormat="1" applyFont="1" applyFill="1" applyBorder="1" applyAlignment="1">
      <alignment horizontal="center" vertical="center" wrapText="1"/>
    </xf>
    <xf numFmtId="49" fontId="3" fillId="3" borderId="0" xfId="0" applyNumberFormat="1" applyFont="1" applyFill="1" applyAlignment="1">
      <alignment horizontal="center" vertical="center" wrapText="1"/>
    </xf>
    <xf numFmtId="0" fontId="4" fillId="0" borderId="4" xfId="0" applyFont="1" applyBorder="1" applyAlignment="1">
      <alignment horizontal="center" vertical="center" wrapText="1"/>
    </xf>
    <xf numFmtId="14" fontId="4" fillId="0" borderId="4" xfId="0" applyNumberFormat="1" applyFont="1" applyBorder="1" applyAlignment="1">
      <alignment horizontal="center" vertical="center" wrapText="1"/>
    </xf>
    <xf numFmtId="0" fontId="4" fillId="0" borderId="4" xfId="0" applyFont="1" applyBorder="1" applyAlignment="1">
      <alignment horizontal="left" vertical="center" wrapText="1"/>
    </xf>
    <xf numFmtId="0" fontId="6" fillId="0" borderId="4" xfId="0" applyFont="1" applyBorder="1" applyAlignment="1">
      <alignment horizontal="center" vertical="center" wrapText="1"/>
    </xf>
    <xf numFmtId="0" fontId="5" fillId="0" borderId="4" xfId="0" applyFont="1" applyBorder="1" applyAlignment="1">
      <alignment horizontal="center" vertical="center" wrapText="1"/>
    </xf>
    <xf numFmtId="0" fontId="6" fillId="0" borderId="4" xfId="0" applyFont="1" applyBorder="1" applyAlignment="1">
      <alignment vertical="center" wrapText="1"/>
    </xf>
    <xf numFmtId="9" fontId="6" fillId="0" borderId="4" xfId="2" applyFont="1" applyBorder="1" applyAlignment="1">
      <alignment horizontal="center" vertical="center" wrapText="1"/>
    </xf>
    <xf numFmtId="1" fontId="6" fillId="0" borderId="4" xfId="2" applyNumberFormat="1" applyFont="1" applyBorder="1" applyAlignment="1">
      <alignment horizontal="center" vertical="center" wrapText="1"/>
    </xf>
    <xf numFmtId="0" fontId="4" fillId="5" borderId="4" xfId="0" applyFont="1" applyFill="1" applyBorder="1" applyAlignment="1">
      <alignment horizontal="center" vertical="center" wrapText="1"/>
    </xf>
    <xf numFmtId="0" fontId="4" fillId="5" borderId="4" xfId="0" applyFont="1" applyFill="1" applyBorder="1" applyAlignment="1">
      <alignment horizontal="left" vertical="center" wrapText="1"/>
    </xf>
    <xf numFmtId="164" fontId="4" fillId="0" borderId="4" xfId="0" applyNumberFormat="1" applyFont="1" applyBorder="1" applyAlignment="1">
      <alignment horizontal="center" vertical="center" wrapText="1"/>
    </xf>
    <xf numFmtId="0" fontId="6" fillId="0" borderId="4" xfId="0" applyFont="1" applyBorder="1" applyAlignment="1">
      <alignment wrapText="1"/>
    </xf>
    <xf numFmtId="0" fontId="4" fillId="4" borderId="4" xfId="0" applyFont="1" applyFill="1" applyBorder="1" applyAlignment="1">
      <alignment horizontal="center" vertical="center" wrapText="1"/>
    </xf>
    <xf numFmtId="0" fontId="4" fillId="6" borderId="4" xfId="0" applyFont="1" applyFill="1" applyBorder="1" applyAlignment="1">
      <alignment horizontal="center" vertical="center" wrapText="1"/>
    </xf>
    <xf numFmtId="165" fontId="4" fillId="0" borderId="4" xfId="0" applyNumberFormat="1" applyFont="1" applyBorder="1" applyAlignment="1">
      <alignment horizontal="center" vertical="center" wrapText="1"/>
    </xf>
    <xf numFmtId="0" fontId="5" fillId="5" borderId="4" xfId="0" applyFont="1" applyFill="1" applyBorder="1" applyAlignment="1">
      <alignment horizontal="left" vertical="center" wrapText="1"/>
    </xf>
    <xf numFmtId="0" fontId="5" fillId="0" borderId="4" xfId="0" applyFont="1" applyBorder="1" applyAlignment="1">
      <alignment horizontal="left" vertical="center" wrapText="1"/>
    </xf>
    <xf numFmtId="164" fontId="4" fillId="5" borderId="4" xfId="0" applyNumberFormat="1" applyFont="1" applyFill="1" applyBorder="1" applyAlignment="1">
      <alignment horizontal="center" vertical="center" wrapText="1"/>
    </xf>
    <xf numFmtId="0" fontId="6" fillId="5" borderId="4" xfId="0" applyFont="1" applyFill="1" applyBorder="1" applyAlignment="1">
      <alignment vertical="center" wrapText="1"/>
    </xf>
    <xf numFmtId="0" fontId="4" fillId="7" borderId="4" xfId="0" applyFont="1" applyFill="1" applyBorder="1" applyAlignment="1">
      <alignment horizontal="center" vertical="center" wrapText="1"/>
    </xf>
    <xf numFmtId="49" fontId="6" fillId="0" borderId="4" xfId="0" applyNumberFormat="1" applyFont="1" applyBorder="1" applyAlignment="1">
      <alignment horizontal="center" vertical="center" wrapText="1"/>
    </xf>
    <xf numFmtId="0" fontId="4" fillId="0" borderId="4" xfId="0" applyFont="1" applyBorder="1" applyAlignment="1">
      <alignment vertical="center" wrapText="1"/>
    </xf>
    <xf numFmtId="0" fontId="6" fillId="6" borderId="4"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4" fillId="9" borderId="4" xfId="0" applyFont="1" applyFill="1" applyBorder="1" applyAlignment="1">
      <alignment horizontal="center" vertical="center" wrapText="1"/>
    </xf>
    <xf numFmtId="0" fontId="4" fillId="10" borderId="4" xfId="0" applyFont="1" applyFill="1" applyBorder="1" applyAlignment="1">
      <alignment horizontal="center" vertical="center" wrapText="1"/>
    </xf>
    <xf numFmtId="0" fontId="4" fillId="10" borderId="4" xfId="0" applyFont="1" applyFill="1" applyBorder="1" applyAlignment="1">
      <alignment horizontal="left" vertical="center" wrapText="1"/>
    </xf>
    <xf numFmtId="49" fontId="6" fillId="10" borderId="4" xfId="0" applyNumberFormat="1" applyFont="1" applyFill="1" applyBorder="1" applyAlignment="1">
      <alignment horizontal="center" vertical="center" wrapText="1"/>
    </xf>
    <xf numFmtId="0" fontId="6" fillId="0" borderId="4" xfId="0" applyFont="1" applyBorder="1" applyAlignment="1">
      <alignment horizontal="left" vertical="center" wrapText="1"/>
    </xf>
    <xf numFmtId="0" fontId="6" fillId="9" borderId="4" xfId="0" applyFont="1" applyFill="1" applyBorder="1" applyAlignment="1">
      <alignment horizontal="left" vertical="center" wrapText="1"/>
    </xf>
    <xf numFmtId="0" fontId="6" fillId="9" borderId="4"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4" xfId="0" applyFont="1" applyFill="1" applyBorder="1" applyAlignment="1">
      <alignment horizontal="left" vertical="center" wrapText="1"/>
    </xf>
    <xf numFmtId="0" fontId="7" fillId="5" borderId="4" xfId="0" applyFont="1" applyFill="1" applyBorder="1" applyAlignment="1">
      <alignment horizontal="left" vertical="center" wrapText="1"/>
    </xf>
    <xf numFmtId="0" fontId="4" fillId="7" borderId="4" xfId="0" applyFont="1" applyFill="1" applyBorder="1" applyAlignment="1">
      <alignment horizontal="left" vertical="center" wrapText="1"/>
    </xf>
    <xf numFmtId="0" fontId="5" fillId="0" borderId="8" xfId="0" applyFont="1" applyBorder="1" applyAlignment="1">
      <alignment horizontal="center" vertical="center" wrapText="1"/>
    </xf>
    <xf numFmtId="0" fontId="6" fillId="0" borderId="0" xfId="0" applyFont="1" applyAlignment="1">
      <alignment wrapText="1"/>
    </xf>
  </cellXfs>
  <cellStyles count="3">
    <cellStyle name="Hyperlink" xfId="1" builtinId="8"/>
    <cellStyle name="Normal" xfId="0" builtinId="0"/>
    <cellStyle name="Percent" xfId="2" builtinId="5"/>
  </cellStyles>
  <dxfs count="32">
    <dxf>
      <font>
        <b val="0"/>
        <i val="0"/>
        <strike val="0"/>
        <condense val="0"/>
        <extend val="0"/>
        <outline val="0"/>
        <shadow val="0"/>
        <u val="none"/>
        <vertAlign val="baseline"/>
        <sz val="10"/>
        <color rgb="FF000000"/>
        <name val="Aptos Display"/>
        <family val="2"/>
        <scheme val="none"/>
      </font>
      <numFmt numFmtId="1"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Display"/>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Display"/>
        <family val="2"/>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0"/>
        <name val="Aptos Display"/>
        <family val="2"/>
        <scheme val="none"/>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Display"/>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0"/>
        <name val="Aptos Display"/>
        <family val="2"/>
        <scheme val="none"/>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0"/>
        <name val="Aptos Display"/>
        <family val="2"/>
        <scheme val="none"/>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0"/>
        <name val="Aptos Display"/>
        <family val="2"/>
        <scheme val="none"/>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0"/>
        <name val="Aptos Display"/>
        <family val="2"/>
        <scheme val="none"/>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0"/>
        <name val="Aptos Display"/>
        <family val="2"/>
        <scheme val="none"/>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0"/>
        <name val="Aptos Display"/>
        <family val="2"/>
        <scheme val="none"/>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Display"/>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Display"/>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Display"/>
        <family val="2"/>
        <scheme val="none"/>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Display"/>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rgb="FF000000"/>
        </left>
        <right style="thin">
          <color rgb="FF000000"/>
        </right>
        <top style="thin">
          <color rgb="FF000000"/>
        </top>
        <bottom style="thin">
          <color rgb="FF000000"/>
        </bottom>
      </border>
    </dxf>
    <dxf>
      <font>
        <strike val="0"/>
        <outline val="0"/>
        <shadow val="0"/>
        <vertAlign val="baseline"/>
        <sz val="10"/>
        <name val="Aptos Display"/>
        <family val="2"/>
        <scheme val="none"/>
      </font>
      <alignment textRotation="0" wrapText="1" indent="0" justifyLastLine="0" shrinkToFit="0" readingOrder="0"/>
    </dxf>
    <dxf>
      <border outline="0">
        <bottom style="thin">
          <color rgb="FF000000"/>
        </bottom>
      </border>
    </dxf>
    <dxf>
      <font>
        <strike val="0"/>
        <outline val="0"/>
        <shadow val="0"/>
        <vertAlign val="baseline"/>
        <sz val="10"/>
        <name val="Aptos Display"/>
        <family val="2"/>
        <scheme val="none"/>
      </font>
      <alignment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bijeet Singh" id="{E3EE10A5-26BF-40AC-8F81-E8BFEFEAC8D9}"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0EE6F5-FB9F-4D40-AC8B-4B96A5C95F91}" name="Table1" displayName="Table1" ref="A1:AB1291" totalsRowShown="0" headerRowDxfId="31" dataDxfId="29" headerRowBorderDxfId="30" tableBorderDxfId="28">
  <tableColumns count="28">
    <tableColumn id="1" xr3:uid="{B833F953-A5E5-4C04-B5C6-890E5879D627}" name="Column1" dataDxfId="27"/>
    <tableColumn id="2" xr3:uid="{43E93ED2-662B-41A8-95A6-4AC02CBA50B0}" name="To be Reviewed" dataDxfId="26"/>
    <tableColumn id="3" xr3:uid="{F8B8EEAB-22C1-4BC8-AFF5-AF3AB9760882}" name="Akrutibandh Status" dataDxfId="25"/>
    <tableColumn id="4" xr3:uid="{C343A7B9-BD00-4511-8F90-2D1690011002}" name="Akrutibandh Date" dataDxfId="24"/>
    <tableColumn id="5" xr3:uid="{A5BB9AAA-2688-4E6D-ADA7-8D03C7038480}" name="Department" dataDxfId="23"/>
    <tableColumn id="6" xr3:uid="{B5879BF3-608C-4407-8D31-43436C458721}" name="Establishment" dataDxfId="22"/>
    <tableColumn id="7" xr3:uid="{1133DA36-91CF-409F-8950-B6E09753A943}" name="Group" dataDxfId="21"/>
    <tableColumn id="8" xr3:uid="{D5AFE8A6-F048-4C85-9660-E0264128A72D}" name="Cadre Name" dataDxfId="20"/>
    <tableColumn id="9" xr3:uid="{F2C9F547-1B1B-426F-972C-4CBD86871A52}" name="Pay Scale" dataDxfId="19"/>
    <tableColumn id="28" xr3:uid="{C6997986-D96F-42EA-BA4F-1E049F97D53B}" name="Column2" dataDxfId="18">
      <calculatedColumnFormula>_xlfn.CONCAT(E2:I2)</calculatedColumnFormula>
    </tableColumn>
    <tableColumn id="10" xr3:uid="{9AF9E735-AADC-4033-B423-3DDCC29CBF89}" name="Exam Bucket" dataDxfId="17"/>
    <tableColumn id="11" xr3:uid="{B1B8358C-BA75-4C56-9B25-23BC0FD735AD}" name="Exam Scheme" dataDxfId="16"/>
    <tableColumn id="12" xr3:uid="{1D3A0308-AD43-41CC-A027-4B6F00524588}" name="RR Details - Provided by Depts (Before Reforms)" dataDxfId="15"/>
    <tableColumn id="13" xr3:uid="{F38EB788-24D5-4F86-AC63-9C9B969DB01C}" name="RR Details (After Reforms)" dataDxfId="14"/>
    <tableColumn id="14" xr3:uid="{0058EBDE-7E5C-4CB9-8568-EEB9B06195FB}" name="Department Response" dataDxfId="13"/>
    <tableColumn id="15" xr3:uid="{C75F0AED-52FF-4734-A977-DB1B25F47B28}" name="Updated Vacancy_x000a_ (9th Feb 26)" dataDxfId="12"/>
    <tableColumn id="16" xr3:uid="{0F31138F-19E2-458D-9AB4-BD8169DA7B5E}" name="Requisition Status" dataDxfId="11"/>
    <tableColumn id="17" xr3:uid="{B2BE0E14-427E-4C88-A882-5A868A157F4E}" name="Requisition Sent" dataDxfId="10"/>
    <tableColumn id="18" xr3:uid="{A3C26B1E-25A5-4A51-A4FF-D703EE0CFDA2}" name="Requisition/ Roster Remarks" dataDxfId="9"/>
    <tableColumn id="19" xr3:uid="{927D00E3-CF4A-4E68-A4A4-6091EE1D11E0}" name="Updated Roster_x000a_ (Yes / No)" dataDxfId="8"/>
    <tableColumn id="20" xr3:uid="{8CA48891-86CE-4E79-B63B-08F84130F7C3}" name="Roster Remarks" dataDxfId="7"/>
    <tableColumn id="21" xr3:uid="{DD523302-CDCB-4E98-A463-29AEE0891DB7}" name="RR Details - In RRs (Before Reforms)_x000a_Nomination Details" dataDxfId="6"/>
    <tableColumn id="22" xr3:uid="{97799D59-BE9B-441D-B6D8-B1551A69F5B4}" name="RR Details - In RRs (Before Reforms) - Promotion details" dataDxfId="5"/>
    <tableColumn id="23" xr3:uid="{36DE8B0A-93C3-4F4F-9FBC-5E1CE675AB7E}" name="RR Number" dataDxfId="4"/>
    <tableColumn id="24" xr3:uid="{9546DC71-5383-40D8-BA84-F70A5655616A}" name="RR Date" dataDxfId="3"/>
    <tableColumn id="25" xr3:uid="{1C8B5AEB-2F49-45C4-8D0D-789CE6D7B351}" name="Promotion: DR Ratio" dataDxfId="2"/>
    <tableColumn id="26" xr3:uid="{EAC31FB5-3595-4B5D-B757-ED13F9E85BBB}" name="Vacancy Proportion" dataDxfId="1" dataCellStyle="Percent">
      <calculatedColumnFormula>_xlfn.XLOOKUP(C2,#REF!,#REF!,"",0,1)</calculatedColumnFormula>
    </tableColumn>
    <tableColumn id="27" xr3:uid="{474D030D-389A-4922-BDF8-FED942BF5C7F}" name="Vancancy (After Akrutibandh Status)" dataDxfId="0" dataCellStyle="Percent">
      <calculatedColumnFormula>IFERROR(FLOOR(P2*AA2,1),0)</calculatedColumnFormula>
    </tableColumn>
  </tableColumns>
  <tableStyleInfo name="TableStyleLight8"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N17" dT="2026-04-02T20:04:15.00" personId="{E3EE10A5-26BF-40AC-8F81-E8BFEFEAC8D9}" id="{3576D799-8893-4FC3-92C9-9202633B9F3D}">
    <text>Need to change depending on actual RR details</text>
  </threadedComment>
  <threadedComment ref="G68" dT="2026-04-02T21:54:58.00" personId="{E3EE10A5-26BF-40AC-8F81-E8BFEFEAC8D9}" id="{D487F76F-69BD-4486-BA4E-07FB938EB205}">
    <text>Dept says it B(G)</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awaited.so/" TargetMode="External"/><Relationship Id="rId1" Type="http://schemas.openxmlformats.org/officeDocument/2006/relationships/hyperlink" Target="http://h.sc/"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291"/>
  <sheetViews>
    <sheetView tabSelected="1" workbookViewId="0">
      <pane xSplit="8" ySplit="1" topLeftCell="N1214" activePane="bottomRight" state="frozen"/>
      <selection pane="topRight" activeCell="I1" sqref="I1"/>
      <selection pane="bottomLeft" activeCell="A2" sqref="A2"/>
      <selection pane="bottomRight" activeCell="B1" sqref="B1"/>
    </sheetView>
  </sheetViews>
  <sheetFormatPr defaultColWidth="12.6328125" defaultRowHeight="12.5" x14ac:dyDescent="0.25"/>
  <cols>
    <col min="1" max="1" width="7.7265625" hidden="1" customWidth="1"/>
    <col min="2" max="2" width="16.6328125" customWidth="1"/>
    <col min="3" max="3" width="17.90625" customWidth="1"/>
    <col min="4" max="4" width="35.1796875" customWidth="1"/>
    <col min="5" max="5" width="30" customWidth="1"/>
    <col min="6" max="6" width="30.54296875" customWidth="1"/>
    <col min="8" max="8" width="20.7265625" customWidth="1"/>
    <col min="11" max="11" width="20.453125" customWidth="1"/>
    <col min="12" max="12" width="24.08984375" customWidth="1"/>
    <col min="13" max="13" width="58.08984375" customWidth="1"/>
    <col min="14" max="14" width="45" customWidth="1"/>
    <col min="15" max="15" width="20.36328125" customWidth="1"/>
    <col min="17" max="17" width="17.1796875" customWidth="1"/>
    <col min="18" max="18" width="15.6328125" customWidth="1"/>
    <col min="19" max="19" width="41.90625" customWidth="1"/>
    <col min="21" max="21" width="12.6328125" hidden="1"/>
    <col min="22" max="22" width="69.6328125" customWidth="1"/>
    <col min="23" max="23" width="65.453125" customWidth="1"/>
    <col min="24" max="24" width="21.90625" customWidth="1"/>
    <col min="26" max="26" width="19.36328125" customWidth="1"/>
  </cols>
  <sheetData>
    <row r="1" spans="1:28" ht="52.5" thickBot="1" x14ac:dyDescent="0.3">
      <c r="A1" s="30" t="s">
        <v>3228</v>
      </c>
      <c r="B1" s="31" t="s">
        <v>0</v>
      </c>
      <c r="C1" s="31" t="s">
        <v>1</v>
      </c>
      <c r="D1" s="31" t="s">
        <v>2</v>
      </c>
      <c r="E1" s="31" t="s">
        <v>3</v>
      </c>
      <c r="F1" s="31" t="s">
        <v>4</v>
      </c>
      <c r="G1" s="31" t="s">
        <v>5</v>
      </c>
      <c r="H1" s="31" t="s">
        <v>6</v>
      </c>
      <c r="I1" s="31" t="s">
        <v>7</v>
      </c>
      <c r="J1" s="31" t="s">
        <v>3277</v>
      </c>
      <c r="K1" s="31" t="s">
        <v>8</v>
      </c>
      <c r="L1" s="31" t="s">
        <v>9</v>
      </c>
      <c r="M1" s="31" t="s">
        <v>10</v>
      </c>
      <c r="N1" s="31" t="s">
        <v>11</v>
      </c>
      <c r="O1" s="32" t="s">
        <v>12</v>
      </c>
      <c r="P1" s="32" t="s">
        <v>13</v>
      </c>
      <c r="Q1" s="32" t="s">
        <v>14</v>
      </c>
      <c r="R1" s="32" t="s">
        <v>15</v>
      </c>
      <c r="S1" s="32" t="s">
        <v>16</v>
      </c>
      <c r="T1" s="32" t="s">
        <v>17</v>
      </c>
      <c r="U1" s="32" t="s">
        <v>18</v>
      </c>
      <c r="V1" s="31" t="s">
        <v>19</v>
      </c>
      <c r="W1" s="31" t="s">
        <v>20</v>
      </c>
      <c r="X1" s="33" t="s">
        <v>21</v>
      </c>
      <c r="Y1" s="33" t="s">
        <v>22</v>
      </c>
      <c r="Z1" s="34" t="s">
        <v>23</v>
      </c>
      <c r="AA1" s="34" t="s">
        <v>3229</v>
      </c>
      <c r="AB1" s="35" t="s">
        <v>3230</v>
      </c>
    </row>
    <row r="2" spans="1:28" ht="117.5" thickBot="1" x14ac:dyDescent="0.3">
      <c r="A2" s="36">
        <v>1</v>
      </c>
      <c r="B2" s="36" t="s">
        <v>24</v>
      </c>
      <c r="C2" s="36" t="s">
        <v>25</v>
      </c>
      <c r="D2" s="37">
        <v>39955</v>
      </c>
      <c r="E2" s="36" t="s">
        <v>26</v>
      </c>
      <c r="F2" s="36" t="s">
        <v>27</v>
      </c>
      <c r="G2" s="36" t="s">
        <v>28</v>
      </c>
      <c r="H2" s="36" t="s">
        <v>29</v>
      </c>
      <c r="I2" s="36" t="s">
        <v>30</v>
      </c>
      <c r="J2" s="36" t="str">
        <f t="shared" ref="J2:J65" si="0">_xlfn.CONCAT(E2:I2)</f>
        <v>AgricultureAgriculture EstablishmentAAdministrative Service Gr-A Administrative OfficerS18 (49100 - 155800)</v>
      </c>
      <c r="K2" s="36"/>
      <c r="L2" s="36"/>
      <c r="M2" s="38" t="s">
        <v>31</v>
      </c>
      <c r="N2" s="36" t="s">
        <v>32</v>
      </c>
      <c r="O2" s="2" t="s">
        <v>33</v>
      </c>
      <c r="P2" s="3">
        <v>2</v>
      </c>
      <c r="Q2" s="4" t="s">
        <v>34</v>
      </c>
      <c r="R2" s="5"/>
      <c r="S2" s="5"/>
      <c r="T2" s="4" t="s">
        <v>3276</v>
      </c>
      <c r="U2" s="36" t="s">
        <v>36</v>
      </c>
      <c r="V2" s="38"/>
      <c r="W2" s="36"/>
      <c r="X2" s="36"/>
      <c r="Y2" s="36"/>
      <c r="Z2" s="41"/>
      <c r="AA2" s="42" t="e">
        <f>_xlfn.XLOOKUP(C2,#REF!,#REF!,"",0,1)</f>
        <v>#REF!</v>
      </c>
      <c r="AB2" s="43">
        <f t="shared" ref="AB2:AB65" si="1">IFERROR(FLOOR(P2*AA2,1),0)</f>
        <v>0</v>
      </c>
    </row>
    <row r="3" spans="1:28" ht="104.5" thickBot="1" x14ac:dyDescent="0.3">
      <c r="A3" s="36">
        <v>2</v>
      </c>
      <c r="B3" s="36" t="s">
        <v>24</v>
      </c>
      <c r="C3" s="36" t="s">
        <v>25</v>
      </c>
      <c r="D3" s="37">
        <v>39955</v>
      </c>
      <c r="E3" s="36" t="s">
        <v>26</v>
      </c>
      <c r="F3" s="36" t="s">
        <v>27</v>
      </c>
      <c r="G3" s="36" t="s">
        <v>28</v>
      </c>
      <c r="H3" s="36" t="s">
        <v>37</v>
      </c>
      <c r="I3" s="36" t="s">
        <v>38</v>
      </c>
      <c r="J3" s="36" t="str">
        <f t="shared" si="0"/>
        <v>AgricultureAgriculture EstablishmentAM.A.S. Group-A
  (Dy Director)S20 (56100 - 177500)</v>
      </c>
      <c r="K3" s="36" t="s">
        <v>39</v>
      </c>
      <c r="L3" s="36" t="s">
        <v>247</v>
      </c>
      <c r="M3" s="38" t="s">
        <v>40</v>
      </c>
      <c r="N3" s="36" t="s">
        <v>41</v>
      </c>
      <c r="O3" s="6" t="s">
        <v>33</v>
      </c>
      <c r="P3" s="7">
        <v>24</v>
      </c>
      <c r="Q3" s="7" t="s">
        <v>34</v>
      </c>
      <c r="R3" s="8"/>
      <c r="S3" s="8"/>
      <c r="T3" s="7" t="s">
        <v>35</v>
      </c>
      <c r="U3" s="36" t="s">
        <v>36</v>
      </c>
      <c r="V3" s="38"/>
      <c r="W3" s="36"/>
      <c r="X3" s="36"/>
      <c r="Y3" s="36"/>
      <c r="Z3" s="41"/>
      <c r="AA3" s="42" t="e">
        <f>_xlfn.XLOOKUP(C3,#REF!,#REF!,"",0,1)</f>
        <v>#REF!</v>
      </c>
      <c r="AB3" s="43">
        <f t="shared" si="1"/>
        <v>0</v>
      </c>
    </row>
    <row r="4" spans="1:28" ht="156.5" thickBot="1" x14ac:dyDescent="0.3">
      <c r="A4" s="36">
        <v>3</v>
      </c>
      <c r="B4" s="36" t="s">
        <v>24</v>
      </c>
      <c r="C4" s="36" t="s">
        <v>25</v>
      </c>
      <c r="D4" s="37">
        <v>39955</v>
      </c>
      <c r="E4" s="36" t="s">
        <v>26</v>
      </c>
      <c r="F4" s="36" t="s">
        <v>27</v>
      </c>
      <c r="G4" s="36" t="s">
        <v>42</v>
      </c>
      <c r="H4" s="36" t="s">
        <v>43</v>
      </c>
      <c r="I4" s="36" t="s">
        <v>44</v>
      </c>
      <c r="J4" s="36" t="str">
        <f t="shared" si="0"/>
        <v>AgricultureAgriculture EstablishmentB (Gazetted)Administrative Service Gr-B
  Asst. Administrative OfficerS15 (41800 - 132300)</v>
      </c>
      <c r="K4" s="36" t="s">
        <v>45</v>
      </c>
      <c r="L4" s="36" t="s">
        <v>247</v>
      </c>
      <c r="M4" s="38" t="s">
        <v>46</v>
      </c>
      <c r="N4" s="36" t="s">
        <v>47</v>
      </c>
      <c r="O4" s="6" t="s">
        <v>33</v>
      </c>
      <c r="P4" s="7">
        <v>9</v>
      </c>
      <c r="Q4" s="7" t="s">
        <v>34</v>
      </c>
      <c r="R4" s="8"/>
      <c r="S4" s="8"/>
      <c r="T4" s="7" t="s">
        <v>35</v>
      </c>
      <c r="U4" s="36" t="s">
        <v>48</v>
      </c>
      <c r="V4" s="38"/>
      <c r="W4" s="36"/>
      <c r="X4" s="36"/>
      <c r="Y4" s="36"/>
      <c r="Z4" s="41"/>
      <c r="AA4" s="42" t="e">
        <f>_xlfn.XLOOKUP(C4,#REF!,#REF!,"",0,1)</f>
        <v>#REF!</v>
      </c>
      <c r="AB4" s="43">
        <f t="shared" si="1"/>
        <v>0</v>
      </c>
    </row>
    <row r="5" spans="1:28" ht="143.5" thickBot="1" x14ac:dyDescent="0.3">
      <c r="A5" s="36">
        <v>4</v>
      </c>
      <c r="B5" s="36" t="s">
        <v>24</v>
      </c>
      <c r="C5" s="36" t="s">
        <v>25</v>
      </c>
      <c r="D5" s="37">
        <v>39955</v>
      </c>
      <c r="E5" s="36" t="s">
        <v>26</v>
      </c>
      <c r="F5" s="36" t="s">
        <v>27</v>
      </c>
      <c r="G5" s="36" t="s">
        <v>42</v>
      </c>
      <c r="H5" s="36" t="s">
        <v>49</v>
      </c>
      <c r="I5" s="36" t="s">
        <v>44</v>
      </c>
      <c r="J5" s="36" t="str">
        <f t="shared" si="0"/>
        <v>AgricultureAgriculture EstablishmentB (Gazetted)M.A.S. Gr-B (Jr.) Gazzeted (Agriculture Officer)S15 (41800 - 132300)</v>
      </c>
      <c r="K5" s="36" t="s">
        <v>39</v>
      </c>
      <c r="L5" s="36" t="s">
        <v>247</v>
      </c>
      <c r="M5" s="38" t="s">
        <v>50</v>
      </c>
      <c r="N5" s="36" t="s">
        <v>41</v>
      </c>
      <c r="O5" s="6" t="s">
        <v>33</v>
      </c>
      <c r="P5" s="7">
        <v>137</v>
      </c>
      <c r="Q5" s="7" t="s">
        <v>34</v>
      </c>
      <c r="R5" s="8"/>
      <c r="S5" s="8"/>
      <c r="T5" s="7" t="s">
        <v>35</v>
      </c>
      <c r="U5" s="36" t="s">
        <v>36</v>
      </c>
      <c r="V5" s="38"/>
      <c r="W5" s="36"/>
      <c r="X5" s="36"/>
      <c r="Y5" s="36"/>
      <c r="Z5" s="41"/>
      <c r="AA5" s="42" t="e">
        <f>_xlfn.XLOOKUP(C5,#REF!,#REF!,"",0,1)</f>
        <v>#REF!</v>
      </c>
      <c r="AB5" s="43">
        <f t="shared" si="1"/>
        <v>0</v>
      </c>
    </row>
    <row r="6" spans="1:28" ht="143.5" thickBot="1" x14ac:dyDescent="0.3">
      <c r="A6" s="36">
        <v>5</v>
      </c>
      <c r="B6" s="36" t="s">
        <v>24</v>
      </c>
      <c r="C6" s="36" t="s">
        <v>25</v>
      </c>
      <c r="D6" s="37">
        <v>39955</v>
      </c>
      <c r="E6" s="36" t="s">
        <v>26</v>
      </c>
      <c r="F6" s="36" t="s">
        <v>27</v>
      </c>
      <c r="G6" s="36" t="s">
        <v>42</v>
      </c>
      <c r="H6" s="36" t="s">
        <v>51</v>
      </c>
      <c r="I6" s="36" t="s">
        <v>44</v>
      </c>
      <c r="J6" s="36" t="str">
        <f t="shared" si="0"/>
        <v>AgricultureAgriculture EstablishmentB (Gazetted)Agriculture officer (Zilla Parishad) Gr. B (Jr.) (Gazetted)S15 (41800 - 132300)</v>
      </c>
      <c r="K6" s="36" t="s">
        <v>39</v>
      </c>
      <c r="L6" s="36" t="s">
        <v>247</v>
      </c>
      <c r="M6" s="38" t="s">
        <v>52</v>
      </c>
      <c r="N6" s="36" t="s">
        <v>41</v>
      </c>
      <c r="O6" s="9"/>
      <c r="P6" s="7">
        <v>236</v>
      </c>
      <c r="Q6" s="7" t="s">
        <v>34</v>
      </c>
      <c r="R6" s="8"/>
      <c r="S6" s="8"/>
      <c r="T6" s="7" t="s">
        <v>35</v>
      </c>
      <c r="U6" s="36"/>
      <c r="V6" s="38"/>
      <c r="W6" s="36"/>
      <c r="X6" s="36"/>
      <c r="Y6" s="36"/>
      <c r="Z6" s="41"/>
      <c r="AA6" s="42" t="e">
        <f>_xlfn.XLOOKUP(C6,#REF!,#REF!,"",0,1)</f>
        <v>#REF!</v>
      </c>
      <c r="AB6" s="43">
        <f t="shared" si="1"/>
        <v>0</v>
      </c>
    </row>
    <row r="7" spans="1:28" ht="130.5" thickBot="1" x14ac:dyDescent="0.3">
      <c r="A7" s="36">
        <v>6</v>
      </c>
      <c r="B7" s="36" t="s">
        <v>24</v>
      </c>
      <c r="C7" s="36" t="s">
        <v>25</v>
      </c>
      <c r="D7" s="37">
        <v>39955</v>
      </c>
      <c r="E7" s="36" t="s">
        <v>26</v>
      </c>
      <c r="F7" s="36" t="s">
        <v>27</v>
      </c>
      <c r="G7" s="36" t="s">
        <v>42</v>
      </c>
      <c r="H7" s="36" t="s">
        <v>53</v>
      </c>
      <c r="I7" s="36" t="s">
        <v>54</v>
      </c>
      <c r="J7" s="36" t="str">
        <f t="shared" si="0"/>
        <v>AgricultureAgriculture EstablishmentB (Gazetted)M.A.S. Group-B
  (Technical Officer)S16 (44900 - 142400)</v>
      </c>
      <c r="K7" s="36" t="s">
        <v>39</v>
      </c>
      <c r="L7" s="36" t="s">
        <v>247</v>
      </c>
      <c r="M7" s="38" t="s">
        <v>40</v>
      </c>
      <c r="N7" s="36" t="s">
        <v>41</v>
      </c>
      <c r="O7" s="6" t="s">
        <v>33</v>
      </c>
      <c r="P7" s="7">
        <v>78</v>
      </c>
      <c r="Q7" s="7" t="s">
        <v>34</v>
      </c>
      <c r="R7" s="8"/>
      <c r="S7" s="8"/>
      <c r="T7" s="7" t="s">
        <v>35</v>
      </c>
      <c r="U7" s="36" t="s">
        <v>36</v>
      </c>
      <c r="V7" s="38"/>
      <c r="W7" s="36"/>
      <c r="X7" s="36"/>
      <c r="Y7" s="36"/>
      <c r="Z7" s="41"/>
      <c r="AA7" s="42" t="e">
        <f>_xlfn.XLOOKUP(C7,#REF!,#REF!,"",0,1)</f>
        <v>#REF!</v>
      </c>
      <c r="AB7" s="43">
        <f t="shared" si="1"/>
        <v>0</v>
      </c>
    </row>
    <row r="8" spans="1:28" ht="91.5" thickBot="1" x14ac:dyDescent="0.3">
      <c r="A8" s="36">
        <v>7</v>
      </c>
      <c r="B8" s="36" t="s">
        <v>24</v>
      </c>
      <c r="C8" s="36" t="s">
        <v>25</v>
      </c>
      <c r="D8" s="37">
        <v>39955</v>
      </c>
      <c r="E8" s="36" t="s">
        <v>26</v>
      </c>
      <c r="F8" s="36" t="s">
        <v>27</v>
      </c>
      <c r="G8" s="36" t="s">
        <v>55</v>
      </c>
      <c r="H8" s="36" t="s">
        <v>56</v>
      </c>
      <c r="I8" s="36" t="s">
        <v>57</v>
      </c>
      <c r="J8" s="36" t="str">
        <f t="shared" si="0"/>
        <v>AgricultureAgriculture EstablishmentCAssistant SuperintendentS13 (35400 - 112400)</v>
      </c>
      <c r="K8" s="36" t="s">
        <v>58</v>
      </c>
      <c r="L8" s="36" t="s">
        <v>228</v>
      </c>
      <c r="M8" s="38" t="s">
        <v>59</v>
      </c>
      <c r="N8" s="36" t="s">
        <v>60</v>
      </c>
      <c r="O8" s="6" t="s">
        <v>33</v>
      </c>
      <c r="P8" s="7">
        <v>44</v>
      </c>
      <c r="Q8" s="7" t="s">
        <v>34</v>
      </c>
      <c r="R8" s="8"/>
      <c r="S8" s="8"/>
      <c r="T8" s="7" t="s">
        <v>61</v>
      </c>
      <c r="U8" s="36" t="s">
        <v>36</v>
      </c>
      <c r="V8" s="38" t="s">
        <v>62</v>
      </c>
      <c r="W8" s="36"/>
      <c r="X8" s="36" t="s">
        <v>63</v>
      </c>
      <c r="Y8" s="36" t="s">
        <v>64</v>
      </c>
      <c r="Z8" s="41"/>
      <c r="AA8" s="42" t="e">
        <f>_xlfn.XLOOKUP(C8,#REF!,#REF!,"",0,1)</f>
        <v>#REF!</v>
      </c>
      <c r="AB8" s="43">
        <f t="shared" si="1"/>
        <v>0</v>
      </c>
    </row>
    <row r="9" spans="1:28" ht="117.5" thickBot="1" x14ac:dyDescent="0.3">
      <c r="A9" s="36">
        <v>8</v>
      </c>
      <c r="B9" s="36" t="s">
        <v>24</v>
      </c>
      <c r="C9" s="36" t="s">
        <v>25</v>
      </c>
      <c r="D9" s="37">
        <v>39955</v>
      </c>
      <c r="E9" s="36" t="s">
        <v>26</v>
      </c>
      <c r="F9" s="36" t="s">
        <v>27</v>
      </c>
      <c r="G9" s="36" t="s">
        <v>65</v>
      </c>
      <c r="H9" s="36" t="s">
        <v>66</v>
      </c>
      <c r="I9" s="36" t="s">
        <v>67</v>
      </c>
      <c r="J9" s="36" t="str">
        <f t="shared" si="0"/>
        <v>AgricultureAgriculture EstablishmentB (Non Gazetted)Stenographer (Lower Grade)S14 (38600 - 122800)</v>
      </c>
      <c r="K9" s="36" t="s">
        <v>68</v>
      </c>
      <c r="L9" s="36" t="s">
        <v>231</v>
      </c>
      <c r="M9" s="38" t="s">
        <v>69</v>
      </c>
      <c r="N9" s="36" t="s">
        <v>70</v>
      </c>
      <c r="O9" s="6" t="s">
        <v>33</v>
      </c>
      <c r="P9" s="7">
        <v>7</v>
      </c>
      <c r="Q9" s="7" t="s">
        <v>34</v>
      </c>
      <c r="R9" s="8"/>
      <c r="S9" s="8"/>
      <c r="T9" s="4" t="s">
        <v>3276</v>
      </c>
      <c r="U9" s="36" t="s">
        <v>36</v>
      </c>
      <c r="V9" s="38"/>
      <c r="W9" s="36"/>
      <c r="X9" s="36"/>
      <c r="Y9" s="36"/>
      <c r="Z9" s="41"/>
      <c r="AA9" s="42" t="e">
        <f>_xlfn.XLOOKUP(C9,#REF!,#REF!,"",0,1)</f>
        <v>#REF!</v>
      </c>
      <c r="AB9" s="43">
        <f t="shared" si="1"/>
        <v>0</v>
      </c>
    </row>
    <row r="10" spans="1:28" ht="117.5" thickBot="1" x14ac:dyDescent="0.3">
      <c r="A10" s="36">
        <v>9</v>
      </c>
      <c r="B10" s="36" t="s">
        <v>24</v>
      </c>
      <c r="C10" s="36" t="s">
        <v>25</v>
      </c>
      <c r="D10" s="37">
        <v>39955</v>
      </c>
      <c r="E10" s="36" t="s">
        <v>26</v>
      </c>
      <c r="F10" s="36" t="s">
        <v>27</v>
      </c>
      <c r="G10" s="36" t="s">
        <v>65</v>
      </c>
      <c r="H10" s="36" t="s">
        <v>71</v>
      </c>
      <c r="I10" s="36" t="s">
        <v>44</v>
      </c>
      <c r="J10" s="36" t="str">
        <f t="shared" si="0"/>
        <v>AgricultureAgriculture EstablishmentB (Non Gazetted)Stenographer (Higher Grade)S15 (41800 - 132300)</v>
      </c>
      <c r="K10" s="36" t="s">
        <v>68</v>
      </c>
      <c r="L10" s="36" t="s">
        <v>231</v>
      </c>
      <c r="M10" s="38" t="s">
        <v>72</v>
      </c>
      <c r="N10" s="36" t="s">
        <v>70</v>
      </c>
      <c r="O10" s="6" t="s">
        <v>33</v>
      </c>
      <c r="P10" s="7">
        <v>3</v>
      </c>
      <c r="Q10" s="7" t="s">
        <v>34</v>
      </c>
      <c r="R10" s="8"/>
      <c r="S10" s="8"/>
      <c r="T10" s="4" t="s">
        <v>3276</v>
      </c>
      <c r="U10" s="36" t="s">
        <v>36</v>
      </c>
      <c r="V10" s="38"/>
      <c r="W10" s="36"/>
      <c r="X10" s="36"/>
      <c r="Y10" s="36"/>
      <c r="Z10" s="41"/>
      <c r="AA10" s="42" t="e">
        <f>_xlfn.XLOOKUP(C10,#REF!,#REF!,"",0,1)</f>
        <v>#REF!</v>
      </c>
      <c r="AB10" s="43">
        <f t="shared" si="1"/>
        <v>0</v>
      </c>
    </row>
    <row r="11" spans="1:28" ht="65.5" thickBot="1" x14ac:dyDescent="0.3">
      <c r="A11" s="44">
        <v>10</v>
      </c>
      <c r="B11" s="36" t="s">
        <v>24</v>
      </c>
      <c r="C11" s="36" t="s">
        <v>25</v>
      </c>
      <c r="D11" s="37">
        <v>39955</v>
      </c>
      <c r="E11" s="36" t="s">
        <v>26</v>
      </c>
      <c r="F11" s="36" t="s">
        <v>27</v>
      </c>
      <c r="G11" s="36" t="s">
        <v>55</v>
      </c>
      <c r="H11" s="36" t="s">
        <v>73</v>
      </c>
      <c r="I11" s="36" t="s">
        <v>74</v>
      </c>
      <c r="J11" s="36" t="str">
        <f t="shared" si="0"/>
        <v>AgricultureAgriculture EstablishmentCClerk TypistS6 (19900 - 63200)</v>
      </c>
      <c r="K11" s="36" t="s">
        <v>75</v>
      </c>
      <c r="L11" s="36" t="s">
        <v>228</v>
      </c>
      <c r="M11" s="38" t="s">
        <v>76</v>
      </c>
      <c r="N11" s="36" t="s">
        <v>70</v>
      </c>
      <c r="O11" s="6" t="s">
        <v>33</v>
      </c>
      <c r="P11" s="7">
        <v>429</v>
      </c>
      <c r="Q11" s="7" t="s">
        <v>34</v>
      </c>
      <c r="R11" s="8"/>
      <c r="S11" s="8"/>
      <c r="T11" s="7" t="s">
        <v>61</v>
      </c>
      <c r="U11" s="36" t="s">
        <v>36</v>
      </c>
      <c r="V11" s="38"/>
      <c r="W11" s="36"/>
      <c r="X11" s="36" t="s">
        <v>77</v>
      </c>
      <c r="Y11" s="36" t="s">
        <v>78</v>
      </c>
      <c r="Z11" s="41"/>
      <c r="AA11" s="42" t="e">
        <f>_xlfn.XLOOKUP(C11,#REF!,#REF!,"",0,1)</f>
        <v>#REF!</v>
      </c>
      <c r="AB11" s="43">
        <f t="shared" si="1"/>
        <v>0</v>
      </c>
    </row>
    <row r="12" spans="1:28" ht="91.5" thickBot="1" x14ac:dyDescent="0.3">
      <c r="A12" s="36">
        <v>11</v>
      </c>
      <c r="B12" s="36" t="s">
        <v>24</v>
      </c>
      <c r="C12" s="36" t="s">
        <v>25</v>
      </c>
      <c r="D12" s="37">
        <v>39955</v>
      </c>
      <c r="E12" s="36" t="s">
        <v>26</v>
      </c>
      <c r="F12" s="36" t="s">
        <v>27</v>
      </c>
      <c r="G12" s="36" t="s">
        <v>55</v>
      </c>
      <c r="H12" s="36" t="s">
        <v>79</v>
      </c>
      <c r="I12" s="36" t="s">
        <v>80</v>
      </c>
      <c r="J12" s="36" t="str">
        <f t="shared" si="0"/>
        <v>AgricultureAgriculture EstablishmentCAssistant Agriculture OfficerS8 (25500 - 81100)</v>
      </c>
      <c r="K12" s="36" t="s">
        <v>81</v>
      </c>
      <c r="L12" s="36" t="s">
        <v>225</v>
      </c>
      <c r="M12" s="38" t="s">
        <v>82</v>
      </c>
      <c r="N12" s="36" t="s">
        <v>41</v>
      </c>
      <c r="O12" s="6" t="s">
        <v>83</v>
      </c>
      <c r="P12" s="7">
        <v>932</v>
      </c>
      <c r="Q12" s="7" t="s">
        <v>34</v>
      </c>
      <c r="R12" s="8"/>
      <c r="S12" s="8"/>
      <c r="T12" s="7" t="s">
        <v>61</v>
      </c>
      <c r="U12" s="36" t="s">
        <v>35</v>
      </c>
      <c r="V12" s="38" t="s">
        <v>84</v>
      </c>
      <c r="W12" s="36"/>
      <c r="X12" s="36" t="s">
        <v>85</v>
      </c>
      <c r="Y12" s="36" t="s">
        <v>86</v>
      </c>
      <c r="Z12" s="41"/>
      <c r="AA12" s="42" t="e">
        <f>_xlfn.XLOOKUP(C12,#REF!,#REF!,"",0,1)</f>
        <v>#REF!</v>
      </c>
      <c r="AB12" s="43">
        <f t="shared" si="1"/>
        <v>0</v>
      </c>
    </row>
    <row r="13" spans="1:28" ht="65.5" thickBot="1" x14ac:dyDescent="0.3">
      <c r="A13" s="36">
        <v>12</v>
      </c>
      <c r="B13" s="36" t="s">
        <v>24</v>
      </c>
      <c r="C13" s="36" t="s">
        <v>25</v>
      </c>
      <c r="D13" s="37">
        <v>39955</v>
      </c>
      <c r="E13" s="36" t="s">
        <v>26</v>
      </c>
      <c r="F13" s="36" t="s">
        <v>27</v>
      </c>
      <c r="G13" s="36" t="s">
        <v>55</v>
      </c>
      <c r="H13" s="36" t="s">
        <v>87</v>
      </c>
      <c r="I13" s="36" t="s">
        <v>80</v>
      </c>
      <c r="J13" s="36" t="str">
        <f t="shared" si="0"/>
        <v>AgricultureAgriculture EstablishmentCSenior ClerkS8 (25500 - 81100)</v>
      </c>
      <c r="K13" s="36" t="s">
        <v>75</v>
      </c>
      <c r="L13" s="36" t="s">
        <v>228</v>
      </c>
      <c r="M13" s="38" t="s">
        <v>88</v>
      </c>
      <c r="N13" s="36" t="s">
        <v>70</v>
      </c>
      <c r="O13" s="6" t="s">
        <v>33</v>
      </c>
      <c r="P13" s="7">
        <v>69</v>
      </c>
      <c r="Q13" s="7" t="s">
        <v>34</v>
      </c>
      <c r="R13" s="8"/>
      <c r="S13" s="8"/>
      <c r="T13" s="7" t="s">
        <v>61</v>
      </c>
      <c r="U13" s="36" t="s">
        <v>36</v>
      </c>
      <c r="V13" s="38" t="s">
        <v>89</v>
      </c>
      <c r="W13" s="36"/>
      <c r="X13" s="36" t="s">
        <v>90</v>
      </c>
      <c r="Y13" s="36" t="s">
        <v>91</v>
      </c>
      <c r="Z13" s="41"/>
      <c r="AA13" s="42" t="e">
        <f>_xlfn.XLOOKUP(C13,#REF!,#REF!,"",0,1)</f>
        <v>#REF!</v>
      </c>
      <c r="AB13" s="43">
        <f t="shared" si="1"/>
        <v>0</v>
      </c>
    </row>
    <row r="14" spans="1:28" ht="65.5" thickBot="1" x14ac:dyDescent="0.3">
      <c r="A14" s="36">
        <v>13</v>
      </c>
      <c r="B14" s="36" t="s">
        <v>24</v>
      </c>
      <c r="C14" s="36" t="s">
        <v>25</v>
      </c>
      <c r="D14" s="37">
        <v>39955</v>
      </c>
      <c r="E14" s="36" t="s">
        <v>26</v>
      </c>
      <c r="F14" s="36" t="s">
        <v>27</v>
      </c>
      <c r="G14" s="36" t="s">
        <v>55</v>
      </c>
      <c r="H14" s="36" t="s">
        <v>92</v>
      </c>
      <c r="I14" s="36" t="s">
        <v>80</v>
      </c>
      <c r="J14" s="36" t="str">
        <f t="shared" si="0"/>
        <v>AgricultureAgriculture EstablishmentCSteno TypistS8 (25500 - 81100)</v>
      </c>
      <c r="K14" s="36" t="s">
        <v>68</v>
      </c>
      <c r="L14" s="36" t="s">
        <v>231</v>
      </c>
      <c r="M14" s="38" t="s">
        <v>93</v>
      </c>
      <c r="N14" s="36" t="s">
        <v>70</v>
      </c>
      <c r="O14" s="6" t="s">
        <v>33</v>
      </c>
      <c r="P14" s="7">
        <v>7</v>
      </c>
      <c r="Q14" s="7" t="s">
        <v>34</v>
      </c>
      <c r="R14" s="8"/>
      <c r="S14" s="8"/>
      <c r="T14" s="4" t="s">
        <v>3276</v>
      </c>
      <c r="U14" s="36" t="s">
        <v>94</v>
      </c>
      <c r="V14" s="38"/>
      <c r="W14" s="36"/>
      <c r="X14" s="36"/>
      <c r="Y14" s="36"/>
      <c r="Z14" s="41"/>
      <c r="AA14" s="42" t="e">
        <f>_xlfn.XLOOKUP(C14,#REF!,#REF!,"",0,1)</f>
        <v>#REF!</v>
      </c>
      <c r="AB14" s="43">
        <f t="shared" si="1"/>
        <v>0</v>
      </c>
    </row>
    <row r="15" spans="1:28" ht="130.5" thickBot="1" x14ac:dyDescent="0.3">
      <c r="A15" s="36">
        <v>14</v>
      </c>
      <c r="B15" s="36" t="s">
        <v>24</v>
      </c>
      <c r="C15" s="36" t="s">
        <v>263</v>
      </c>
      <c r="D15" s="37">
        <v>45575</v>
      </c>
      <c r="E15" s="36" t="s">
        <v>95</v>
      </c>
      <c r="F15" s="36" t="s">
        <v>96</v>
      </c>
      <c r="G15" s="36" t="s">
        <v>28</v>
      </c>
      <c r="H15" s="36" t="s">
        <v>97</v>
      </c>
      <c r="I15" s="36" t="s">
        <v>38</v>
      </c>
      <c r="J15" s="36" t="str">
        <f t="shared" si="0"/>
        <v>Animal Husbandry &amp; FisheriesAnimal Husbandry EstablishmentALivestock Development OfficerS20 (56100 - 177500)</v>
      </c>
      <c r="K15" s="36" t="s">
        <v>98</v>
      </c>
      <c r="L15" s="36" t="s">
        <v>247</v>
      </c>
      <c r="M15" s="38" t="s">
        <v>99</v>
      </c>
      <c r="N15" s="36" t="s">
        <v>41</v>
      </c>
      <c r="O15" s="6" t="s">
        <v>33</v>
      </c>
      <c r="P15" s="7">
        <v>3091</v>
      </c>
      <c r="Q15" s="7" t="s">
        <v>100</v>
      </c>
      <c r="R15" s="7">
        <v>2795</v>
      </c>
      <c r="S15" s="7" t="s">
        <v>3231</v>
      </c>
      <c r="T15" s="7" t="s">
        <v>61</v>
      </c>
      <c r="U15" s="36" t="s">
        <v>101</v>
      </c>
      <c r="V15" s="38"/>
      <c r="W15" s="36"/>
      <c r="X15" s="36"/>
      <c r="Y15" s="36"/>
      <c r="Z15" s="41"/>
      <c r="AA15" s="42" t="e">
        <f>_xlfn.XLOOKUP(C15,#REF!,#REF!,"",0,1)</f>
        <v>#REF!</v>
      </c>
      <c r="AB15" s="43">
        <f t="shared" si="1"/>
        <v>0</v>
      </c>
    </row>
    <row r="16" spans="1:28" ht="156.5" thickBot="1" x14ac:dyDescent="0.3">
      <c r="A16" s="36">
        <v>15</v>
      </c>
      <c r="B16" s="36" t="s">
        <v>102</v>
      </c>
      <c r="C16" s="36" t="s">
        <v>263</v>
      </c>
      <c r="D16" s="37">
        <v>45575</v>
      </c>
      <c r="E16" s="36" t="s">
        <v>95</v>
      </c>
      <c r="F16" s="36" t="s">
        <v>96</v>
      </c>
      <c r="G16" s="36" t="s">
        <v>28</v>
      </c>
      <c r="H16" s="36" t="s">
        <v>103</v>
      </c>
      <c r="I16" s="36" t="s">
        <v>104</v>
      </c>
      <c r="J16" s="36" t="str">
        <f t="shared" si="0"/>
        <v>Animal Husbandry &amp; FisheriesAnimal Husbandry EstablishmentASenior Lecturer, Government Technical CollegeS22 (60000 - 190800)</v>
      </c>
      <c r="K16" s="36"/>
      <c r="L16" s="36"/>
      <c r="M16" s="38" t="s">
        <v>105</v>
      </c>
      <c r="N16" s="36"/>
      <c r="O16" s="6" t="s">
        <v>33</v>
      </c>
      <c r="P16" s="8"/>
      <c r="Q16" s="7" t="s">
        <v>34</v>
      </c>
      <c r="R16" s="8"/>
      <c r="S16" s="8"/>
      <c r="T16" s="4" t="s">
        <v>3276</v>
      </c>
      <c r="U16" s="36" t="s">
        <v>35</v>
      </c>
      <c r="V16" s="38"/>
      <c r="W16" s="36"/>
      <c r="X16" s="36"/>
      <c r="Y16" s="36"/>
      <c r="Z16" s="41"/>
      <c r="AA16" s="42" t="e">
        <f>_xlfn.XLOOKUP(C16,#REF!,#REF!,"",0,1)</f>
        <v>#REF!</v>
      </c>
      <c r="AB16" s="43">
        <f t="shared" si="1"/>
        <v>0</v>
      </c>
    </row>
    <row r="17" spans="1:28" ht="156.5" thickBot="1" x14ac:dyDescent="0.3">
      <c r="A17" s="36">
        <v>16</v>
      </c>
      <c r="B17" s="36" t="s">
        <v>24</v>
      </c>
      <c r="C17" s="36" t="s">
        <v>263</v>
      </c>
      <c r="D17" s="37">
        <v>45575</v>
      </c>
      <c r="E17" s="36" t="s">
        <v>95</v>
      </c>
      <c r="F17" s="36" t="s">
        <v>96</v>
      </c>
      <c r="G17" s="36" t="s">
        <v>42</v>
      </c>
      <c r="H17" s="36" t="s">
        <v>106</v>
      </c>
      <c r="I17" s="36" t="s">
        <v>44</v>
      </c>
      <c r="J17" s="36" t="str">
        <f t="shared" si="0"/>
        <v>Animal Husbandry &amp; FisheriesAnimal Husbandry EstablishmentB (Gazetted)Fodder Development OfficersS15 (41800 - 132300)</v>
      </c>
      <c r="K17" s="36" t="s">
        <v>98</v>
      </c>
      <c r="L17" s="36" t="s">
        <v>247</v>
      </c>
      <c r="M17" s="38" t="s">
        <v>107</v>
      </c>
      <c r="N17" s="40" t="s">
        <v>108</v>
      </c>
      <c r="O17" s="6" t="s">
        <v>33</v>
      </c>
      <c r="P17" s="10">
        <v>22</v>
      </c>
      <c r="Q17" s="7" t="s">
        <v>34</v>
      </c>
      <c r="R17" s="8"/>
      <c r="S17" s="8"/>
      <c r="T17" s="7" t="s">
        <v>35</v>
      </c>
      <c r="U17" s="36" t="s">
        <v>109</v>
      </c>
      <c r="V17" s="38"/>
      <c r="W17" s="36"/>
      <c r="X17" s="36"/>
      <c r="Y17" s="36"/>
      <c r="Z17" s="41"/>
      <c r="AA17" s="42" t="e">
        <f>_xlfn.XLOOKUP(C17,#REF!,#REF!,"",0,1)</f>
        <v>#REF!</v>
      </c>
      <c r="AB17" s="43">
        <f t="shared" si="1"/>
        <v>0</v>
      </c>
    </row>
    <row r="18" spans="1:28" ht="117.5" thickBot="1" x14ac:dyDescent="0.3">
      <c r="A18" s="44">
        <v>17</v>
      </c>
      <c r="B18" s="44" t="s">
        <v>24</v>
      </c>
      <c r="C18" s="36" t="s">
        <v>263</v>
      </c>
      <c r="D18" s="37">
        <v>45575</v>
      </c>
      <c r="E18" s="44" t="s">
        <v>95</v>
      </c>
      <c r="F18" s="44" t="s">
        <v>96</v>
      </c>
      <c r="G18" s="44" t="s">
        <v>55</v>
      </c>
      <c r="H18" s="44" t="s">
        <v>110</v>
      </c>
      <c r="I18" s="44" t="s">
        <v>57</v>
      </c>
      <c r="J18" s="44" t="str">
        <f t="shared" si="0"/>
        <v>Animal Husbandry &amp; FisheriesAnimal Husbandry EstablishmentCLab TechnicianS13 (35400 - 112400)</v>
      </c>
      <c r="K18" s="44"/>
      <c r="L18" s="44" t="s">
        <v>111</v>
      </c>
      <c r="M18" s="45" t="s">
        <v>112</v>
      </c>
      <c r="N18" s="44" t="s">
        <v>113</v>
      </c>
      <c r="O18" s="11" t="s">
        <v>33</v>
      </c>
      <c r="P18" s="12">
        <v>289</v>
      </c>
      <c r="Q18" s="12" t="s">
        <v>34</v>
      </c>
      <c r="R18" s="13"/>
      <c r="S18" s="13"/>
      <c r="T18" s="4" t="s">
        <v>3276</v>
      </c>
      <c r="U18" s="44" t="s">
        <v>36</v>
      </c>
      <c r="V18" s="45"/>
      <c r="W18" s="44"/>
      <c r="X18" s="44"/>
      <c r="Y18" s="44"/>
      <c r="Z18" s="41"/>
      <c r="AA18" s="42" t="e">
        <f>_xlfn.XLOOKUP(C18,#REF!,#REF!,"",0,1)</f>
        <v>#REF!</v>
      </c>
      <c r="AB18" s="43">
        <f t="shared" si="1"/>
        <v>0</v>
      </c>
    </row>
    <row r="19" spans="1:28" ht="117.5" thickBot="1" x14ac:dyDescent="0.3">
      <c r="A19" s="36">
        <v>18</v>
      </c>
      <c r="B19" s="36" t="s">
        <v>24</v>
      </c>
      <c r="C19" s="36" t="s">
        <v>263</v>
      </c>
      <c r="D19" s="37">
        <v>45575</v>
      </c>
      <c r="E19" s="36" t="s">
        <v>95</v>
      </c>
      <c r="F19" s="36" t="s">
        <v>96</v>
      </c>
      <c r="G19" s="36" t="s">
        <v>55</v>
      </c>
      <c r="H19" s="36" t="s">
        <v>114</v>
      </c>
      <c r="I19" s="36" t="s">
        <v>67</v>
      </c>
      <c r="J19" s="36" t="str">
        <f t="shared" si="0"/>
        <v>Animal Husbandry &amp; FisheriesAnimal Husbandry EstablishmentCStastical InvestigatorS14 (38600 - 122800)</v>
      </c>
      <c r="K19" s="36" t="s">
        <v>115</v>
      </c>
      <c r="L19" s="36" t="s">
        <v>225</v>
      </c>
      <c r="M19" s="38" t="s">
        <v>116</v>
      </c>
      <c r="N19" s="36" t="s">
        <v>41</v>
      </c>
      <c r="O19" s="6" t="s">
        <v>33</v>
      </c>
      <c r="P19" s="7">
        <v>11</v>
      </c>
      <c r="Q19" s="7" t="s">
        <v>34</v>
      </c>
      <c r="R19" s="8"/>
      <c r="S19" s="8"/>
      <c r="T19" s="7" t="s">
        <v>35</v>
      </c>
      <c r="U19" s="36" t="s">
        <v>36</v>
      </c>
      <c r="V19" s="38" t="s">
        <v>117</v>
      </c>
      <c r="W19" s="36"/>
      <c r="X19" s="36" t="s">
        <v>118</v>
      </c>
      <c r="Y19" s="46">
        <v>31449</v>
      </c>
      <c r="Z19" s="41"/>
      <c r="AA19" s="42" t="e">
        <f>_xlfn.XLOOKUP(C19,#REF!,#REF!,"",0,1)</f>
        <v>#REF!</v>
      </c>
      <c r="AB19" s="43">
        <f t="shared" si="1"/>
        <v>0</v>
      </c>
    </row>
    <row r="20" spans="1:28" ht="117.5" thickBot="1" x14ac:dyDescent="0.3">
      <c r="A20" s="36">
        <v>19</v>
      </c>
      <c r="B20" s="36" t="s">
        <v>24</v>
      </c>
      <c r="C20" s="36" t="s">
        <v>263</v>
      </c>
      <c r="D20" s="37">
        <v>45575</v>
      </c>
      <c r="E20" s="36" t="s">
        <v>95</v>
      </c>
      <c r="F20" s="36" t="s">
        <v>96</v>
      </c>
      <c r="G20" s="36" t="s">
        <v>55</v>
      </c>
      <c r="H20" s="36" t="s">
        <v>119</v>
      </c>
      <c r="I20" s="36" t="s">
        <v>67</v>
      </c>
      <c r="J20" s="36" t="str">
        <f t="shared" si="0"/>
        <v>Animal Husbandry &amp; FisheriesAnimal Husbandry EstablishmentCSteno (Lower)S14 (38600 - 122800)</v>
      </c>
      <c r="K20" s="36" t="s">
        <v>68</v>
      </c>
      <c r="L20" s="36" t="s">
        <v>231</v>
      </c>
      <c r="M20" s="38" t="s">
        <v>120</v>
      </c>
      <c r="N20" s="36" t="s">
        <v>70</v>
      </c>
      <c r="O20" s="6" t="s">
        <v>33</v>
      </c>
      <c r="P20" s="7">
        <v>0</v>
      </c>
      <c r="Q20" s="7" t="s">
        <v>34</v>
      </c>
      <c r="R20" s="8"/>
      <c r="S20" s="8"/>
      <c r="T20" s="4" t="s">
        <v>3276</v>
      </c>
      <c r="U20" s="36" t="s">
        <v>35</v>
      </c>
      <c r="V20" s="38"/>
      <c r="W20" s="36"/>
      <c r="X20" s="36"/>
      <c r="Y20" s="36"/>
      <c r="Z20" s="41"/>
      <c r="AA20" s="42" t="e">
        <f>_xlfn.XLOOKUP(C20,#REF!,#REF!,"",0,1)</f>
        <v>#REF!</v>
      </c>
      <c r="AB20" s="43">
        <f t="shared" si="1"/>
        <v>0</v>
      </c>
    </row>
    <row r="21" spans="1:28" ht="117.5" thickBot="1" x14ac:dyDescent="0.3">
      <c r="A21" s="36">
        <v>20</v>
      </c>
      <c r="B21" s="36" t="s">
        <v>24</v>
      </c>
      <c r="C21" s="36" t="s">
        <v>263</v>
      </c>
      <c r="D21" s="37">
        <v>45575</v>
      </c>
      <c r="E21" s="36" t="s">
        <v>95</v>
      </c>
      <c r="F21" s="36" t="s">
        <v>96</v>
      </c>
      <c r="G21" s="36" t="s">
        <v>55</v>
      </c>
      <c r="H21" s="36" t="s">
        <v>121</v>
      </c>
      <c r="I21" s="36" t="s">
        <v>44</v>
      </c>
      <c r="J21" s="36" t="str">
        <f t="shared" si="0"/>
        <v>Animal Husbandry &amp; FisheriesAnimal Husbandry EstablishmentCSteno (Higher)S15 (41800 - 132300)</v>
      </c>
      <c r="K21" s="36" t="s">
        <v>68</v>
      </c>
      <c r="L21" s="36" t="s">
        <v>231</v>
      </c>
      <c r="M21" s="38" t="s">
        <v>122</v>
      </c>
      <c r="N21" s="36" t="s">
        <v>70</v>
      </c>
      <c r="O21" s="6" t="s">
        <v>33</v>
      </c>
      <c r="P21" s="7">
        <v>0</v>
      </c>
      <c r="Q21" s="7" t="s">
        <v>34</v>
      </c>
      <c r="R21" s="8"/>
      <c r="S21" s="8"/>
      <c r="T21" s="4" t="s">
        <v>3276</v>
      </c>
      <c r="U21" s="36" t="s">
        <v>35</v>
      </c>
      <c r="V21" s="38"/>
      <c r="W21" s="36"/>
      <c r="X21" s="36"/>
      <c r="Y21" s="36"/>
      <c r="Z21" s="41"/>
      <c r="AA21" s="42" t="e">
        <f>_xlfn.XLOOKUP(C21,#REF!,#REF!,"",0,1)</f>
        <v>#REF!</v>
      </c>
      <c r="AB21" s="43">
        <f t="shared" si="1"/>
        <v>0</v>
      </c>
    </row>
    <row r="22" spans="1:28" ht="91.5" thickBot="1" x14ac:dyDescent="0.3">
      <c r="A22" s="36">
        <v>21</v>
      </c>
      <c r="B22" s="36" t="s">
        <v>24</v>
      </c>
      <c r="C22" s="36" t="s">
        <v>263</v>
      </c>
      <c r="D22" s="37">
        <v>45575</v>
      </c>
      <c r="E22" s="36" t="s">
        <v>95</v>
      </c>
      <c r="F22" s="36" t="s">
        <v>96</v>
      </c>
      <c r="G22" s="36" t="s">
        <v>55</v>
      </c>
      <c r="H22" s="36" t="s">
        <v>123</v>
      </c>
      <c r="I22" s="36" t="s">
        <v>74</v>
      </c>
      <c r="J22" s="36" t="str">
        <f t="shared" si="0"/>
        <v>Animal Husbandry &amp; FisheriesAnimal Husbandry EstablishmentCJunior ClerkS6 (19900 - 63200)</v>
      </c>
      <c r="K22" s="36" t="s">
        <v>75</v>
      </c>
      <c r="L22" s="36" t="s">
        <v>228</v>
      </c>
      <c r="M22" s="38" t="s">
        <v>124</v>
      </c>
      <c r="N22" s="36" t="s">
        <v>70</v>
      </c>
      <c r="O22" s="6" t="s">
        <v>33</v>
      </c>
      <c r="P22" s="7">
        <v>115</v>
      </c>
      <c r="Q22" s="7" t="s">
        <v>34</v>
      </c>
      <c r="R22" s="8"/>
      <c r="S22" s="8"/>
      <c r="T22" s="7" t="s">
        <v>35</v>
      </c>
      <c r="U22" s="36" t="s">
        <v>36</v>
      </c>
      <c r="V22" s="38" t="s">
        <v>125</v>
      </c>
      <c r="W22" s="36"/>
      <c r="X22" s="36" t="s">
        <v>77</v>
      </c>
      <c r="Y22" s="36" t="s">
        <v>78</v>
      </c>
      <c r="Z22" s="41"/>
      <c r="AA22" s="42" t="e">
        <f>_xlfn.XLOOKUP(C22,#REF!,#REF!,"",0,1)</f>
        <v>#REF!</v>
      </c>
      <c r="AB22" s="43">
        <f t="shared" si="1"/>
        <v>0</v>
      </c>
    </row>
    <row r="23" spans="1:28" ht="91.5" thickBot="1" x14ac:dyDescent="0.3">
      <c r="A23" s="36">
        <v>22</v>
      </c>
      <c r="B23" s="36" t="s">
        <v>24</v>
      </c>
      <c r="C23" s="36" t="s">
        <v>263</v>
      </c>
      <c r="D23" s="37">
        <v>45575</v>
      </c>
      <c r="E23" s="36" t="s">
        <v>95</v>
      </c>
      <c r="F23" s="36" t="s">
        <v>96</v>
      </c>
      <c r="G23" s="36" t="s">
        <v>55</v>
      </c>
      <c r="H23" s="36" t="s">
        <v>126</v>
      </c>
      <c r="I23" s="36" t="s">
        <v>74</v>
      </c>
      <c r="J23" s="36" t="str">
        <f t="shared" si="0"/>
        <v>Animal Husbandry &amp; FisheriesAnimal Husbandry EstablishmentCWiremanS6 (19900 - 63200)</v>
      </c>
      <c r="K23" s="36" t="s">
        <v>127</v>
      </c>
      <c r="L23" s="36" t="s">
        <v>225</v>
      </c>
      <c r="M23" s="38" t="s">
        <v>128</v>
      </c>
      <c r="N23" s="36" t="s">
        <v>129</v>
      </c>
      <c r="O23" s="6" t="s">
        <v>33</v>
      </c>
      <c r="P23" s="7">
        <v>0</v>
      </c>
      <c r="Q23" s="7" t="s">
        <v>34</v>
      </c>
      <c r="R23" s="8"/>
      <c r="S23" s="8"/>
      <c r="T23" s="7" t="s">
        <v>2395</v>
      </c>
      <c r="U23" s="36" t="s">
        <v>36</v>
      </c>
      <c r="V23" s="38" t="s">
        <v>128</v>
      </c>
      <c r="W23" s="36"/>
      <c r="X23" s="36" t="s">
        <v>130</v>
      </c>
      <c r="Y23" s="36" t="s">
        <v>131</v>
      </c>
      <c r="Z23" s="41"/>
      <c r="AA23" s="42" t="e">
        <f>_xlfn.XLOOKUP(C23,#REF!,#REF!,"",0,1)</f>
        <v>#REF!</v>
      </c>
      <c r="AB23" s="43">
        <f t="shared" si="1"/>
        <v>0</v>
      </c>
    </row>
    <row r="24" spans="1:28" ht="104.5" thickBot="1" x14ac:dyDescent="0.3">
      <c r="A24" s="36">
        <v>23</v>
      </c>
      <c r="B24" s="36" t="s">
        <v>24</v>
      </c>
      <c r="C24" s="36" t="s">
        <v>263</v>
      </c>
      <c r="D24" s="37">
        <v>45575</v>
      </c>
      <c r="E24" s="36" t="s">
        <v>95</v>
      </c>
      <c r="F24" s="36" t="s">
        <v>96</v>
      </c>
      <c r="G24" s="36" t="s">
        <v>55</v>
      </c>
      <c r="H24" s="36" t="s">
        <v>132</v>
      </c>
      <c r="I24" s="36" t="s">
        <v>74</v>
      </c>
      <c r="J24" s="36" t="str">
        <f t="shared" si="0"/>
        <v>Animal Husbandry &amp; FisheriesAnimal Husbandry EstablishmentCBoiler AttendentS6 (19900 - 63200)</v>
      </c>
      <c r="K24" s="36"/>
      <c r="L24" s="36" t="s">
        <v>238</v>
      </c>
      <c r="M24" s="38" t="s">
        <v>133</v>
      </c>
      <c r="N24" s="36" t="s">
        <v>60</v>
      </c>
      <c r="O24" s="6" t="s">
        <v>33</v>
      </c>
      <c r="P24" s="7">
        <v>0</v>
      </c>
      <c r="Q24" s="7" t="s">
        <v>34</v>
      </c>
      <c r="R24" s="8"/>
      <c r="S24" s="8"/>
      <c r="T24" s="7" t="s">
        <v>2395</v>
      </c>
      <c r="U24" s="36" t="s">
        <v>36</v>
      </c>
      <c r="V24" s="38"/>
      <c r="W24" s="36"/>
      <c r="X24" s="36"/>
      <c r="Y24" s="36"/>
      <c r="Z24" s="41"/>
      <c r="AA24" s="42" t="e">
        <f>_xlfn.XLOOKUP(C24,#REF!,#REF!,"",0,1)</f>
        <v>#REF!</v>
      </c>
      <c r="AB24" s="43">
        <f t="shared" si="1"/>
        <v>0</v>
      </c>
    </row>
    <row r="25" spans="1:28" ht="182.5" thickBot="1" x14ac:dyDescent="0.3">
      <c r="A25" s="36">
        <v>24</v>
      </c>
      <c r="B25" s="36" t="s">
        <v>24</v>
      </c>
      <c r="C25" s="36" t="s">
        <v>263</v>
      </c>
      <c r="D25" s="37">
        <v>45575</v>
      </c>
      <c r="E25" s="36" t="s">
        <v>95</v>
      </c>
      <c r="F25" s="36" t="s">
        <v>96</v>
      </c>
      <c r="G25" s="36" t="s">
        <v>55</v>
      </c>
      <c r="H25" s="36" t="s">
        <v>134</v>
      </c>
      <c r="I25" s="36" t="s">
        <v>80</v>
      </c>
      <c r="J25" s="36" t="str">
        <f t="shared" si="0"/>
        <v>Animal Husbandry &amp; FisheriesAnimal Husbandry EstablishmentCLive Stock SupervisorS8 (25500 - 81100)</v>
      </c>
      <c r="K25" s="36" t="s">
        <v>135</v>
      </c>
      <c r="L25" s="36" t="s">
        <v>225</v>
      </c>
      <c r="M25" s="38" t="s">
        <v>136</v>
      </c>
      <c r="N25" s="36" t="s">
        <v>137</v>
      </c>
      <c r="O25" s="6" t="s">
        <v>33</v>
      </c>
      <c r="P25" s="7">
        <v>266</v>
      </c>
      <c r="Q25" s="7" t="s">
        <v>34</v>
      </c>
      <c r="R25" s="8"/>
      <c r="S25" s="8"/>
      <c r="T25" s="7" t="s">
        <v>35</v>
      </c>
      <c r="U25" s="36" t="s">
        <v>35</v>
      </c>
      <c r="V25" s="38" t="s">
        <v>138</v>
      </c>
      <c r="W25" s="36"/>
      <c r="X25" s="36" t="s">
        <v>139</v>
      </c>
      <c r="Y25" s="46">
        <v>41556</v>
      </c>
      <c r="Z25" s="41"/>
      <c r="AA25" s="42" t="e">
        <f>_xlfn.XLOOKUP(C25,#REF!,#REF!,"",0,1)</f>
        <v>#REF!</v>
      </c>
      <c r="AB25" s="43">
        <f t="shared" si="1"/>
        <v>0</v>
      </c>
    </row>
    <row r="26" spans="1:28" ht="104.5" thickBot="1" x14ac:dyDescent="0.3">
      <c r="A26" s="36">
        <v>25</v>
      </c>
      <c r="B26" s="36" t="s">
        <v>24</v>
      </c>
      <c r="C26" s="36" t="s">
        <v>263</v>
      </c>
      <c r="D26" s="37">
        <v>45575</v>
      </c>
      <c r="E26" s="36" t="s">
        <v>95</v>
      </c>
      <c r="F26" s="36" t="s">
        <v>96</v>
      </c>
      <c r="G26" s="36" t="s">
        <v>55</v>
      </c>
      <c r="H26" s="36" t="s">
        <v>140</v>
      </c>
      <c r="I26" s="36" t="s">
        <v>80</v>
      </c>
      <c r="J26" s="36" t="str">
        <f t="shared" si="0"/>
        <v>Animal Husbandry &amp; FisheriesAnimal Husbandry EstablishmentCStastical AssistantS8 (25500 - 81100)</v>
      </c>
      <c r="K26" s="36" t="s">
        <v>115</v>
      </c>
      <c r="L26" s="36" t="s">
        <v>225</v>
      </c>
      <c r="M26" s="38" t="s">
        <v>141</v>
      </c>
      <c r="N26" s="36" t="s">
        <v>41</v>
      </c>
      <c r="O26" s="6" t="s">
        <v>33</v>
      </c>
      <c r="P26" s="7">
        <v>38</v>
      </c>
      <c r="Q26" s="7" t="s">
        <v>34</v>
      </c>
      <c r="R26" s="8"/>
      <c r="S26" s="8"/>
      <c r="T26" s="7" t="s">
        <v>35</v>
      </c>
      <c r="U26" s="36" t="s">
        <v>36</v>
      </c>
      <c r="V26" s="38" t="s">
        <v>142</v>
      </c>
      <c r="W26" s="36"/>
      <c r="X26" s="36" t="s">
        <v>118</v>
      </c>
      <c r="Y26" s="46">
        <v>31449</v>
      </c>
      <c r="Z26" s="41"/>
      <c r="AA26" s="42" t="e">
        <f>_xlfn.XLOOKUP(C26,#REF!,#REF!,"",0,1)</f>
        <v>#REF!</v>
      </c>
      <c r="AB26" s="43">
        <f t="shared" si="1"/>
        <v>0</v>
      </c>
    </row>
    <row r="27" spans="1:28" ht="104.5" thickBot="1" x14ac:dyDescent="0.3">
      <c r="A27" s="36">
        <v>26</v>
      </c>
      <c r="B27" s="36" t="s">
        <v>24</v>
      </c>
      <c r="C27" s="36" t="s">
        <v>263</v>
      </c>
      <c r="D27" s="37">
        <v>45575</v>
      </c>
      <c r="E27" s="36" t="s">
        <v>95</v>
      </c>
      <c r="F27" s="36" t="s">
        <v>96</v>
      </c>
      <c r="G27" s="36" t="s">
        <v>55</v>
      </c>
      <c r="H27" s="36" t="s">
        <v>143</v>
      </c>
      <c r="I27" s="36" t="s">
        <v>80</v>
      </c>
      <c r="J27" s="36" t="str">
        <f t="shared" si="0"/>
        <v>Animal Husbandry &amp; FisheriesAnimal Husbandry EstablishmentCRefrigerator MechanicS8 (25500 - 81100)</v>
      </c>
      <c r="K27" s="36" t="s">
        <v>127</v>
      </c>
      <c r="L27" s="36" t="s">
        <v>225</v>
      </c>
      <c r="M27" s="38" t="s">
        <v>144</v>
      </c>
      <c r="N27" s="36" t="s">
        <v>129</v>
      </c>
      <c r="O27" s="6" t="s">
        <v>33</v>
      </c>
      <c r="P27" s="7">
        <v>0</v>
      </c>
      <c r="Q27" s="7" t="s">
        <v>34</v>
      </c>
      <c r="R27" s="8"/>
      <c r="S27" s="8"/>
      <c r="T27" s="7" t="s">
        <v>2395</v>
      </c>
      <c r="U27" s="36" t="s">
        <v>36</v>
      </c>
      <c r="V27" s="38" t="s">
        <v>145</v>
      </c>
      <c r="W27" s="36"/>
      <c r="X27" s="36" t="s">
        <v>146</v>
      </c>
      <c r="Y27" s="36" t="s">
        <v>147</v>
      </c>
      <c r="Z27" s="41"/>
      <c r="AA27" s="42" t="e">
        <f>_xlfn.XLOOKUP(C27,#REF!,#REF!,"",0,1)</f>
        <v>#REF!</v>
      </c>
      <c r="AB27" s="43">
        <f t="shared" si="1"/>
        <v>0</v>
      </c>
    </row>
    <row r="28" spans="1:28" ht="104.5" thickBot="1" x14ac:dyDescent="0.3">
      <c r="A28" s="36">
        <v>27</v>
      </c>
      <c r="B28" s="36" t="s">
        <v>24</v>
      </c>
      <c r="C28" s="36" t="s">
        <v>263</v>
      </c>
      <c r="D28" s="37">
        <v>45575</v>
      </c>
      <c r="E28" s="36" t="s">
        <v>95</v>
      </c>
      <c r="F28" s="36" t="s">
        <v>96</v>
      </c>
      <c r="G28" s="36" t="s">
        <v>55</v>
      </c>
      <c r="H28" s="36" t="s">
        <v>148</v>
      </c>
      <c r="I28" s="36" t="s">
        <v>80</v>
      </c>
      <c r="J28" s="36" t="str">
        <f t="shared" si="0"/>
        <v>Animal Husbandry &amp; FisheriesAnimal Husbandry EstablishmentCPlant OperatorS8 (25500 - 81100)</v>
      </c>
      <c r="K28" s="36" t="s">
        <v>127</v>
      </c>
      <c r="L28" s="36" t="s">
        <v>225</v>
      </c>
      <c r="M28" s="38" t="s">
        <v>149</v>
      </c>
      <c r="N28" s="36" t="s">
        <v>129</v>
      </c>
      <c r="O28" s="6" t="s">
        <v>33</v>
      </c>
      <c r="P28" s="7">
        <v>0</v>
      </c>
      <c r="Q28" s="7" t="s">
        <v>34</v>
      </c>
      <c r="R28" s="8"/>
      <c r="S28" s="8"/>
      <c r="T28" s="7" t="s">
        <v>2395</v>
      </c>
      <c r="U28" s="36" t="s">
        <v>36</v>
      </c>
      <c r="V28" s="38" t="s">
        <v>149</v>
      </c>
      <c r="W28" s="36"/>
      <c r="X28" s="36" t="s">
        <v>150</v>
      </c>
      <c r="Y28" s="36" t="s">
        <v>150</v>
      </c>
      <c r="Z28" s="41"/>
      <c r="AA28" s="42" t="e">
        <f>_xlfn.XLOOKUP(C28,#REF!,#REF!,"",0,1)</f>
        <v>#REF!</v>
      </c>
      <c r="AB28" s="43">
        <f t="shared" si="1"/>
        <v>0</v>
      </c>
    </row>
    <row r="29" spans="1:28" ht="143.5" thickBot="1" x14ac:dyDescent="0.3">
      <c r="A29" s="36">
        <v>28</v>
      </c>
      <c r="B29" s="36" t="s">
        <v>24</v>
      </c>
      <c r="C29" s="36" t="s">
        <v>263</v>
      </c>
      <c r="D29" s="37">
        <v>46008</v>
      </c>
      <c r="E29" s="36" t="s">
        <v>95</v>
      </c>
      <c r="F29" s="36" t="s">
        <v>151</v>
      </c>
      <c r="G29" s="36" t="s">
        <v>28</v>
      </c>
      <c r="H29" s="36" t="s">
        <v>152</v>
      </c>
      <c r="I29" s="36" t="s">
        <v>38</v>
      </c>
      <c r="J29" s="36" t="str">
        <f t="shared" si="0"/>
        <v>Animal Husbandry &amp; FisheriesFisheries EstablishmentAAssistant Commissioner Of Fisheries (Tech.)S20 (56100 - 177500)</v>
      </c>
      <c r="K29" s="36" t="s">
        <v>98</v>
      </c>
      <c r="L29" s="36" t="s">
        <v>247</v>
      </c>
      <c r="M29" s="38" t="s">
        <v>153</v>
      </c>
      <c r="N29" s="36" t="s">
        <v>41</v>
      </c>
      <c r="O29" s="6" t="s">
        <v>33</v>
      </c>
      <c r="P29" s="7">
        <v>1</v>
      </c>
      <c r="Q29" s="7" t="s">
        <v>34</v>
      </c>
      <c r="R29" s="8"/>
      <c r="S29" s="8"/>
      <c r="T29" s="7" t="s">
        <v>2395</v>
      </c>
      <c r="U29" s="36" t="s">
        <v>61</v>
      </c>
      <c r="V29" s="38"/>
      <c r="W29" s="36"/>
      <c r="X29" s="36"/>
      <c r="Y29" s="36"/>
      <c r="Z29" s="41"/>
      <c r="AA29" s="42" t="e">
        <f>_xlfn.XLOOKUP(C29,#REF!,#REF!,"",0,1)</f>
        <v>#REF!</v>
      </c>
      <c r="AB29" s="43">
        <f t="shared" si="1"/>
        <v>0</v>
      </c>
    </row>
    <row r="30" spans="1:28" ht="156.5" thickBot="1" x14ac:dyDescent="0.3">
      <c r="A30" s="36">
        <v>29</v>
      </c>
      <c r="B30" s="36" t="s">
        <v>24</v>
      </c>
      <c r="C30" s="36" t="s">
        <v>263</v>
      </c>
      <c r="D30" s="37">
        <v>46008</v>
      </c>
      <c r="E30" s="36" t="s">
        <v>95</v>
      </c>
      <c r="F30" s="36" t="s">
        <v>151</v>
      </c>
      <c r="G30" s="36" t="s">
        <v>42</v>
      </c>
      <c r="H30" s="36" t="s">
        <v>154</v>
      </c>
      <c r="I30" s="36" t="s">
        <v>44</v>
      </c>
      <c r="J30" s="36" t="str">
        <f t="shared" si="0"/>
        <v>Animal Husbandry &amp; FisheriesFisheries EstablishmentB (Gazetted)Administrative Officer And OthersS15 (41800 - 132300)</v>
      </c>
      <c r="K30" s="36" t="s">
        <v>45</v>
      </c>
      <c r="L30" s="36" t="s">
        <v>247</v>
      </c>
      <c r="M30" s="38" t="s">
        <v>155</v>
      </c>
      <c r="N30" s="36" t="s">
        <v>41</v>
      </c>
      <c r="O30" s="6" t="s">
        <v>33</v>
      </c>
      <c r="P30" s="7">
        <v>3</v>
      </c>
      <c r="Q30" s="7" t="s">
        <v>34</v>
      </c>
      <c r="R30" s="8"/>
      <c r="S30" s="8"/>
      <c r="T30" s="7" t="s">
        <v>35</v>
      </c>
      <c r="U30" s="36" t="s">
        <v>61</v>
      </c>
      <c r="V30" s="38"/>
      <c r="W30" s="36"/>
      <c r="X30" s="36"/>
      <c r="Y30" s="36"/>
      <c r="Z30" s="41"/>
      <c r="AA30" s="42" t="e">
        <f>_xlfn.XLOOKUP(C30,#REF!,#REF!,"",0,1)</f>
        <v>#REF!</v>
      </c>
      <c r="AB30" s="43">
        <f t="shared" si="1"/>
        <v>0</v>
      </c>
    </row>
    <row r="31" spans="1:28" ht="182.5" thickBot="1" x14ac:dyDescent="0.3">
      <c r="A31" s="36">
        <v>30</v>
      </c>
      <c r="B31" s="36" t="s">
        <v>24</v>
      </c>
      <c r="C31" s="36" t="s">
        <v>263</v>
      </c>
      <c r="D31" s="37">
        <v>46008</v>
      </c>
      <c r="E31" s="36" t="s">
        <v>95</v>
      </c>
      <c r="F31" s="36" t="s">
        <v>151</v>
      </c>
      <c r="G31" s="36" t="s">
        <v>42</v>
      </c>
      <c r="H31" s="36" t="s">
        <v>156</v>
      </c>
      <c r="I31" s="36" t="s">
        <v>44</v>
      </c>
      <c r="J31" s="36" t="str">
        <f t="shared" si="0"/>
        <v>Animal Husbandry &amp; FisheriesFisheries EstablishmentB (Gazetted)Fisheries Development Officer And Others (Tech.)S15 (41800 - 132300)</v>
      </c>
      <c r="K31" s="36" t="s">
        <v>98</v>
      </c>
      <c r="L31" s="36" t="s">
        <v>247</v>
      </c>
      <c r="M31" s="38" t="s">
        <v>153</v>
      </c>
      <c r="N31" s="36" t="s">
        <v>41</v>
      </c>
      <c r="O31" s="6" t="s">
        <v>33</v>
      </c>
      <c r="P31" s="7">
        <v>4</v>
      </c>
      <c r="Q31" s="7" t="s">
        <v>34</v>
      </c>
      <c r="R31" s="8"/>
      <c r="S31" s="8"/>
      <c r="T31" s="7" t="s">
        <v>35</v>
      </c>
      <c r="U31" s="36" t="s">
        <v>61</v>
      </c>
      <c r="V31" s="38"/>
      <c r="W31" s="36"/>
      <c r="X31" s="36"/>
      <c r="Y31" s="36"/>
      <c r="Z31" s="41"/>
      <c r="AA31" s="42" t="e">
        <f>_xlfn.XLOOKUP(C31,#REF!,#REF!,"",0,1)</f>
        <v>#REF!</v>
      </c>
      <c r="AB31" s="43">
        <f t="shared" si="1"/>
        <v>0</v>
      </c>
    </row>
    <row r="32" spans="1:28" ht="143.5" thickBot="1" x14ac:dyDescent="0.3">
      <c r="A32" s="36">
        <v>31</v>
      </c>
      <c r="B32" s="36" t="s">
        <v>24</v>
      </c>
      <c r="C32" s="36" t="s">
        <v>263</v>
      </c>
      <c r="D32" s="37">
        <v>46008</v>
      </c>
      <c r="E32" s="36" t="s">
        <v>95</v>
      </c>
      <c r="F32" s="36" t="s">
        <v>151</v>
      </c>
      <c r="G32" s="36" t="s">
        <v>55</v>
      </c>
      <c r="H32" s="36" t="s">
        <v>157</v>
      </c>
      <c r="I32" s="36" t="s">
        <v>57</v>
      </c>
      <c r="J32" s="36" t="str">
        <f t="shared" si="0"/>
        <v>Animal Husbandry &amp; FisheriesFisheries EstablishmentCAssistant Fisheries Development OfficerS13 (35400 - 112400)</v>
      </c>
      <c r="K32" s="36" t="s">
        <v>158</v>
      </c>
      <c r="L32" s="36" t="s">
        <v>225</v>
      </c>
      <c r="M32" s="38" t="s">
        <v>153</v>
      </c>
      <c r="N32" s="36" t="s">
        <v>41</v>
      </c>
      <c r="O32" s="6" t="s">
        <v>33</v>
      </c>
      <c r="P32" s="7">
        <v>70</v>
      </c>
      <c r="Q32" s="7" t="s">
        <v>34</v>
      </c>
      <c r="R32" s="8"/>
      <c r="S32" s="8"/>
      <c r="T32" s="7" t="s">
        <v>35</v>
      </c>
      <c r="U32" s="36" t="s">
        <v>61</v>
      </c>
      <c r="V32" s="38" t="s">
        <v>159</v>
      </c>
      <c r="W32" s="36"/>
      <c r="X32" s="36" t="s">
        <v>160</v>
      </c>
      <c r="Y32" s="36" t="s">
        <v>161</v>
      </c>
      <c r="Z32" s="41"/>
      <c r="AA32" s="42" t="e">
        <f>_xlfn.XLOOKUP(C32,#REF!,#REF!,"",0,1)</f>
        <v>#REF!</v>
      </c>
      <c r="AB32" s="43">
        <f t="shared" si="1"/>
        <v>0</v>
      </c>
    </row>
    <row r="33" spans="1:28" ht="117.5" thickBot="1" x14ac:dyDescent="0.3">
      <c r="A33" s="36">
        <v>32</v>
      </c>
      <c r="B33" s="36" t="s">
        <v>24</v>
      </c>
      <c r="C33" s="36" t="s">
        <v>263</v>
      </c>
      <c r="D33" s="37">
        <v>46008</v>
      </c>
      <c r="E33" s="36" t="s">
        <v>95</v>
      </c>
      <c r="F33" s="36" t="s">
        <v>151</v>
      </c>
      <c r="G33" s="36" t="s">
        <v>55</v>
      </c>
      <c r="H33" s="36" t="s">
        <v>162</v>
      </c>
      <c r="I33" s="36" t="s">
        <v>67</v>
      </c>
      <c r="J33" s="36" t="str">
        <f t="shared" si="0"/>
        <v>Animal Husbandry &amp; FisheriesFisheries EstablishmentCMechanical InstructorS14 (38600 - 122800)</v>
      </c>
      <c r="K33" s="36" t="s">
        <v>163</v>
      </c>
      <c r="L33" s="36" t="s">
        <v>225</v>
      </c>
      <c r="M33" s="38" t="s">
        <v>164</v>
      </c>
      <c r="N33" s="36" t="s">
        <v>165</v>
      </c>
      <c r="O33" s="6" t="s">
        <v>33</v>
      </c>
      <c r="P33" s="7">
        <v>2</v>
      </c>
      <c r="Q33" s="7" t="s">
        <v>34</v>
      </c>
      <c r="R33" s="8"/>
      <c r="S33" s="8"/>
      <c r="T33" s="7" t="s">
        <v>35</v>
      </c>
      <c r="U33" s="36" t="s">
        <v>61</v>
      </c>
      <c r="V33" s="38" t="s">
        <v>166</v>
      </c>
      <c r="W33" s="36"/>
      <c r="X33" s="36" t="s">
        <v>150</v>
      </c>
      <c r="Y33" s="36" t="s">
        <v>150</v>
      </c>
      <c r="Z33" s="41"/>
      <c r="AA33" s="42" t="e">
        <f>_xlfn.XLOOKUP(C33,#REF!,#REF!,"",0,1)</f>
        <v>#REF!</v>
      </c>
      <c r="AB33" s="43">
        <f t="shared" si="1"/>
        <v>0</v>
      </c>
    </row>
    <row r="34" spans="1:28" ht="91.5" thickBot="1" x14ac:dyDescent="0.3">
      <c r="A34" s="36">
        <v>33</v>
      </c>
      <c r="B34" s="36" t="s">
        <v>24</v>
      </c>
      <c r="C34" s="36" t="s">
        <v>263</v>
      </c>
      <c r="D34" s="37">
        <v>46008</v>
      </c>
      <c r="E34" s="36" t="s">
        <v>95</v>
      </c>
      <c r="F34" s="36" t="s">
        <v>151</v>
      </c>
      <c r="G34" s="36" t="s">
        <v>55</v>
      </c>
      <c r="H34" s="36" t="s">
        <v>123</v>
      </c>
      <c r="I34" s="36" t="s">
        <v>74</v>
      </c>
      <c r="J34" s="36" t="str">
        <f t="shared" si="0"/>
        <v>Animal Husbandry &amp; FisheriesFisheries EstablishmentCJunior ClerkS6 (19900 - 63200)</v>
      </c>
      <c r="K34" s="36" t="s">
        <v>75</v>
      </c>
      <c r="L34" s="36" t="s">
        <v>228</v>
      </c>
      <c r="M34" s="38" t="s">
        <v>155</v>
      </c>
      <c r="N34" s="36" t="s">
        <v>41</v>
      </c>
      <c r="O34" s="6" t="s">
        <v>33</v>
      </c>
      <c r="P34" s="7">
        <v>45</v>
      </c>
      <c r="Q34" s="7" t="s">
        <v>100</v>
      </c>
      <c r="R34" s="7">
        <v>19</v>
      </c>
      <c r="S34" s="7" t="s">
        <v>167</v>
      </c>
      <c r="T34" s="7" t="s">
        <v>35</v>
      </c>
      <c r="U34" s="36" t="s">
        <v>61</v>
      </c>
      <c r="V34" s="38"/>
      <c r="W34" s="36"/>
      <c r="X34" s="36"/>
      <c r="Y34" s="36"/>
      <c r="Z34" s="41"/>
      <c r="AA34" s="42" t="e">
        <f>_xlfn.XLOOKUP(C34,#REF!,#REF!,"",0,1)</f>
        <v>#REF!</v>
      </c>
      <c r="AB34" s="43">
        <f t="shared" si="1"/>
        <v>0</v>
      </c>
    </row>
    <row r="35" spans="1:28" ht="91.5" thickBot="1" x14ac:dyDescent="0.3">
      <c r="A35" s="36">
        <v>34</v>
      </c>
      <c r="B35" s="36" t="s">
        <v>24</v>
      </c>
      <c r="C35" s="36" t="s">
        <v>263</v>
      </c>
      <c r="D35" s="37">
        <v>46008</v>
      </c>
      <c r="E35" s="36" t="s">
        <v>95</v>
      </c>
      <c r="F35" s="36" t="s">
        <v>151</v>
      </c>
      <c r="G35" s="36" t="s">
        <v>55</v>
      </c>
      <c r="H35" s="36" t="s">
        <v>168</v>
      </c>
      <c r="I35" s="36" t="s">
        <v>169</v>
      </c>
      <c r="J35" s="36" t="str">
        <f t="shared" si="0"/>
        <v>Animal Husbandry &amp; FisheriesFisheries EstablishmentCLibrarianS7 (21700 - 69100)</v>
      </c>
      <c r="K35" s="36" t="s">
        <v>170</v>
      </c>
      <c r="L35" s="36" t="s">
        <v>228</v>
      </c>
      <c r="M35" s="38" t="s">
        <v>171</v>
      </c>
      <c r="N35" s="36" t="s">
        <v>172</v>
      </c>
      <c r="O35" s="6" t="s">
        <v>33</v>
      </c>
      <c r="P35" s="7">
        <v>1</v>
      </c>
      <c r="Q35" s="7" t="s">
        <v>34</v>
      </c>
      <c r="R35" s="8"/>
      <c r="S35" s="8"/>
      <c r="T35" s="7" t="s">
        <v>2395</v>
      </c>
      <c r="U35" s="36" t="s">
        <v>61</v>
      </c>
      <c r="V35" s="38" t="s">
        <v>173</v>
      </c>
      <c r="W35" s="36"/>
      <c r="X35" s="36" t="s">
        <v>150</v>
      </c>
      <c r="Y35" s="36" t="s">
        <v>150</v>
      </c>
      <c r="Z35" s="41"/>
      <c r="AA35" s="42" t="e">
        <f>_xlfn.XLOOKUP(C35,#REF!,#REF!,"",0,1)</f>
        <v>#REF!</v>
      </c>
      <c r="AB35" s="43">
        <f t="shared" si="1"/>
        <v>0</v>
      </c>
    </row>
    <row r="36" spans="1:28" ht="91.5" thickBot="1" x14ac:dyDescent="0.35">
      <c r="A36" s="36">
        <v>35</v>
      </c>
      <c r="B36" s="36" t="s">
        <v>24</v>
      </c>
      <c r="C36" s="36" t="s">
        <v>263</v>
      </c>
      <c r="D36" s="37">
        <v>46008</v>
      </c>
      <c r="E36" s="36" t="s">
        <v>95</v>
      </c>
      <c r="F36" s="36" t="s">
        <v>151</v>
      </c>
      <c r="G36" s="36" t="s">
        <v>55</v>
      </c>
      <c r="H36" s="36" t="s">
        <v>87</v>
      </c>
      <c r="I36" s="36" t="s">
        <v>80</v>
      </c>
      <c r="J36" s="36" t="str">
        <f t="shared" si="0"/>
        <v>Animal Husbandry &amp; FisheriesFisheries EstablishmentCSenior ClerkS8 (25500 - 81100)</v>
      </c>
      <c r="K36" s="36" t="s">
        <v>75</v>
      </c>
      <c r="L36" s="36" t="s">
        <v>228</v>
      </c>
      <c r="M36" s="38" t="s">
        <v>155</v>
      </c>
      <c r="N36" s="36" t="s">
        <v>70</v>
      </c>
      <c r="O36" s="6" t="s">
        <v>33</v>
      </c>
      <c r="P36" s="7">
        <v>20</v>
      </c>
      <c r="Q36" s="7" t="s">
        <v>34</v>
      </c>
      <c r="R36" s="8"/>
      <c r="S36" s="14"/>
      <c r="T36" s="7" t="s">
        <v>35</v>
      </c>
      <c r="U36" s="36" t="s">
        <v>61</v>
      </c>
      <c r="V36" s="38" t="s">
        <v>174</v>
      </c>
      <c r="W36" s="36"/>
      <c r="X36" s="36" t="s">
        <v>175</v>
      </c>
      <c r="Y36" s="36" t="s">
        <v>176</v>
      </c>
      <c r="Z36" s="41"/>
      <c r="AA36" s="42" t="e">
        <f>_xlfn.XLOOKUP(C36,#REF!,#REF!,"",0,1)</f>
        <v>#REF!</v>
      </c>
      <c r="AB36" s="43">
        <f t="shared" si="1"/>
        <v>0</v>
      </c>
    </row>
    <row r="37" spans="1:28" ht="104.5" thickBot="1" x14ac:dyDescent="0.3">
      <c r="A37" s="36">
        <v>36</v>
      </c>
      <c r="B37" s="36" t="s">
        <v>24</v>
      </c>
      <c r="C37" s="36" t="s">
        <v>263</v>
      </c>
      <c r="D37" s="37">
        <v>46008</v>
      </c>
      <c r="E37" s="36" t="s">
        <v>95</v>
      </c>
      <c r="F37" s="36" t="s">
        <v>151</v>
      </c>
      <c r="G37" s="36" t="s">
        <v>55</v>
      </c>
      <c r="H37" s="36" t="s">
        <v>177</v>
      </c>
      <c r="I37" s="36" t="s">
        <v>80</v>
      </c>
      <c r="J37" s="36" t="str">
        <f t="shared" si="0"/>
        <v>Animal Husbandry &amp; FisheriesFisheries EstablishmentCStatistical AssistantS8 (25500 - 81100)</v>
      </c>
      <c r="K37" s="36" t="s">
        <v>115</v>
      </c>
      <c r="L37" s="36" t="s">
        <v>225</v>
      </c>
      <c r="M37" s="38" t="s">
        <v>178</v>
      </c>
      <c r="N37" s="36" t="s">
        <v>179</v>
      </c>
      <c r="O37" s="6" t="s">
        <v>33</v>
      </c>
      <c r="P37" s="7">
        <v>5</v>
      </c>
      <c r="Q37" s="7" t="s">
        <v>34</v>
      </c>
      <c r="R37" s="8"/>
      <c r="S37" s="8"/>
      <c r="T37" s="7" t="s">
        <v>61</v>
      </c>
      <c r="U37" s="36" t="s">
        <v>61</v>
      </c>
      <c r="V37" s="38" t="s">
        <v>180</v>
      </c>
      <c r="W37" s="36"/>
      <c r="X37" s="36" t="s">
        <v>181</v>
      </c>
      <c r="Y37" s="36" t="s">
        <v>182</v>
      </c>
      <c r="Z37" s="41"/>
      <c r="AA37" s="42" t="e">
        <f>_xlfn.XLOOKUP(C37,#REF!,#REF!,"",0,1)</f>
        <v>#REF!</v>
      </c>
      <c r="AB37" s="43">
        <f t="shared" si="1"/>
        <v>0</v>
      </c>
    </row>
    <row r="38" spans="1:28" ht="169.5" thickBot="1" x14ac:dyDescent="0.3">
      <c r="A38" s="36">
        <v>37</v>
      </c>
      <c r="B38" s="36" t="s">
        <v>24</v>
      </c>
      <c r="C38" s="36" t="s">
        <v>183</v>
      </c>
      <c r="D38" s="37">
        <v>40668</v>
      </c>
      <c r="E38" s="36" t="s">
        <v>184</v>
      </c>
      <c r="F38" s="36" t="s">
        <v>185</v>
      </c>
      <c r="G38" s="36" t="s">
        <v>28</v>
      </c>
      <c r="H38" s="36" t="s">
        <v>186</v>
      </c>
      <c r="I38" s="36" t="s">
        <v>38</v>
      </c>
      <c r="J38" s="36" t="str">
        <f t="shared" si="0"/>
        <v>Cooperative MarketingCooperation (Administration Dept) EstablishmentADeputy Registrar, Co-operative Societies Group-AS20 (56100 - 177500)</v>
      </c>
      <c r="K38" s="36" t="s">
        <v>45</v>
      </c>
      <c r="L38" s="36" t="s">
        <v>247</v>
      </c>
      <c r="M38" s="38" t="s">
        <v>187</v>
      </c>
      <c r="N38" s="36" t="s">
        <v>41</v>
      </c>
      <c r="O38" s="6" t="s">
        <v>33</v>
      </c>
      <c r="P38" s="10">
        <v>0</v>
      </c>
      <c r="Q38" s="7" t="s">
        <v>34</v>
      </c>
      <c r="R38" s="8"/>
      <c r="S38" s="8"/>
      <c r="T38" s="7" t="s">
        <v>2395</v>
      </c>
      <c r="U38" s="36" t="s">
        <v>188</v>
      </c>
      <c r="V38" s="38"/>
      <c r="W38" s="36"/>
      <c r="X38" s="36"/>
      <c r="Y38" s="36"/>
      <c r="Z38" s="41"/>
      <c r="AA38" s="42" t="e">
        <f>_xlfn.XLOOKUP(C38,#REF!,#REF!,"",0,1)</f>
        <v>#REF!</v>
      </c>
      <c r="AB38" s="43">
        <f t="shared" si="1"/>
        <v>0</v>
      </c>
    </row>
    <row r="39" spans="1:28" ht="182.5" thickBot="1" x14ac:dyDescent="0.3">
      <c r="A39" s="36">
        <v>38</v>
      </c>
      <c r="B39" s="36" t="s">
        <v>24</v>
      </c>
      <c r="C39" s="36" t="s">
        <v>183</v>
      </c>
      <c r="D39" s="37">
        <v>40668</v>
      </c>
      <c r="E39" s="36" t="s">
        <v>184</v>
      </c>
      <c r="F39" s="36" t="s">
        <v>185</v>
      </c>
      <c r="G39" s="36" t="s">
        <v>42</v>
      </c>
      <c r="H39" s="36" t="s">
        <v>189</v>
      </c>
      <c r="I39" s="36" t="s">
        <v>44</v>
      </c>
      <c r="J39" s="36" t="str">
        <f t="shared" si="0"/>
        <v>Cooperative MarketingCooperation (Administration Dept) EstablishmentB (Gazetted)Assistant Registrar, Co-operative Societies Group-BS15 (41800 - 132300)</v>
      </c>
      <c r="K39" s="36" t="s">
        <v>45</v>
      </c>
      <c r="L39" s="36" t="s">
        <v>247</v>
      </c>
      <c r="M39" s="38" t="s">
        <v>187</v>
      </c>
      <c r="N39" s="36" t="s">
        <v>41</v>
      </c>
      <c r="O39" s="6" t="s">
        <v>33</v>
      </c>
      <c r="P39" s="7">
        <v>42</v>
      </c>
      <c r="Q39" s="7" t="s">
        <v>34</v>
      </c>
      <c r="R39" s="8"/>
      <c r="S39" s="8"/>
      <c r="T39" s="7" t="s">
        <v>61</v>
      </c>
      <c r="U39" s="36" t="s">
        <v>188</v>
      </c>
      <c r="V39" s="38"/>
      <c r="W39" s="36"/>
      <c r="X39" s="36"/>
      <c r="Y39" s="36"/>
      <c r="Z39" s="41"/>
      <c r="AA39" s="42" t="e">
        <f>_xlfn.XLOOKUP(C39,#REF!,#REF!,"",0,1)</f>
        <v>#REF!</v>
      </c>
      <c r="AB39" s="43">
        <f t="shared" si="1"/>
        <v>0</v>
      </c>
    </row>
    <row r="40" spans="1:28" ht="156.5" thickBot="1" x14ac:dyDescent="0.3">
      <c r="A40" s="36">
        <v>39</v>
      </c>
      <c r="B40" s="36" t="s">
        <v>24</v>
      </c>
      <c r="C40" s="36" t="s">
        <v>183</v>
      </c>
      <c r="D40" s="37">
        <v>40668</v>
      </c>
      <c r="E40" s="36" t="s">
        <v>184</v>
      </c>
      <c r="F40" s="36" t="s">
        <v>190</v>
      </c>
      <c r="G40" s="36" t="s">
        <v>28</v>
      </c>
      <c r="H40" s="36" t="s">
        <v>191</v>
      </c>
      <c r="I40" s="36" t="s">
        <v>38</v>
      </c>
      <c r="J40" s="36" t="str">
        <f t="shared" si="0"/>
        <v>Cooperative MarketingCooperation (Audit Dept) EstablishmentASpecial Auditor, Co-operative Societies (Audit), Group -AS20 (56100 - 177500)</v>
      </c>
      <c r="K40" s="36" t="s">
        <v>45</v>
      </c>
      <c r="L40" s="36" t="s">
        <v>247</v>
      </c>
      <c r="M40" s="38" t="s">
        <v>192</v>
      </c>
      <c r="N40" s="36" t="s">
        <v>47</v>
      </c>
      <c r="O40" s="6" t="s">
        <v>83</v>
      </c>
      <c r="P40" s="7">
        <v>70</v>
      </c>
      <c r="Q40" s="7" t="s">
        <v>34</v>
      </c>
      <c r="R40" s="8"/>
      <c r="S40" s="8"/>
      <c r="T40" s="7" t="s">
        <v>35</v>
      </c>
      <c r="U40" s="36" t="s">
        <v>35</v>
      </c>
      <c r="V40" s="38"/>
      <c r="W40" s="36"/>
      <c r="X40" s="36"/>
      <c r="Y40" s="36"/>
      <c r="Z40" s="41"/>
      <c r="AA40" s="42" t="e">
        <f>_xlfn.XLOOKUP(C40,#REF!,#REF!,"",0,1)</f>
        <v>#REF!</v>
      </c>
      <c r="AB40" s="43">
        <f t="shared" si="1"/>
        <v>0</v>
      </c>
    </row>
    <row r="41" spans="1:28" ht="169.5" thickBot="1" x14ac:dyDescent="0.3">
      <c r="A41" s="36">
        <v>40</v>
      </c>
      <c r="B41" s="36" t="s">
        <v>24</v>
      </c>
      <c r="C41" s="36" t="s">
        <v>183</v>
      </c>
      <c r="D41" s="37">
        <v>40668</v>
      </c>
      <c r="E41" s="36" t="s">
        <v>184</v>
      </c>
      <c r="F41" s="36" t="s">
        <v>190</v>
      </c>
      <c r="G41" s="36" t="s">
        <v>42</v>
      </c>
      <c r="H41" s="36" t="s">
        <v>193</v>
      </c>
      <c r="I41" s="36" t="s">
        <v>44</v>
      </c>
      <c r="J41" s="36" t="str">
        <f t="shared" si="0"/>
        <v>Cooperative MarketingCooperation (Audit Dept) EstablishmentB (Gazetted)Special Auditor, Co-operative Societies (Audit), Group -BS15 (41800 - 132300)</v>
      </c>
      <c r="K41" s="36" t="s">
        <v>45</v>
      </c>
      <c r="L41" s="36" t="s">
        <v>247</v>
      </c>
      <c r="M41" s="38" t="s">
        <v>194</v>
      </c>
      <c r="N41" s="36" t="s">
        <v>47</v>
      </c>
      <c r="O41" s="6" t="s">
        <v>83</v>
      </c>
      <c r="P41" s="7">
        <v>62</v>
      </c>
      <c r="Q41" s="7" t="s">
        <v>34</v>
      </c>
      <c r="R41" s="8"/>
      <c r="S41" s="8"/>
      <c r="T41" s="7" t="s">
        <v>61</v>
      </c>
      <c r="U41" s="36" t="s">
        <v>35</v>
      </c>
      <c r="V41" s="38"/>
      <c r="W41" s="36"/>
      <c r="X41" s="36"/>
      <c r="Y41" s="36"/>
      <c r="Z41" s="41"/>
      <c r="AA41" s="42" t="e">
        <f>_xlfn.XLOOKUP(C41,#REF!,#REF!,"",0,1)</f>
        <v>#REF!</v>
      </c>
      <c r="AB41" s="43">
        <f t="shared" si="1"/>
        <v>0</v>
      </c>
    </row>
    <row r="42" spans="1:28" ht="104.5" thickBot="1" x14ac:dyDescent="0.3">
      <c r="A42" s="36">
        <v>41</v>
      </c>
      <c r="B42" s="36" t="s">
        <v>24</v>
      </c>
      <c r="C42" s="36" t="s">
        <v>183</v>
      </c>
      <c r="D42" s="37">
        <v>40668</v>
      </c>
      <c r="E42" s="36" t="s">
        <v>184</v>
      </c>
      <c r="F42" s="36" t="s">
        <v>195</v>
      </c>
      <c r="G42" s="36" t="s">
        <v>55</v>
      </c>
      <c r="H42" s="36" t="s">
        <v>196</v>
      </c>
      <c r="I42" s="36" t="s">
        <v>57</v>
      </c>
      <c r="J42" s="36" t="str">
        <f t="shared" si="0"/>
        <v>Cooperative MarketingCooperation EstablishmentCCo-operative officer Grade-2S13 (35400 - 112400)</v>
      </c>
      <c r="K42" s="36" t="s">
        <v>197</v>
      </c>
      <c r="L42" s="36" t="s">
        <v>228</v>
      </c>
      <c r="M42" s="38" t="s">
        <v>198</v>
      </c>
      <c r="N42" s="36" t="s">
        <v>199</v>
      </c>
      <c r="O42" s="6" t="s">
        <v>33</v>
      </c>
      <c r="P42" s="7">
        <v>40</v>
      </c>
      <c r="Q42" s="7" t="s">
        <v>34</v>
      </c>
      <c r="R42" s="8"/>
      <c r="S42" s="8"/>
      <c r="T42" s="7" t="s">
        <v>35</v>
      </c>
      <c r="U42" s="36" t="s">
        <v>36</v>
      </c>
      <c r="V42" s="38" t="s">
        <v>200</v>
      </c>
      <c r="W42" s="36"/>
      <c r="X42" s="36" t="s">
        <v>201</v>
      </c>
      <c r="Y42" s="46">
        <v>26001</v>
      </c>
      <c r="Z42" s="41"/>
      <c r="AA42" s="42" t="e">
        <f>_xlfn.XLOOKUP(C42,#REF!,#REF!,"",0,1)</f>
        <v>#REF!</v>
      </c>
      <c r="AB42" s="43">
        <f t="shared" si="1"/>
        <v>0</v>
      </c>
    </row>
    <row r="43" spans="1:28" ht="91.5" thickBot="1" x14ac:dyDescent="0.3">
      <c r="A43" s="36">
        <v>42</v>
      </c>
      <c r="B43" s="36" t="s">
        <v>24</v>
      </c>
      <c r="C43" s="36" t="s">
        <v>183</v>
      </c>
      <c r="D43" s="37">
        <v>40668</v>
      </c>
      <c r="E43" s="36" t="s">
        <v>184</v>
      </c>
      <c r="F43" s="36" t="s">
        <v>195</v>
      </c>
      <c r="G43" s="36" t="s">
        <v>55</v>
      </c>
      <c r="H43" s="36" t="s">
        <v>202</v>
      </c>
      <c r="I43" s="36" t="s">
        <v>57</v>
      </c>
      <c r="J43" s="36" t="str">
        <f t="shared" si="0"/>
        <v>Cooperative MarketingCooperation EstablishmentCAuditor Grade - 2S13 (35400 - 112400)</v>
      </c>
      <c r="K43" s="36" t="s">
        <v>203</v>
      </c>
      <c r="L43" s="36" t="s">
        <v>225</v>
      </c>
      <c r="M43" s="38" t="s">
        <v>204</v>
      </c>
      <c r="N43" s="36" t="s">
        <v>41</v>
      </c>
      <c r="O43" s="6" t="s">
        <v>83</v>
      </c>
      <c r="P43" s="7">
        <v>121</v>
      </c>
      <c r="Q43" s="7" t="s">
        <v>34</v>
      </c>
      <c r="R43" s="8"/>
      <c r="S43" s="8"/>
      <c r="T43" s="7" t="s">
        <v>35</v>
      </c>
      <c r="U43" s="36" t="s">
        <v>36</v>
      </c>
      <c r="V43" s="38" t="s">
        <v>205</v>
      </c>
      <c r="W43" s="36"/>
      <c r="X43" s="36" t="s">
        <v>201</v>
      </c>
      <c r="Y43" s="46">
        <v>26002</v>
      </c>
      <c r="Z43" s="41"/>
      <c r="AA43" s="42" t="e">
        <f>_xlfn.XLOOKUP(C43,#REF!,#REF!,"",0,1)</f>
        <v>#REF!</v>
      </c>
      <c r="AB43" s="43">
        <f t="shared" si="1"/>
        <v>0</v>
      </c>
    </row>
    <row r="44" spans="1:28" ht="104.5" thickBot="1" x14ac:dyDescent="0.3">
      <c r="A44" s="36">
        <v>43</v>
      </c>
      <c r="B44" s="36" t="s">
        <v>24</v>
      </c>
      <c r="C44" s="36" t="s">
        <v>183</v>
      </c>
      <c r="D44" s="37">
        <v>40668</v>
      </c>
      <c r="E44" s="36" t="s">
        <v>184</v>
      </c>
      <c r="F44" s="36" t="s">
        <v>195</v>
      </c>
      <c r="G44" s="36" t="s">
        <v>55</v>
      </c>
      <c r="H44" s="36" t="s">
        <v>206</v>
      </c>
      <c r="I44" s="36" t="s">
        <v>67</v>
      </c>
      <c r="J44" s="36" t="str">
        <f t="shared" si="0"/>
        <v>Cooperative MarketingCooperation EstablishmentCCo-operative officer Grade-1S14 (38600 - 122800)</v>
      </c>
      <c r="K44" s="36" t="s">
        <v>197</v>
      </c>
      <c r="L44" s="36" t="s">
        <v>228</v>
      </c>
      <c r="M44" s="38" t="s">
        <v>207</v>
      </c>
      <c r="N44" s="36" t="s">
        <v>199</v>
      </c>
      <c r="O44" s="6" t="s">
        <v>33</v>
      </c>
      <c r="P44" s="7">
        <v>35</v>
      </c>
      <c r="Q44" s="7" t="s">
        <v>34</v>
      </c>
      <c r="R44" s="8"/>
      <c r="S44" s="8"/>
      <c r="T44" s="7" t="s">
        <v>35</v>
      </c>
      <c r="U44" s="36" t="s">
        <v>36</v>
      </c>
      <c r="V44" s="38" t="s">
        <v>208</v>
      </c>
      <c r="W44" s="36"/>
      <c r="X44" s="36" t="s">
        <v>209</v>
      </c>
      <c r="Y44" s="46">
        <v>26002</v>
      </c>
      <c r="Z44" s="41"/>
      <c r="AA44" s="42" t="e">
        <f>_xlfn.XLOOKUP(C44,#REF!,#REF!,"",0,1)</f>
        <v>#REF!</v>
      </c>
      <c r="AB44" s="43">
        <f t="shared" si="1"/>
        <v>0</v>
      </c>
    </row>
    <row r="45" spans="1:28" ht="91.5" thickBot="1" x14ac:dyDescent="0.3">
      <c r="A45" s="36">
        <v>44</v>
      </c>
      <c r="B45" s="36" t="s">
        <v>24</v>
      </c>
      <c r="C45" s="36" t="s">
        <v>183</v>
      </c>
      <c r="D45" s="37">
        <v>40668</v>
      </c>
      <c r="E45" s="36" t="s">
        <v>184</v>
      </c>
      <c r="F45" s="36" t="s">
        <v>195</v>
      </c>
      <c r="G45" s="36" t="s">
        <v>55</v>
      </c>
      <c r="H45" s="36" t="s">
        <v>210</v>
      </c>
      <c r="I45" s="36" t="s">
        <v>67</v>
      </c>
      <c r="J45" s="36" t="str">
        <f t="shared" si="0"/>
        <v>Cooperative MarketingCooperation EstablishmentCAuditor Grade - 1S14 (38600 - 122800)</v>
      </c>
      <c r="K45" s="36" t="s">
        <v>203</v>
      </c>
      <c r="L45" s="36" t="s">
        <v>225</v>
      </c>
      <c r="M45" s="38" t="s">
        <v>211</v>
      </c>
      <c r="N45" s="36" t="s">
        <v>41</v>
      </c>
      <c r="O45" s="6" t="s">
        <v>83</v>
      </c>
      <c r="P45" s="7">
        <v>25</v>
      </c>
      <c r="Q45" s="7" t="s">
        <v>34</v>
      </c>
      <c r="R45" s="8"/>
      <c r="S45" s="8"/>
      <c r="T45" s="7" t="s">
        <v>35</v>
      </c>
      <c r="U45" s="36" t="s">
        <v>36</v>
      </c>
      <c r="V45" s="38" t="s">
        <v>205</v>
      </c>
      <c r="W45" s="36"/>
      <c r="X45" s="36" t="s">
        <v>201</v>
      </c>
      <c r="Y45" s="46">
        <v>26001</v>
      </c>
      <c r="Z45" s="41"/>
      <c r="AA45" s="42" t="e">
        <f>_xlfn.XLOOKUP(C45,#REF!,#REF!,"",0,1)</f>
        <v>#REF!</v>
      </c>
      <c r="AB45" s="43">
        <f t="shared" si="1"/>
        <v>0</v>
      </c>
    </row>
    <row r="46" spans="1:28" ht="104.5" thickBot="1" x14ac:dyDescent="0.3">
      <c r="A46" s="36">
        <v>45</v>
      </c>
      <c r="B46" s="36" t="s">
        <v>24</v>
      </c>
      <c r="C46" s="36" t="s">
        <v>183</v>
      </c>
      <c r="D46" s="37">
        <v>40668</v>
      </c>
      <c r="E46" s="36" t="s">
        <v>184</v>
      </c>
      <c r="F46" s="36" t="s">
        <v>195</v>
      </c>
      <c r="G46" s="36" t="s">
        <v>55</v>
      </c>
      <c r="H46" s="36" t="s">
        <v>212</v>
      </c>
      <c r="I46" s="36" t="s">
        <v>44</v>
      </c>
      <c r="J46" s="36" t="str">
        <f t="shared" si="0"/>
        <v>Cooperative MarketingCooperation EstablishmentCLower Grade StenographerS15 (41800 - 132300)</v>
      </c>
      <c r="K46" s="36" t="s">
        <v>68</v>
      </c>
      <c r="L46" s="36" t="s">
        <v>231</v>
      </c>
      <c r="M46" s="38" t="s">
        <v>213</v>
      </c>
      <c r="N46" s="36" t="s">
        <v>70</v>
      </c>
      <c r="O46" s="6" t="s">
        <v>33</v>
      </c>
      <c r="P46" s="7">
        <v>12</v>
      </c>
      <c r="Q46" s="7" t="s">
        <v>34</v>
      </c>
      <c r="R46" s="8"/>
      <c r="S46" s="8"/>
      <c r="T46" s="4" t="s">
        <v>3276</v>
      </c>
      <c r="U46" s="36" t="s">
        <v>35</v>
      </c>
      <c r="V46" s="38"/>
      <c r="W46" s="36"/>
      <c r="X46" s="36"/>
      <c r="Y46" s="36"/>
      <c r="Z46" s="41"/>
      <c r="AA46" s="42" t="e">
        <f>_xlfn.XLOOKUP(C46,#REF!,#REF!,"",0,1)</f>
        <v>#REF!</v>
      </c>
      <c r="AB46" s="43">
        <f t="shared" si="1"/>
        <v>0</v>
      </c>
    </row>
    <row r="47" spans="1:28" ht="91.5" thickBot="1" x14ac:dyDescent="0.3">
      <c r="A47" s="36">
        <v>46</v>
      </c>
      <c r="B47" s="36" t="s">
        <v>24</v>
      </c>
      <c r="C47" s="36" t="s">
        <v>183</v>
      </c>
      <c r="D47" s="37">
        <v>40668</v>
      </c>
      <c r="E47" s="36" t="s">
        <v>184</v>
      </c>
      <c r="F47" s="36" t="s">
        <v>195</v>
      </c>
      <c r="G47" s="36" t="s">
        <v>55</v>
      </c>
      <c r="H47" s="36" t="s">
        <v>68</v>
      </c>
      <c r="I47" s="36" t="s">
        <v>44</v>
      </c>
      <c r="J47" s="36" t="str">
        <f t="shared" si="0"/>
        <v>Cooperative MarketingCooperation EstablishmentCStenographerS15 (41800 - 132300)</v>
      </c>
      <c r="K47" s="36" t="s">
        <v>68</v>
      </c>
      <c r="L47" s="36" t="s">
        <v>231</v>
      </c>
      <c r="M47" s="38" t="s">
        <v>213</v>
      </c>
      <c r="N47" s="36" t="s">
        <v>70</v>
      </c>
      <c r="O47" s="6" t="s">
        <v>33</v>
      </c>
      <c r="P47" s="7">
        <v>1</v>
      </c>
      <c r="Q47" s="7" t="s">
        <v>34</v>
      </c>
      <c r="R47" s="8"/>
      <c r="S47" s="8"/>
      <c r="T47" s="4" t="s">
        <v>3276</v>
      </c>
      <c r="U47" s="36" t="s">
        <v>35</v>
      </c>
      <c r="V47" s="38"/>
      <c r="W47" s="36"/>
      <c r="X47" s="36"/>
      <c r="Y47" s="36"/>
      <c r="Z47" s="41"/>
      <c r="AA47" s="42" t="e">
        <f>_xlfn.XLOOKUP(C47,#REF!,#REF!,"",0,1)</f>
        <v>#REF!</v>
      </c>
      <c r="AB47" s="43">
        <f t="shared" si="1"/>
        <v>0</v>
      </c>
    </row>
    <row r="48" spans="1:28" ht="104.5" thickBot="1" x14ac:dyDescent="0.3">
      <c r="A48" s="36">
        <v>47</v>
      </c>
      <c r="B48" s="36" t="s">
        <v>24</v>
      </c>
      <c r="C48" s="36" t="s">
        <v>183</v>
      </c>
      <c r="D48" s="37">
        <v>40668</v>
      </c>
      <c r="E48" s="36" t="s">
        <v>184</v>
      </c>
      <c r="F48" s="36" t="s">
        <v>195</v>
      </c>
      <c r="G48" s="36" t="s">
        <v>55</v>
      </c>
      <c r="H48" s="36" t="s">
        <v>214</v>
      </c>
      <c r="I48" s="36" t="s">
        <v>54</v>
      </c>
      <c r="J48" s="36" t="str">
        <f t="shared" si="0"/>
        <v>Cooperative MarketingCooperation EstablishmentCHigher Grade StenographerS16 (44900 - 142400)</v>
      </c>
      <c r="K48" s="36" t="s">
        <v>68</v>
      </c>
      <c r="L48" s="36" t="s">
        <v>231</v>
      </c>
      <c r="M48" s="38" t="s">
        <v>215</v>
      </c>
      <c r="N48" s="36" t="s">
        <v>70</v>
      </c>
      <c r="O48" s="6" t="s">
        <v>33</v>
      </c>
      <c r="P48" s="7">
        <v>2</v>
      </c>
      <c r="Q48" s="7" t="s">
        <v>34</v>
      </c>
      <c r="R48" s="8"/>
      <c r="S48" s="8"/>
      <c r="T48" s="4" t="s">
        <v>3276</v>
      </c>
      <c r="U48" s="36" t="s">
        <v>35</v>
      </c>
      <c r="V48" s="38"/>
      <c r="W48" s="36"/>
      <c r="X48" s="36"/>
      <c r="Y48" s="36"/>
      <c r="Z48" s="41"/>
      <c r="AA48" s="42" t="e">
        <f>_xlfn.XLOOKUP(C48,#REF!,#REF!,"",0,1)</f>
        <v>#REF!</v>
      </c>
      <c r="AB48" s="43">
        <f t="shared" si="1"/>
        <v>0</v>
      </c>
    </row>
    <row r="49" spans="1:28" ht="104.5" thickBot="1" x14ac:dyDescent="0.3">
      <c r="A49" s="36">
        <v>48</v>
      </c>
      <c r="B49" s="36" t="s">
        <v>24</v>
      </c>
      <c r="C49" s="36" t="s">
        <v>183</v>
      </c>
      <c r="D49" s="37">
        <v>40668</v>
      </c>
      <c r="E49" s="36" t="s">
        <v>184</v>
      </c>
      <c r="F49" s="36" t="s">
        <v>195</v>
      </c>
      <c r="G49" s="36" t="s">
        <v>55</v>
      </c>
      <c r="H49" s="36" t="s">
        <v>216</v>
      </c>
      <c r="I49" s="36" t="s">
        <v>74</v>
      </c>
      <c r="J49" s="36" t="str">
        <f t="shared" si="0"/>
        <v>Cooperative MarketingCooperation EstablishmentCJunior Clerk(Admin)S6 (19900 - 63200)</v>
      </c>
      <c r="K49" s="36" t="s">
        <v>75</v>
      </c>
      <c r="L49" s="36" t="s">
        <v>228</v>
      </c>
      <c r="M49" s="38" t="s">
        <v>217</v>
      </c>
      <c r="N49" s="36" t="s">
        <v>70</v>
      </c>
      <c r="O49" s="6" t="s">
        <v>33</v>
      </c>
      <c r="P49" s="7">
        <v>168</v>
      </c>
      <c r="Q49" s="7" t="s">
        <v>34</v>
      </c>
      <c r="R49" s="8"/>
      <c r="S49" s="8"/>
      <c r="T49" s="7" t="s">
        <v>35</v>
      </c>
      <c r="U49" s="36" t="s">
        <v>36</v>
      </c>
      <c r="V49" s="38" t="s">
        <v>218</v>
      </c>
      <c r="W49" s="36"/>
      <c r="X49" s="36" t="s">
        <v>201</v>
      </c>
      <c r="Y49" s="46">
        <v>26001</v>
      </c>
      <c r="Z49" s="41"/>
      <c r="AA49" s="42" t="e">
        <f>_xlfn.XLOOKUP(C49,#REF!,#REF!,"",0,1)</f>
        <v>#REF!</v>
      </c>
      <c r="AB49" s="43">
        <f t="shared" si="1"/>
        <v>0</v>
      </c>
    </row>
    <row r="50" spans="1:28" ht="104.5" thickBot="1" x14ac:dyDescent="0.3">
      <c r="A50" s="36">
        <v>49</v>
      </c>
      <c r="B50" s="36" t="s">
        <v>24</v>
      </c>
      <c r="C50" s="36" t="s">
        <v>183</v>
      </c>
      <c r="D50" s="37">
        <v>40668</v>
      </c>
      <c r="E50" s="36" t="s">
        <v>184</v>
      </c>
      <c r="F50" s="36" t="s">
        <v>195</v>
      </c>
      <c r="G50" s="36" t="s">
        <v>55</v>
      </c>
      <c r="H50" s="36" t="s">
        <v>219</v>
      </c>
      <c r="I50" s="36" t="s">
        <v>74</v>
      </c>
      <c r="J50" s="36" t="str">
        <f t="shared" si="0"/>
        <v>Cooperative MarketingCooperation EstablishmentCJunior Clerk(Audit Dept)S6 (19900 - 63200)</v>
      </c>
      <c r="K50" s="36" t="s">
        <v>75</v>
      </c>
      <c r="L50" s="36" t="s">
        <v>228</v>
      </c>
      <c r="M50" s="38" t="s">
        <v>217</v>
      </c>
      <c r="N50" s="36" t="s">
        <v>70</v>
      </c>
      <c r="O50" s="6" t="s">
        <v>33</v>
      </c>
      <c r="P50" s="7">
        <v>418</v>
      </c>
      <c r="Q50" s="7" t="s">
        <v>34</v>
      </c>
      <c r="R50" s="8"/>
      <c r="S50" s="8"/>
      <c r="T50" s="7" t="s">
        <v>35</v>
      </c>
      <c r="U50" s="36" t="s">
        <v>36</v>
      </c>
      <c r="V50" s="38" t="s">
        <v>218</v>
      </c>
      <c r="W50" s="36"/>
      <c r="X50" s="36" t="s">
        <v>201</v>
      </c>
      <c r="Y50" s="46">
        <v>26001</v>
      </c>
      <c r="Z50" s="41"/>
      <c r="AA50" s="42" t="e">
        <f>_xlfn.XLOOKUP(C50,#REF!,#REF!,"",0,1)</f>
        <v>#REF!</v>
      </c>
      <c r="AB50" s="43">
        <f t="shared" si="1"/>
        <v>0</v>
      </c>
    </row>
    <row r="51" spans="1:28" ht="104.5" thickBot="1" x14ac:dyDescent="0.3">
      <c r="A51" s="36">
        <v>50</v>
      </c>
      <c r="B51" s="36" t="s">
        <v>24</v>
      </c>
      <c r="C51" s="36" t="s">
        <v>183</v>
      </c>
      <c r="D51" s="37">
        <v>40668</v>
      </c>
      <c r="E51" s="36" t="s">
        <v>184</v>
      </c>
      <c r="F51" s="36" t="s">
        <v>195</v>
      </c>
      <c r="G51" s="36" t="s">
        <v>55</v>
      </c>
      <c r="H51" s="36" t="s">
        <v>220</v>
      </c>
      <c r="I51" s="36" t="s">
        <v>80</v>
      </c>
      <c r="J51" s="36" t="str">
        <f t="shared" si="0"/>
        <v>Cooperative MarketingCooperation EstablishmentCAssistant Co-operative OfficerS8 (25500 - 81100)</v>
      </c>
      <c r="K51" s="36" t="s">
        <v>221</v>
      </c>
      <c r="L51" s="36" t="s">
        <v>228</v>
      </c>
      <c r="M51" s="38" t="s">
        <v>222</v>
      </c>
      <c r="N51" s="36" t="s">
        <v>199</v>
      </c>
      <c r="O51" s="6" t="s">
        <v>33</v>
      </c>
      <c r="P51" s="7">
        <v>49</v>
      </c>
      <c r="Q51" s="7" t="s">
        <v>34</v>
      </c>
      <c r="R51" s="8"/>
      <c r="S51" s="8"/>
      <c r="T51" s="7" t="s">
        <v>35</v>
      </c>
      <c r="U51" s="36" t="s">
        <v>36</v>
      </c>
      <c r="V51" s="38" t="s">
        <v>223</v>
      </c>
      <c r="W51" s="36"/>
      <c r="X51" s="36" t="s">
        <v>201</v>
      </c>
      <c r="Y51" s="46">
        <v>26001</v>
      </c>
      <c r="Z51" s="41"/>
      <c r="AA51" s="42" t="e">
        <f>_xlfn.XLOOKUP(C51,#REF!,#REF!,"",0,1)</f>
        <v>#REF!</v>
      </c>
      <c r="AB51" s="43">
        <f t="shared" si="1"/>
        <v>0</v>
      </c>
    </row>
    <row r="52" spans="1:28" ht="78.5" thickBot="1" x14ac:dyDescent="0.3">
      <c r="A52" s="36">
        <v>51</v>
      </c>
      <c r="B52" s="36" t="s">
        <v>24</v>
      </c>
      <c r="C52" s="36" t="s">
        <v>183</v>
      </c>
      <c r="D52" s="37">
        <v>40668</v>
      </c>
      <c r="E52" s="36" t="s">
        <v>184</v>
      </c>
      <c r="F52" s="36" t="s">
        <v>195</v>
      </c>
      <c r="G52" s="36" t="s">
        <v>55</v>
      </c>
      <c r="H52" s="36" t="s">
        <v>224</v>
      </c>
      <c r="I52" s="36" t="s">
        <v>80</v>
      </c>
      <c r="J52" s="36" t="str">
        <f t="shared" si="0"/>
        <v>Cooperative MarketingCooperation EstablishmentCSub-AuditorS8 (25500 - 81100)</v>
      </c>
      <c r="K52" s="36" t="s">
        <v>75</v>
      </c>
      <c r="L52" s="36" t="s">
        <v>228</v>
      </c>
      <c r="M52" s="38" t="s">
        <v>226</v>
      </c>
      <c r="N52" s="36" t="s">
        <v>41</v>
      </c>
      <c r="O52" s="6" t="s">
        <v>83</v>
      </c>
      <c r="P52" s="7">
        <v>176</v>
      </c>
      <c r="Q52" s="7" t="s">
        <v>34</v>
      </c>
      <c r="R52" s="8"/>
      <c r="S52" s="8"/>
      <c r="T52" s="7" t="s">
        <v>35</v>
      </c>
      <c r="U52" s="36" t="s">
        <v>36</v>
      </c>
      <c r="V52" s="38" t="s">
        <v>227</v>
      </c>
      <c r="W52" s="36"/>
      <c r="X52" s="36" t="s">
        <v>201</v>
      </c>
      <c r="Y52" s="46">
        <v>26001</v>
      </c>
      <c r="Z52" s="41"/>
      <c r="AA52" s="42" t="e">
        <f>_xlfn.XLOOKUP(C52,#REF!,#REF!,"",0,1)</f>
        <v>#REF!</v>
      </c>
      <c r="AB52" s="43">
        <f t="shared" si="1"/>
        <v>0</v>
      </c>
    </row>
    <row r="53" spans="1:28" ht="78.5" thickBot="1" x14ac:dyDescent="0.3">
      <c r="A53" s="36">
        <v>52</v>
      </c>
      <c r="B53" s="36" t="s">
        <v>24</v>
      </c>
      <c r="C53" s="36" t="s">
        <v>183</v>
      </c>
      <c r="D53" s="37">
        <v>40668</v>
      </c>
      <c r="E53" s="36" t="s">
        <v>184</v>
      </c>
      <c r="F53" s="36" t="s">
        <v>195</v>
      </c>
      <c r="G53" s="36" t="s">
        <v>55</v>
      </c>
      <c r="H53" s="36" t="s">
        <v>87</v>
      </c>
      <c r="I53" s="36" t="s">
        <v>80</v>
      </c>
      <c r="J53" s="36" t="str">
        <f t="shared" si="0"/>
        <v>Cooperative MarketingCooperation EstablishmentCSenior ClerkS8 (25500 - 81100)</v>
      </c>
      <c r="K53" s="36" t="s">
        <v>75</v>
      </c>
      <c r="L53" s="36" t="s">
        <v>228</v>
      </c>
      <c r="M53" s="38" t="s">
        <v>222</v>
      </c>
      <c r="N53" s="36" t="s">
        <v>70</v>
      </c>
      <c r="O53" s="6" t="s">
        <v>33</v>
      </c>
      <c r="P53" s="7">
        <v>21</v>
      </c>
      <c r="Q53" s="7" t="s">
        <v>34</v>
      </c>
      <c r="R53" s="8"/>
      <c r="S53" s="8"/>
      <c r="T53" s="7" t="s">
        <v>35</v>
      </c>
      <c r="U53" s="36" t="s">
        <v>36</v>
      </c>
      <c r="V53" s="38" t="s">
        <v>229</v>
      </c>
      <c r="W53" s="36"/>
      <c r="X53" s="36" t="s">
        <v>201</v>
      </c>
      <c r="Y53" s="46">
        <v>26001</v>
      </c>
      <c r="Z53" s="41"/>
      <c r="AA53" s="42" t="e">
        <f>_xlfn.XLOOKUP(C53,#REF!,#REF!,"",0,1)</f>
        <v>#REF!</v>
      </c>
      <c r="AB53" s="43">
        <f t="shared" si="1"/>
        <v>0</v>
      </c>
    </row>
    <row r="54" spans="1:28" ht="104.5" thickBot="1" x14ac:dyDescent="0.3">
      <c r="A54" s="36">
        <v>53</v>
      </c>
      <c r="B54" s="36" t="s">
        <v>24</v>
      </c>
      <c r="C54" s="36" t="s">
        <v>183</v>
      </c>
      <c r="D54" s="37">
        <v>40668</v>
      </c>
      <c r="E54" s="36" t="s">
        <v>184</v>
      </c>
      <c r="F54" s="36" t="s">
        <v>195</v>
      </c>
      <c r="G54" s="36" t="s">
        <v>55</v>
      </c>
      <c r="H54" s="36" t="s">
        <v>230</v>
      </c>
      <c r="I54" s="36" t="s">
        <v>80</v>
      </c>
      <c r="J54" s="36" t="str">
        <f t="shared" si="0"/>
        <v>Cooperative MarketingCooperation EstablishmentCSteno - Typist(Admin)S8 (25500 - 81100)</v>
      </c>
      <c r="K54" s="36" t="s">
        <v>68</v>
      </c>
      <c r="L54" s="36" t="s">
        <v>231</v>
      </c>
      <c r="M54" s="38" t="s">
        <v>232</v>
      </c>
      <c r="N54" s="36" t="s">
        <v>70</v>
      </c>
      <c r="O54" s="6" t="s">
        <v>33</v>
      </c>
      <c r="P54" s="7">
        <v>2</v>
      </c>
      <c r="Q54" s="7" t="s">
        <v>34</v>
      </c>
      <c r="R54" s="8"/>
      <c r="S54" s="8"/>
      <c r="T54" s="4" t="s">
        <v>3276</v>
      </c>
      <c r="U54" s="36" t="s">
        <v>35</v>
      </c>
      <c r="V54" s="38"/>
      <c r="W54" s="36"/>
      <c r="X54" s="36"/>
      <c r="Y54" s="36"/>
      <c r="Z54" s="41"/>
      <c r="AA54" s="42" t="e">
        <f>_xlfn.XLOOKUP(C54,#REF!,#REF!,"",0,1)</f>
        <v>#REF!</v>
      </c>
      <c r="AB54" s="43">
        <f t="shared" si="1"/>
        <v>0</v>
      </c>
    </row>
    <row r="55" spans="1:28" ht="104.5" thickBot="1" x14ac:dyDescent="0.3">
      <c r="A55" s="36">
        <v>54</v>
      </c>
      <c r="B55" s="36" t="s">
        <v>24</v>
      </c>
      <c r="C55" s="36" t="s">
        <v>183</v>
      </c>
      <c r="D55" s="37">
        <v>40668</v>
      </c>
      <c r="E55" s="36" t="s">
        <v>184</v>
      </c>
      <c r="F55" s="36" t="s">
        <v>195</v>
      </c>
      <c r="G55" s="36" t="s">
        <v>55</v>
      </c>
      <c r="H55" s="36" t="s">
        <v>233</v>
      </c>
      <c r="I55" s="36" t="s">
        <v>80</v>
      </c>
      <c r="J55" s="36" t="str">
        <f t="shared" si="0"/>
        <v>Cooperative MarketingCooperation EstablishmentCSteno - Typist(Audit Dept)S8 (25500 - 81100)</v>
      </c>
      <c r="K55" s="36" t="s">
        <v>68</v>
      </c>
      <c r="L55" s="36" t="s">
        <v>231</v>
      </c>
      <c r="M55" s="38" t="s">
        <v>232</v>
      </c>
      <c r="N55" s="36" t="s">
        <v>70</v>
      </c>
      <c r="O55" s="6" t="s">
        <v>83</v>
      </c>
      <c r="P55" s="7">
        <v>3</v>
      </c>
      <c r="Q55" s="7" t="s">
        <v>34</v>
      </c>
      <c r="R55" s="8"/>
      <c r="S55" s="8"/>
      <c r="T55" s="4" t="s">
        <v>3276</v>
      </c>
      <c r="U55" s="36" t="s">
        <v>35</v>
      </c>
      <c r="V55" s="38"/>
      <c r="W55" s="36"/>
      <c r="X55" s="36"/>
      <c r="Y55" s="36"/>
      <c r="Z55" s="41"/>
      <c r="AA55" s="42" t="e">
        <f>_xlfn.XLOOKUP(C55,#REF!,#REF!,"",0,1)</f>
        <v>#REF!</v>
      </c>
      <c r="AB55" s="43">
        <f t="shared" si="1"/>
        <v>0</v>
      </c>
    </row>
    <row r="56" spans="1:28" ht="91.5" thickBot="1" x14ac:dyDescent="0.3">
      <c r="A56" s="36">
        <v>55</v>
      </c>
      <c r="B56" s="36" t="s">
        <v>24</v>
      </c>
      <c r="C56" s="36" t="s">
        <v>234</v>
      </c>
      <c r="D56" s="37">
        <v>38768</v>
      </c>
      <c r="E56" s="36" t="s">
        <v>235</v>
      </c>
      <c r="F56" s="36" t="s">
        <v>236</v>
      </c>
      <c r="G56" s="36" t="s">
        <v>28</v>
      </c>
      <c r="H56" s="36" t="s">
        <v>237</v>
      </c>
      <c r="I56" s="36" t="s">
        <v>38</v>
      </c>
      <c r="J56" s="36" t="str">
        <f t="shared" si="0"/>
        <v>EnergyEnergy EstablishmentAAssistant Electrical InspectorS20 (56100 - 177500)</v>
      </c>
      <c r="K56" s="36"/>
      <c r="L56" s="36" t="s">
        <v>238</v>
      </c>
      <c r="M56" s="38" t="s">
        <v>239</v>
      </c>
      <c r="N56" s="36" t="s">
        <v>240</v>
      </c>
      <c r="O56" s="6" t="s">
        <v>83</v>
      </c>
      <c r="P56" s="7">
        <v>17</v>
      </c>
      <c r="Q56" s="7" t="s">
        <v>34</v>
      </c>
      <c r="R56" s="8"/>
      <c r="S56" s="8"/>
      <c r="T56" s="7" t="s">
        <v>35</v>
      </c>
      <c r="U56" s="36" t="s">
        <v>35</v>
      </c>
      <c r="V56" s="38"/>
      <c r="W56" s="36"/>
      <c r="X56" s="36"/>
      <c r="Y56" s="36"/>
      <c r="Z56" s="41"/>
      <c r="AA56" s="42" t="e">
        <f>_xlfn.XLOOKUP(C56,#REF!,#REF!,"",0,1)</f>
        <v>#REF!</v>
      </c>
      <c r="AB56" s="43">
        <f t="shared" si="1"/>
        <v>0</v>
      </c>
    </row>
    <row r="57" spans="1:28" ht="78.5" thickBot="1" x14ac:dyDescent="0.3">
      <c r="A57" s="36">
        <v>56</v>
      </c>
      <c r="B57" s="36" t="s">
        <v>24</v>
      </c>
      <c r="C57" s="36" t="s">
        <v>234</v>
      </c>
      <c r="D57" s="37">
        <v>38768</v>
      </c>
      <c r="E57" s="36" t="s">
        <v>235</v>
      </c>
      <c r="F57" s="36" t="s">
        <v>236</v>
      </c>
      <c r="G57" s="36" t="s">
        <v>28</v>
      </c>
      <c r="H57" s="36" t="s">
        <v>241</v>
      </c>
      <c r="I57" s="36" t="s">
        <v>242</v>
      </c>
      <c r="J57" s="36" t="str">
        <f t="shared" si="0"/>
        <v>EnergyEnergy EstablishmentAElectrical InspectorS23 (67700 - 208700)</v>
      </c>
      <c r="K57" s="36"/>
      <c r="L57" s="36" t="s">
        <v>243</v>
      </c>
      <c r="M57" s="38" t="s">
        <v>244</v>
      </c>
      <c r="N57" s="36" t="s">
        <v>32</v>
      </c>
      <c r="O57" s="6" t="s">
        <v>33</v>
      </c>
      <c r="P57" s="7">
        <v>2</v>
      </c>
      <c r="Q57" s="7" t="s">
        <v>34</v>
      </c>
      <c r="R57" s="8"/>
      <c r="S57" s="8"/>
      <c r="T57" s="4" t="s">
        <v>3276</v>
      </c>
      <c r="U57" s="36" t="s">
        <v>35</v>
      </c>
      <c r="V57" s="38"/>
      <c r="W57" s="36"/>
      <c r="X57" s="36"/>
      <c r="Y57" s="36"/>
      <c r="Z57" s="41"/>
      <c r="AA57" s="42" t="e">
        <f>_xlfn.XLOOKUP(C57,#REF!,#REF!,"",0,1)</f>
        <v>#REF!</v>
      </c>
      <c r="AB57" s="43">
        <f t="shared" si="1"/>
        <v>0</v>
      </c>
    </row>
    <row r="58" spans="1:28" ht="104.5" thickBot="1" x14ac:dyDescent="0.3">
      <c r="A58" s="36">
        <v>57</v>
      </c>
      <c r="B58" s="36" t="s">
        <v>24</v>
      </c>
      <c r="C58" s="36" t="s">
        <v>234</v>
      </c>
      <c r="D58" s="37">
        <v>38768</v>
      </c>
      <c r="E58" s="36" t="s">
        <v>235</v>
      </c>
      <c r="F58" s="36" t="s">
        <v>236</v>
      </c>
      <c r="G58" s="36" t="s">
        <v>42</v>
      </c>
      <c r="H58" s="36" t="s">
        <v>245</v>
      </c>
      <c r="I58" s="36" t="s">
        <v>44</v>
      </c>
      <c r="J58" s="36" t="str">
        <f t="shared" si="0"/>
        <v>EnergyEnergy EstablishmentB (Gazetted)Assistant Engineer Grade-IIS15 (41800 - 132300)</v>
      </c>
      <c r="K58" s="36" t="s">
        <v>246</v>
      </c>
      <c r="L58" s="36" t="s">
        <v>247</v>
      </c>
      <c r="M58" s="38" t="s">
        <v>248</v>
      </c>
      <c r="N58" s="36" t="s">
        <v>41</v>
      </c>
      <c r="O58" s="6" t="s">
        <v>33</v>
      </c>
      <c r="P58" s="7">
        <v>88</v>
      </c>
      <c r="Q58" s="7" t="s">
        <v>34</v>
      </c>
      <c r="R58" s="8"/>
      <c r="S58" s="8"/>
      <c r="T58" s="7" t="s">
        <v>35</v>
      </c>
      <c r="U58" s="36" t="s">
        <v>35</v>
      </c>
      <c r="V58" s="38"/>
      <c r="W58" s="36"/>
      <c r="X58" s="36"/>
      <c r="Y58" s="36"/>
      <c r="Z58" s="41"/>
      <c r="AA58" s="42" t="e">
        <f>_xlfn.XLOOKUP(C58,#REF!,#REF!,"",0,1)</f>
        <v>#REF!</v>
      </c>
      <c r="AB58" s="43">
        <f t="shared" si="1"/>
        <v>0</v>
      </c>
    </row>
    <row r="59" spans="1:28" ht="104.5" thickBot="1" x14ac:dyDescent="0.3">
      <c r="A59" s="36">
        <v>58</v>
      </c>
      <c r="B59" s="36" t="s">
        <v>24</v>
      </c>
      <c r="C59" s="36" t="s">
        <v>234</v>
      </c>
      <c r="D59" s="37">
        <v>38768</v>
      </c>
      <c r="E59" s="36" t="s">
        <v>235</v>
      </c>
      <c r="F59" s="36" t="s">
        <v>236</v>
      </c>
      <c r="G59" s="36" t="s">
        <v>42</v>
      </c>
      <c r="H59" s="36" t="s">
        <v>249</v>
      </c>
      <c r="I59" s="36" t="s">
        <v>44</v>
      </c>
      <c r="J59" s="36" t="str">
        <f t="shared" si="0"/>
        <v>EnergyEnergy EstablishmentB (Gazetted)Electricity Duty InspectorS15 (41800 - 132300)</v>
      </c>
      <c r="K59" s="36"/>
      <c r="L59" s="48" t="s">
        <v>243</v>
      </c>
      <c r="M59" s="38" t="s">
        <v>250</v>
      </c>
      <c r="N59" s="36" t="s">
        <v>32</v>
      </c>
      <c r="O59" s="6" t="s">
        <v>33</v>
      </c>
      <c r="P59" s="7">
        <v>2</v>
      </c>
      <c r="Q59" s="7" t="s">
        <v>34</v>
      </c>
      <c r="R59" s="8"/>
      <c r="S59" s="8"/>
      <c r="T59" s="4" t="s">
        <v>3276</v>
      </c>
      <c r="U59" s="36" t="s">
        <v>35</v>
      </c>
      <c r="V59" s="38"/>
      <c r="W59" s="36"/>
      <c r="X59" s="36"/>
      <c r="Y59" s="36"/>
      <c r="Z59" s="41"/>
      <c r="AA59" s="42" t="e">
        <f>_xlfn.XLOOKUP(C59,#REF!,#REF!,"",0,1)</f>
        <v>#REF!</v>
      </c>
      <c r="AB59" s="43">
        <f t="shared" si="1"/>
        <v>0</v>
      </c>
    </row>
    <row r="60" spans="1:28" ht="91.5" thickBot="1" x14ac:dyDescent="0.3">
      <c r="A60" s="36">
        <v>59</v>
      </c>
      <c r="B60" s="36" t="s">
        <v>24</v>
      </c>
      <c r="C60" s="36" t="s">
        <v>234</v>
      </c>
      <c r="D60" s="37">
        <v>38768</v>
      </c>
      <c r="E60" s="36" t="s">
        <v>235</v>
      </c>
      <c r="F60" s="36" t="s">
        <v>236</v>
      </c>
      <c r="G60" s="36" t="s">
        <v>65</v>
      </c>
      <c r="H60" s="36" t="s">
        <v>251</v>
      </c>
      <c r="I60" s="36" t="s">
        <v>67</v>
      </c>
      <c r="J60" s="36" t="str">
        <f t="shared" si="0"/>
        <v>EnergyEnergy EstablishmentB (Non Gazetted)Junior EngineerS14 (38600 - 122800)</v>
      </c>
      <c r="K60" s="36" t="s">
        <v>163</v>
      </c>
      <c r="L60" s="36" t="s">
        <v>225</v>
      </c>
      <c r="M60" s="38" t="s">
        <v>252</v>
      </c>
      <c r="N60" s="36" t="s">
        <v>165</v>
      </c>
      <c r="O60" s="6" t="s">
        <v>33</v>
      </c>
      <c r="P60" s="7">
        <v>104</v>
      </c>
      <c r="Q60" s="7" t="s">
        <v>34</v>
      </c>
      <c r="R60" s="8"/>
      <c r="S60" s="8"/>
      <c r="T60" s="7" t="s">
        <v>35</v>
      </c>
      <c r="U60" s="36" t="s">
        <v>35</v>
      </c>
      <c r="V60" s="38" t="s">
        <v>253</v>
      </c>
      <c r="W60" s="36"/>
      <c r="X60" s="36" t="s">
        <v>254</v>
      </c>
      <c r="Y60" s="46">
        <v>39268</v>
      </c>
      <c r="Z60" s="41"/>
      <c r="AA60" s="42" t="e">
        <f>_xlfn.XLOOKUP(C60,#REF!,#REF!,"",0,1)</f>
        <v>#REF!</v>
      </c>
      <c r="AB60" s="43">
        <f t="shared" si="1"/>
        <v>0</v>
      </c>
    </row>
    <row r="61" spans="1:28" ht="91.5" thickBot="1" x14ac:dyDescent="0.3">
      <c r="A61" s="36">
        <v>60</v>
      </c>
      <c r="B61" s="36" t="s">
        <v>24</v>
      </c>
      <c r="C61" s="36" t="s">
        <v>234</v>
      </c>
      <c r="D61" s="37">
        <v>38768</v>
      </c>
      <c r="E61" s="36" t="s">
        <v>235</v>
      </c>
      <c r="F61" s="36" t="s">
        <v>236</v>
      </c>
      <c r="G61" s="36" t="s">
        <v>55</v>
      </c>
      <c r="H61" s="36" t="s">
        <v>123</v>
      </c>
      <c r="I61" s="36" t="s">
        <v>74</v>
      </c>
      <c r="J61" s="36" t="str">
        <f t="shared" si="0"/>
        <v>EnergyEnergy EstablishmentCJunior ClerkS6 (19900 - 63200)</v>
      </c>
      <c r="K61" s="36" t="s">
        <v>75</v>
      </c>
      <c r="L61" s="36" t="s">
        <v>228</v>
      </c>
      <c r="M61" s="38" t="s">
        <v>255</v>
      </c>
      <c r="N61" s="36" t="s">
        <v>70</v>
      </c>
      <c r="O61" s="6" t="s">
        <v>33</v>
      </c>
      <c r="P61" s="7">
        <v>35</v>
      </c>
      <c r="Q61" s="7" t="s">
        <v>34</v>
      </c>
      <c r="R61" s="8"/>
      <c r="S61" s="8"/>
      <c r="T61" s="7" t="s">
        <v>35</v>
      </c>
      <c r="U61" s="36" t="s">
        <v>35</v>
      </c>
      <c r="V61" s="38" t="s">
        <v>125</v>
      </c>
      <c r="W61" s="36"/>
      <c r="X61" s="36" t="s">
        <v>77</v>
      </c>
      <c r="Y61" s="36" t="s">
        <v>78</v>
      </c>
      <c r="Z61" s="41"/>
      <c r="AA61" s="42" t="e">
        <f>_xlfn.XLOOKUP(C61,#REF!,#REF!,"",0,1)</f>
        <v>#REF!</v>
      </c>
      <c r="AB61" s="43">
        <f t="shared" si="1"/>
        <v>0</v>
      </c>
    </row>
    <row r="62" spans="1:28" ht="65.5" thickBot="1" x14ac:dyDescent="0.3">
      <c r="A62" s="36">
        <v>61</v>
      </c>
      <c r="B62" s="36" t="s">
        <v>24</v>
      </c>
      <c r="C62" s="36" t="s">
        <v>234</v>
      </c>
      <c r="D62" s="37">
        <v>38768</v>
      </c>
      <c r="E62" s="36" t="s">
        <v>235</v>
      </c>
      <c r="F62" s="36" t="s">
        <v>236</v>
      </c>
      <c r="G62" s="36" t="s">
        <v>55</v>
      </c>
      <c r="H62" s="36" t="s">
        <v>87</v>
      </c>
      <c r="I62" s="36" t="s">
        <v>80</v>
      </c>
      <c r="J62" s="36" t="str">
        <f t="shared" si="0"/>
        <v>EnergyEnergy EstablishmentCSenior ClerkS8 (25500 - 81100)</v>
      </c>
      <c r="K62" s="36" t="s">
        <v>75</v>
      </c>
      <c r="L62" s="36" t="s">
        <v>228</v>
      </c>
      <c r="M62" s="38" t="s">
        <v>256</v>
      </c>
      <c r="N62" s="36" t="s">
        <v>70</v>
      </c>
      <c r="O62" s="6" t="s">
        <v>33</v>
      </c>
      <c r="P62" s="7">
        <v>22</v>
      </c>
      <c r="Q62" s="7" t="s">
        <v>34</v>
      </c>
      <c r="R62" s="8"/>
      <c r="S62" s="8"/>
      <c r="T62" s="7" t="s">
        <v>35</v>
      </c>
      <c r="U62" s="36" t="s">
        <v>35</v>
      </c>
      <c r="V62" s="38" t="s">
        <v>257</v>
      </c>
      <c r="W62" s="36"/>
      <c r="X62" s="36" t="s">
        <v>258</v>
      </c>
      <c r="Y62" s="36" t="s">
        <v>259</v>
      </c>
      <c r="Z62" s="41"/>
      <c r="AA62" s="42" t="e">
        <f>_xlfn.XLOOKUP(C62,#REF!,#REF!,"",0,1)</f>
        <v>#REF!</v>
      </c>
      <c r="AB62" s="43">
        <f t="shared" si="1"/>
        <v>0</v>
      </c>
    </row>
    <row r="63" spans="1:28" ht="65.5" thickBot="1" x14ac:dyDescent="0.3">
      <c r="A63" s="44">
        <v>62</v>
      </c>
      <c r="B63" s="44" t="s">
        <v>24</v>
      </c>
      <c r="C63" s="36" t="s">
        <v>234</v>
      </c>
      <c r="D63" s="37">
        <v>38768</v>
      </c>
      <c r="E63" s="44" t="s">
        <v>235</v>
      </c>
      <c r="F63" s="44" t="s">
        <v>236</v>
      </c>
      <c r="G63" s="44" t="s">
        <v>55</v>
      </c>
      <c r="H63" s="44" t="s">
        <v>260</v>
      </c>
      <c r="I63" s="44" t="s">
        <v>80</v>
      </c>
      <c r="J63" s="44" t="str">
        <f t="shared" si="0"/>
        <v>EnergyEnergy EstablishmentCJunior AuditorS8 (25500 - 81100)</v>
      </c>
      <c r="K63" s="44"/>
      <c r="L63" s="44" t="s">
        <v>261</v>
      </c>
      <c r="M63" s="45" t="s">
        <v>262</v>
      </c>
      <c r="N63" s="44" t="s">
        <v>113</v>
      </c>
      <c r="O63" s="11" t="s">
        <v>33</v>
      </c>
      <c r="P63" s="12">
        <v>0</v>
      </c>
      <c r="Q63" s="12" t="s">
        <v>34</v>
      </c>
      <c r="R63" s="13"/>
      <c r="S63" s="13"/>
      <c r="T63" s="4" t="s">
        <v>3276</v>
      </c>
      <c r="U63" s="44" t="s">
        <v>35</v>
      </c>
      <c r="V63" s="45"/>
      <c r="W63" s="44"/>
      <c r="X63" s="44"/>
      <c r="Y63" s="44"/>
      <c r="Z63" s="41"/>
      <c r="AA63" s="42" t="e">
        <f>_xlfn.XLOOKUP(C63,#REF!,#REF!,"",0,1)</f>
        <v>#REF!</v>
      </c>
      <c r="AB63" s="43">
        <f t="shared" si="1"/>
        <v>0</v>
      </c>
    </row>
    <row r="64" spans="1:28" ht="104.5" thickBot="1" x14ac:dyDescent="0.3">
      <c r="A64" s="36">
        <v>63</v>
      </c>
      <c r="B64" s="36" t="s">
        <v>24</v>
      </c>
      <c r="C64" s="36" t="s">
        <v>263</v>
      </c>
      <c r="D64" s="37">
        <v>45366</v>
      </c>
      <c r="E64" s="36" t="s">
        <v>264</v>
      </c>
      <c r="F64" s="36" t="s">
        <v>265</v>
      </c>
      <c r="G64" s="36" t="s">
        <v>28</v>
      </c>
      <c r="H64" s="36" t="s">
        <v>266</v>
      </c>
      <c r="I64" s="36" t="s">
        <v>38</v>
      </c>
      <c r="J64" s="36" t="str">
        <f t="shared" si="0"/>
        <v>Finance (GST)GST EstablishmentAAssistant Commissioner of State TaxS20 (56100 - 177500)</v>
      </c>
      <c r="K64" s="36" t="s">
        <v>45</v>
      </c>
      <c r="L64" s="36" t="s">
        <v>247</v>
      </c>
      <c r="M64" s="38" t="s">
        <v>267</v>
      </c>
      <c r="N64" s="36" t="s">
        <v>41</v>
      </c>
      <c r="O64" s="6" t="s">
        <v>33</v>
      </c>
      <c r="P64" s="7">
        <v>23</v>
      </c>
      <c r="Q64" s="7" t="s">
        <v>100</v>
      </c>
      <c r="R64" s="7">
        <v>23</v>
      </c>
      <c r="S64" s="8"/>
      <c r="T64" s="7" t="s">
        <v>61</v>
      </c>
      <c r="U64" s="36" t="s">
        <v>268</v>
      </c>
      <c r="V64" s="38"/>
      <c r="W64" s="36"/>
      <c r="X64" s="36"/>
      <c r="Y64" s="36"/>
      <c r="Z64" s="41"/>
      <c r="AA64" s="42" t="e">
        <f>_xlfn.XLOOKUP(C64,#REF!,#REF!,"",0,1)</f>
        <v>#REF!</v>
      </c>
      <c r="AB64" s="43">
        <f t="shared" si="1"/>
        <v>0</v>
      </c>
    </row>
    <row r="65" spans="1:28" ht="117.5" thickBot="1" x14ac:dyDescent="0.3">
      <c r="A65" s="36">
        <v>64</v>
      </c>
      <c r="B65" s="36" t="s">
        <v>24</v>
      </c>
      <c r="C65" s="36" t="s">
        <v>263</v>
      </c>
      <c r="D65" s="37">
        <v>45366</v>
      </c>
      <c r="E65" s="36" t="s">
        <v>264</v>
      </c>
      <c r="F65" s="36" t="s">
        <v>265</v>
      </c>
      <c r="G65" s="36" t="s">
        <v>65</v>
      </c>
      <c r="H65" s="36" t="s">
        <v>269</v>
      </c>
      <c r="I65" s="36" t="s">
        <v>67</v>
      </c>
      <c r="J65" s="36" t="str">
        <f t="shared" si="0"/>
        <v>Finance (GST)GST EstablishmentB (Non Gazetted)State Tax InspectorS14 (38600 - 122800)</v>
      </c>
      <c r="K65" s="36" t="s">
        <v>270</v>
      </c>
      <c r="L65" s="36" t="s">
        <v>225</v>
      </c>
      <c r="M65" s="38" t="s">
        <v>155</v>
      </c>
      <c r="N65" s="36" t="s">
        <v>41</v>
      </c>
      <c r="O65" s="6" t="s">
        <v>33</v>
      </c>
      <c r="P65" s="7">
        <v>236</v>
      </c>
      <c r="Q65" s="7" t="s">
        <v>100</v>
      </c>
      <c r="R65" s="8"/>
      <c r="S65" s="8"/>
      <c r="T65" s="7" t="s">
        <v>61</v>
      </c>
      <c r="U65" s="36" t="s">
        <v>61</v>
      </c>
      <c r="V65" s="38" t="s">
        <v>271</v>
      </c>
      <c r="W65" s="36"/>
      <c r="X65" s="36" t="s">
        <v>272</v>
      </c>
      <c r="Y65" s="46">
        <v>44199</v>
      </c>
      <c r="Z65" s="41"/>
      <c r="AA65" s="42" t="e">
        <f>_xlfn.XLOOKUP(C65,#REF!,#REF!,"",0,1)</f>
        <v>#REF!</v>
      </c>
      <c r="AB65" s="43">
        <f t="shared" si="1"/>
        <v>0</v>
      </c>
    </row>
    <row r="66" spans="1:28" ht="117.5" thickBot="1" x14ac:dyDescent="0.3">
      <c r="A66" s="36">
        <v>65</v>
      </c>
      <c r="B66" s="36" t="s">
        <v>24</v>
      </c>
      <c r="C66" s="36" t="s">
        <v>263</v>
      </c>
      <c r="D66" s="37">
        <v>45366</v>
      </c>
      <c r="E66" s="36" t="s">
        <v>264</v>
      </c>
      <c r="F66" s="36" t="s">
        <v>265</v>
      </c>
      <c r="G66" s="36" t="s">
        <v>65</v>
      </c>
      <c r="H66" s="36" t="s">
        <v>212</v>
      </c>
      <c r="I66" s="36" t="s">
        <v>44</v>
      </c>
      <c r="J66" s="36" t="str">
        <f t="shared" ref="J66:J129" si="2">_xlfn.CONCAT(E66:I66)</f>
        <v>Finance (GST)GST EstablishmentB (Non Gazetted)Lower Grade StenographerS15 (41800 - 132300)</v>
      </c>
      <c r="K66" s="36" t="s">
        <v>68</v>
      </c>
      <c r="L66" s="36" t="s">
        <v>231</v>
      </c>
      <c r="M66" s="38" t="s">
        <v>273</v>
      </c>
      <c r="N66" s="36" t="s">
        <v>70</v>
      </c>
      <c r="O66" s="6" t="s">
        <v>33</v>
      </c>
      <c r="P66" s="7">
        <v>23</v>
      </c>
      <c r="Q66" s="7" t="s">
        <v>34</v>
      </c>
      <c r="R66" s="8"/>
      <c r="S66" s="8"/>
      <c r="T66" s="4" t="s">
        <v>3276</v>
      </c>
      <c r="U66" s="36" t="s">
        <v>35</v>
      </c>
      <c r="V66" s="38"/>
      <c r="W66" s="36"/>
      <c r="X66" s="36"/>
      <c r="Y66" s="36"/>
      <c r="Z66" s="41"/>
      <c r="AA66" s="42" t="e">
        <f>_xlfn.XLOOKUP(C66,#REF!,#REF!,"",0,1)</f>
        <v>#REF!</v>
      </c>
      <c r="AB66" s="43">
        <f t="shared" ref="AB66:AB129" si="3">IFERROR(FLOOR(P66*AA66,1),0)</f>
        <v>0</v>
      </c>
    </row>
    <row r="67" spans="1:28" ht="117.5" thickBot="1" x14ac:dyDescent="0.3">
      <c r="A67" s="36">
        <v>66</v>
      </c>
      <c r="B67" s="36" t="s">
        <v>24</v>
      </c>
      <c r="C67" s="36" t="s">
        <v>263</v>
      </c>
      <c r="D67" s="37">
        <v>45366</v>
      </c>
      <c r="E67" s="36" t="s">
        <v>264</v>
      </c>
      <c r="F67" s="36" t="s">
        <v>265</v>
      </c>
      <c r="G67" s="36" t="s">
        <v>65</v>
      </c>
      <c r="H67" s="36" t="s">
        <v>214</v>
      </c>
      <c r="I67" s="36" t="s">
        <v>54</v>
      </c>
      <c r="J67" s="36" t="str">
        <f t="shared" si="2"/>
        <v>Finance (GST)GST EstablishmentB (Non Gazetted)Higher Grade StenographerS16 (44900 - 142400)</v>
      </c>
      <c r="K67" s="36" t="s">
        <v>68</v>
      </c>
      <c r="L67" s="36" t="s">
        <v>231</v>
      </c>
      <c r="M67" s="38" t="s">
        <v>274</v>
      </c>
      <c r="N67" s="36" t="s">
        <v>70</v>
      </c>
      <c r="O67" s="6" t="s">
        <v>33</v>
      </c>
      <c r="P67" s="7">
        <v>21</v>
      </c>
      <c r="Q67" s="7" t="s">
        <v>34</v>
      </c>
      <c r="R67" s="8"/>
      <c r="S67" s="8"/>
      <c r="T67" s="4" t="s">
        <v>3276</v>
      </c>
      <c r="U67" s="36" t="s">
        <v>35</v>
      </c>
      <c r="V67" s="38"/>
      <c r="W67" s="36"/>
      <c r="X67" s="36"/>
      <c r="Y67" s="36"/>
      <c r="Z67" s="41"/>
      <c r="AA67" s="42" t="e">
        <f>_xlfn.XLOOKUP(C67,#REF!,#REF!,"",0,1)</f>
        <v>#REF!</v>
      </c>
      <c r="AB67" s="43">
        <f t="shared" si="3"/>
        <v>0</v>
      </c>
    </row>
    <row r="68" spans="1:28" ht="78.5" thickBot="1" x14ac:dyDescent="0.3">
      <c r="A68" s="36">
        <v>67</v>
      </c>
      <c r="B68" s="36" t="s">
        <v>24</v>
      </c>
      <c r="C68" s="36" t="s">
        <v>263</v>
      </c>
      <c r="D68" s="37">
        <v>45366</v>
      </c>
      <c r="E68" s="36" t="s">
        <v>264</v>
      </c>
      <c r="F68" s="36" t="s">
        <v>265</v>
      </c>
      <c r="G68" s="40" t="s">
        <v>55</v>
      </c>
      <c r="H68" s="36" t="s">
        <v>275</v>
      </c>
      <c r="I68" s="40" t="s">
        <v>276</v>
      </c>
      <c r="J68" s="40" t="str">
        <f t="shared" si="2"/>
        <v>Finance (GST)GST EstablishmentCManagerS10 (29200 - 92300)</v>
      </c>
      <c r="K68" s="36" t="s">
        <v>197</v>
      </c>
      <c r="L68" s="36" t="s">
        <v>228</v>
      </c>
      <c r="M68" s="38" t="s">
        <v>277</v>
      </c>
      <c r="N68" s="36" t="s">
        <v>199</v>
      </c>
      <c r="O68" s="6" t="s">
        <v>33</v>
      </c>
      <c r="P68" s="7">
        <v>0</v>
      </c>
      <c r="Q68" s="7" t="s">
        <v>34</v>
      </c>
      <c r="R68" s="8"/>
      <c r="S68" s="8"/>
      <c r="T68" s="7" t="s">
        <v>2395</v>
      </c>
      <c r="U68" s="36" t="s">
        <v>35</v>
      </c>
      <c r="V68" s="38" t="s">
        <v>278</v>
      </c>
      <c r="W68" s="36"/>
      <c r="X68" s="36" t="s">
        <v>279</v>
      </c>
      <c r="Y68" s="46">
        <v>28128</v>
      </c>
      <c r="Z68" s="41"/>
      <c r="AA68" s="42" t="e">
        <f>_xlfn.XLOOKUP(C68,#REF!,#REF!,"",0,1)</f>
        <v>#REF!</v>
      </c>
      <c r="AB68" s="43">
        <f t="shared" si="3"/>
        <v>0</v>
      </c>
    </row>
    <row r="69" spans="1:28" ht="78.5" thickBot="1" x14ac:dyDescent="0.3">
      <c r="A69" s="36">
        <v>68</v>
      </c>
      <c r="B69" s="36" t="s">
        <v>24</v>
      </c>
      <c r="C69" s="36" t="s">
        <v>263</v>
      </c>
      <c r="D69" s="37">
        <v>45366</v>
      </c>
      <c r="E69" s="36" t="s">
        <v>264</v>
      </c>
      <c r="F69" s="36" t="s">
        <v>265</v>
      </c>
      <c r="G69" s="36" t="s">
        <v>55</v>
      </c>
      <c r="H69" s="36" t="s">
        <v>280</v>
      </c>
      <c r="I69" s="36" t="s">
        <v>281</v>
      </c>
      <c r="J69" s="36" t="str">
        <f t="shared" si="2"/>
        <v>Finance (GST)GST EstablishmentCCoupon SellerS5 (18000 56900)</v>
      </c>
      <c r="K69" s="36"/>
      <c r="L69" s="36" t="s">
        <v>238</v>
      </c>
      <c r="M69" s="38" t="s">
        <v>282</v>
      </c>
      <c r="N69" s="36" t="s">
        <v>283</v>
      </c>
      <c r="O69" s="6" t="s">
        <v>33</v>
      </c>
      <c r="P69" s="7">
        <v>0</v>
      </c>
      <c r="Q69" s="7" t="s">
        <v>34</v>
      </c>
      <c r="R69" s="8"/>
      <c r="S69" s="8"/>
      <c r="T69" s="7" t="s">
        <v>2395</v>
      </c>
      <c r="U69" s="36" t="s">
        <v>35</v>
      </c>
      <c r="V69" s="38"/>
      <c r="W69" s="36"/>
      <c r="X69" s="36"/>
      <c r="Y69" s="36"/>
      <c r="Z69" s="41"/>
      <c r="AA69" s="42" t="e">
        <f>_xlfn.XLOOKUP(C69,#REF!,#REF!,"",0,1)</f>
        <v>#REF!</v>
      </c>
      <c r="AB69" s="43">
        <f t="shared" si="3"/>
        <v>0</v>
      </c>
    </row>
    <row r="70" spans="1:28" ht="104.5" thickBot="1" x14ac:dyDescent="0.3">
      <c r="A70" s="36">
        <v>69</v>
      </c>
      <c r="B70" s="36" t="s">
        <v>24</v>
      </c>
      <c r="C70" s="36" t="s">
        <v>263</v>
      </c>
      <c r="D70" s="37">
        <v>45366</v>
      </c>
      <c r="E70" s="36" t="s">
        <v>264</v>
      </c>
      <c r="F70" s="36" t="s">
        <v>265</v>
      </c>
      <c r="G70" s="36" t="s">
        <v>55</v>
      </c>
      <c r="H70" s="36" t="s">
        <v>284</v>
      </c>
      <c r="I70" s="36" t="s">
        <v>74</v>
      </c>
      <c r="J70" s="36" t="str">
        <f t="shared" si="2"/>
        <v>Finance (GST)GST EstablishmentCAccounts ClerkS6 (19900 - 63200)</v>
      </c>
      <c r="K70" s="36" t="s">
        <v>75</v>
      </c>
      <c r="L70" s="36" t="s">
        <v>228</v>
      </c>
      <c r="M70" s="38" t="s">
        <v>285</v>
      </c>
      <c r="N70" s="36" t="s">
        <v>70</v>
      </c>
      <c r="O70" s="6" t="s">
        <v>33</v>
      </c>
      <c r="P70" s="7">
        <v>0</v>
      </c>
      <c r="Q70" s="7" t="s">
        <v>34</v>
      </c>
      <c r="R70" s="8"/>
      <c r="S70" s="8"/>
      <c r="T70" s="7" t="s">
        <v>2395</v>
      </c>
      <c r="U70" s="36" t="s">
        <v>35</v>
      </c>
      <c r="V70" s="38" t="s">
        <v>286</v>
      </c>
      <c r="W70" s="36"/>
      <c r="X70" s="36" t="s">
        <v>279</v>
      </c>
      <c r="Y70" s="46">
        <v>28128</v>
      </c>
      <c r="Z70" s="41"/>
      <c r="AA70" s="42" t="e">
        <f>_xlfn.XLOOKUP(C70,#REF!,#REF!,"",0,1)</f>
        <v>#REF!</v>
      </c>
      <c r="AB70" s="43">
        <f t="shared" si="3"/>
        <v>0</v>
      </c>
    </row>
    <row r="71" spans="1:28" ht="65.5" thickBot="1" x14ac:dyDescent="0.3">
      <c r="A71" s="36">
        <v>70</v>
      </c>
      <c r="B71" s="36" t="s">
        <v>24</v>
      </c>
      <c r="C71" s="36" t="s">
        <v>263</v>
      </c>
      <c r="D71" s="37">
        <v>45366</v>
      </c>
      <c r="E71" s="36" t="s">
        <v>264</v>
      </c>
      <c r="F71" s="36" t="s">
        <v>265</v>
      </c>
      <c r="G71" s="36" t="s">
        <v>55</v>
      </c>
      <c r="H71" s="36" t="s">
        <v>287</v>
      </c>
      <c r="I71" s="36" t="s">
        <v>74</v>
      </c>
      <c r="J71" s="36" t="str">
        <f t="shared" si="2"/>
        <v>Finance (GST)GST EstablishmentCStore KeeperS6 (19900 - 63200)</v>
      </c>
      <c r="K71" s="36" t="s">
        <v>288</v>
      </c>
      <c r="L71" s="36" t="s">
        <v>228</v>
      </c>
      <c r="M71" s="38" t="s">
        <v>289</v>
      </c>
      <c r="N71" s="36" t="s">
        <v>199</v>
      </c>
      <c r="O71" s="6" t="s">
        <v>33</v>
      </c>
      <c r="P71" s="7">
        <v>0</v>
      </c>
      <c r="Q71" s="7" t="s">
        <v>34</v>
      </c>
      <c r="R71" s="8"/>
      <c r="S71" s="8"/>
      <c r="T71" s="7" t="s">
        <v>2395</v>
      </c>
      <c r="U71" s="36" t="s">
        <v>35</v>
      </c>
      <c r="V71" s="38" t="s">
        <v>290</v>
      </c>
      <c r="W71" s="36"/>
      <c r="X71" s="36" t="s">
        <v>279</v>
      </c>
      <c r="Y71" s="46">
        <v>28128</v>
      </c>
      <c r="Z71" s="41"/>
      <c r="AA71" s="42" t="e">
        <f>_xlfn.XLOOKUP(C71,#REF!,#REF!,"",0,1)</f>
        <v>#REF!</v>
      </c>
      <c r="AB71" s="43">
        <f t="shared" si="3"/>
        <v>0</v>
      </c>
    </row>
    <row r="72" spans="1:28" ht="117.5" thickBot="1" x14ac:dyDescent="0.3">
      <c r="A72" s="36">
        <v>71</v>
      </c>
      <c r="B72" s="36" t="s">
        <v>24</v>
      </c>
      <c r="C72" s="36" t="s">
        <v>263</v>
      </c>
      <c r="D72" s="37">
        <v>45366</v>
      </c>
      <c r="E72" s="36" t="s">
        <v>264</v>
      </c>
      <c r="F72" s="36" t="s">
        <v>265</v>
      </c>
      <c r="G72" s="36" t="s">
        <v>55</v>
      </c>
      <c r="H72" s="36" t="s">
        <v>291</v>
      </c>
      <c r="I72" s="36" t="s">
        <v>169</v>
      </c>
      <c r="J72" s="36" t="str">
        <f t="shared" si="2"/>
        <v>Finance (GST)GST EstablishmentCAccountantS7 (21700 - 69100)</v>
      </c>
      <c r="K72" s="36" t="s">
        <v>270</v>
      </c>
      <c r="L72" s="36" t="s">
        <v>225</v>
      </c>
      <c r="M72" s="38" t="s">
        <v>292</v>
      </c>
      <c r="N72" s="36" t="s">
        <v>199</v>
      </c>
      <c r="O72" s="6" t="s">
        <v>33</v>
      </c>
      <c r="P72" s="7">
        <v>1</v>
      </c>
      <c r="Q72" s="7" t="s">
        <v>34</v>
      </c>
      <c r="R72" s="8"/>
      <c r="S72" s="8"/>
      <c r="T72" s="7" t="s">
        <v>2395</v>
      </c>
      <c r="U72" s="36" t="s">
        <v>35</v>
      </c>
      <c r="V72" s="38" t="s">
        <v>293</v>
      </c>
      <c r="W72" s="36"/>
      <c r="X72" s="36" t="s">
        <v>294</v>
      </c>
      <c r="Y72" s="36" t="s">
        <v>295</v>
      </c>
      <c r="Z72" s="41"/>
      <c r="AA72" s="42" t="e">
        <f>_xlfn.XLOOKUP(C72,#REF!,#REF!,"",0,1)</f>
        <v>#REF!</v>
      </c>
      <c r="AB72" s="43">
        <f t="shared" si="3"/>
        <v>0</v>
      </c>
    </row>
    <row r="73" spans="1:28" ht="78.5" thickBot="1" x14ac:dyDescent="0.3">
      <c r="A73" s="36">
        <v>72</v>
      </c>
      <c r="B73" s="36" t="s">
        <v>24</v>
      </c>
      <c r="C73" s="36" t="s">
        <v>263</v>
      </c>
      <c r="D73" s="37">
        <v>45366</v>
      </c>
      <c r="E73" s="36" t="s">
        <v>264</v>
      </c>
      <c r="F73" s="36" t="s">
        <v>265</v>
      </c>
      <c r="G73" s="36" t="s">
        <v>55</v>
      </c>
      <c r="H73" s="36" t="s">
        <v>296</v>
      </c>
      <c r="I73" s="36" t="s">
        <v>169</v>
      </c>
      <c r="J73" s="36" t="str">
        <f t="shared" si="2"/>
        <v>Finance (GST)GST EstablishmentCLeading FiremanS7 (21700 - 69100)</v>
      </c>
      <c r="K73" s="36" t="s">
        <v>297</v>
      </c>
      <c r="L73" s="36" t="s">
        <v>225</v>
      </c>
      <c r="M73" s="38" t="s">
        <v>298</v>
      </c>
      <c r="N73" s="36" t="s">
        <v>299</v>
      </c>
      <c r="O73" s="6" t="s">
        <v>33</v>
      </c>
      <c r="P73" s="7">
        <v>1</v>
      </c>
      <c r="Q73" s="7" t="s">
        <v>34</v>
      </c>
      <c r="R73" s="8"/>
      <c r="S73" s="8"/>
      <c r="T73" s="7" t="s">
        <v>2395</v>
      </c>
      <c r="U73" s="36" t="s">
        <v>35</v>
      </c>
      <c r="V73" s="38" t="s">
        <v>300</v>
      </c>
      <c r="W73" s="36"/>
      <c r="X73" s="36" t="s">
        <v>301</v>
      </c>
      <c r="Y73" s="36" t="s">
        <v>302</v>
      </c>
      <c r="Z73" s="41"/>
      <c r="AA73" s="42" t="e">
        <f>_xlfn.XLOOKUP(C73,#REF!,#REF!,"",0,1)</f>
        <v>#REF!</v>
      </c>
      <c r="AB73" s="43">
        <f t="shared" si="3"/>
        <v>0</v>
      </c>
    </row>
    <row r="74" spans="1:28" ht="65.5" thickBot="1" x14ac:dyDescent="0.3">
      <c r="A74" s="36">
        <v>73</v>
      </c>
      <c r="B74" s="36" t="s">
        <v>24</v>
      </c>
      <c r="C74" s="36" t="s">
        <v>263</v>
      </c>
      <c r="D74" s="37">
        <v>45366</v>
      </c>
      <c r="E74" s="36" t="s">
        <v>264</v>
      </c>
      <c r="F74" s="36" t="s">
        <v>265</v>
      </c>
      <c r="G74" s="36" t="s">
        <v>55</v>
      </c>
      <c r="H74" s="36" t="s">
        <v>168</v>
      </c>
      <c r="I74" s="36" t="s">
        <v>169</v>
      </c>
      <c r="J74" s="36" t="str">
        <f t="shared" si="2"/>
        <v>Finance (GST)GST EstablishmentCLibrarianS7 (21700 - 69100)</v>
      </c>
      <c r="K74" s="36" t="s">
        <v>170</v>
      </c>
      <c r="L74" s="36" t="s">
        <v>228</v>
      </c>
      <c r="M74" s="38" t="s">
        <v>303</v>
      </c>
      <c r="N74" s="36" t="s">
        <v>172</v>
      </c>
      <c r="O74" s="6" t="s">
        <v>33</v>
      </c>
      <c r="P74" s="7">
        <v>1</v>
      </c>
      <c r="Q74" s="7" t="s">
        <v>34</v>
      </c>
      <c r="R74" s="8"/>
      <c r="S74" s="8"/>
      <c r="T74" s="7" t="s">
        <v>2395</v>
      </c>
      <c r="U74" s="36" t="s">
        <v>35</v>
      </c>
      <c r="V74" s="38" t="s">
        <v>304</v>
      </c>
      <c r="W74" s="36"/>
      <c r="X74" s="36" t="s">
        <v>305</v>
      </c>
      <c r="Y74" s="36" t="s">
        <v>306</v>
      </c>
      <c r="Z74" s="41"/>
      <c r="AA74" s="42" t="e">
        <f>_xlfn.XLOOKUP(C74,#REF!,#REF!,"",0,1)</f>
        <v>#REF!</v>
      </c>
      <c r="AB74" s="43">
        <f t="shared" si="3"/>
        <v>0</v>
      </c>
    </row>
    <row r="75" spans="1:28" ht="65.5" thickBot="1" x14ac:dyDescent="0.3">
      <c r="A75" s="36">
        <v>74</v>
      </c>
      <c r="B75" s="36" t="s">
        <v>24</v>
      </c>
      <c r="C75" s="36" t="s">
        <v>263</v>
      </c>
      <c r="D75" s="37">
        <v>45366</v>
      </c>
      <c r="E75" s="36" t="s">
        <v>264</v>
      </c>
      <c r="F75" s="36" t="s">
        <v>265</v>
      </c>
      <c r="G75" s="36" t="s">
        <v>55</v>
      </c>
      <c r="H75" s="36" t="s">
        <v>307</v>
      </c>
      <c r="I75" s="36" t="s">
        <v>169</v>
      </c>
      <c r="J75" s="36" t="str">
        <f t="shared" si="2"/>
        <v>Finance (GST)GST EstablishmentCSupervisorS7 (21700 - 69100)</v>
      </c>
      <c r="K75" s="36" t="s">
        <v>58</v>
      </c>
      <c r="L75" s="36" t="s">
        <v>228</v>
      </c>
      <c r="M75" s="38" t="s">
        <v>308</v>
      </c>
      <c r="N75" s="36" t="s">
        <v>199</v>
      </c>
      <c r="O75" s="6" t="s">
        <v>33</v>
      </c>
      <c r="P75" s="7">
        <v>1</v>
      </c>
      <c r="Q75" s="7" t="s">
        <v>34</v>
      </c>
      <c r="R75" s="8"/>
      <c r="S75" s="8"/>
      <c r="T75" s="7" t="s">
        <v>2395</v>
      </c>
      <c r="U75" s="36" t="s">
        <v>35</v>
      </c>
      <c r="V75" s="38" t="s">
        <v>308</v>
      </c>
      <c r="W75" s="36"/>
      <c r="X75" s="36" t="s">
        <v>309</v>
      </c>
      <c r="Y75" s="36" t="s">
        <v>310</v>
      </c>
      <c r="Z75" s="41"/>
      <c r="AA75" s="42" t="e">
        <f>_xlfn.XLOOKUP(C75,#REF!,#REF!,"",0,1)</f>
        <v>#REF!</v>
      </c>
      <c r="AB75" s="43">
        <f t="shared" si="3"/>
        <v>0</v>
      </c>
    </row>
    <row r="76" spans="1:28" ht="117.5" thickBot="1" x14ac:dyDescent="0.3">
      <c r="A76" s="36">
        <v>75</v>
      </c>
      <c r="B76" s="36" t="s">
        <v>24</v>
      </c>
      <c r="C76" s="36" t="s">
        <v>263</v>
      </c>
      <c r="D76" s="37">
        <v>45366</v>
      </c>
      <c r="E76" s="36" t="s">
        <v>264</v>
      </c>
      <c r="F76" s="36" t="s">
        <v>265</v>
      </c>
      <c r="G76" s="36" t="s">
        <v>55</v>
      </c>
      <c r="H76" s="36" t="s">
        <v>311</v>
      </c>
      <c r="I76" s="36" t="s">
        <v>80</v>
      </c>
      <c r="J76" s="36" t="str">
        <f t="shared" si="2"/>
        <v>Finance (GST)GST EstablishmentCTax AssistantS8 (25500 - 81100)</v>
      </c>
      <c r="K76" s="36" t="s">
        <v>270</v>
      </c>
      <c r="L76" s="36" t="s">
        <v>225</v>
      </c>
      <c r="M76" s="38" t="s">
        <v>312</v>
      </c>
      <c r="N76" s="36" t="s">
        <v>199</v>
      </c>
      <c r="O76" s="6" t="s">
        <v>33</v>
      </c>
      <c r="P76" s="7">
        <v>282</v>
      </c>
      <c r="Q76" s="7" t="s">
        <v>100</v>
      </c>
      <c r="R76" s="8"/>
      <c r="S76" s="8"/>
      <c r="T76" s="7" t="s">
        <v>61</v>
      </c>
      <c r="U76" s="36" t="s">
        <v>61</v>
      </c>
      <c r="V76" s="38" t="s">
        <v>313</v>
      </c>
      <c r="W76" s="36"/>
      <c r="X76" s="36" t="s">
        <v>314</v>
      </c>
      <c r="Y76" s="36" t="s">
        <v>315</v>
      </c>
      <c r="Z76" s="41"/>
      <c r="AA76" s="42" t="e">
        <f>_xlfn.XLOOKUP(C76,#REF!,#REF!,"",0,1)</f>
        <v>#REF!</v>
      </c>
      <c r="AB76" s="43">
        <f t="shared" si="3"/>
        <v>0</v>
      </c>
    </row>
    <row r="77" spans="1:28" ht="78.5" thickBot="1" x14ac:dyDescent="0.3">
      <c r="A77" s="36">
        <v>76</v>
      </c>
      <c r="B77" s="36" t="s">
        <v>24</v>
      </c>
      <c r="C77" s="36" t="s">
        <v>263</v>
      </c>
      <c r="D77" s="37">
        <v>45366</v>
      </c>
      <c r="E77" s="36" t="s">
        <v>264</v>
      </c>
      <c r="F77" s="36" t="s">
        <v>265</v>
      </c>
      <c r="G77" s="36" t="s">
        <v>55</v>
      </c>
      <c r="H77" s="36" t="s">
        <v>316</v>
      </c>
      <c r="I77" s="36" t="s">
        <v>80</v>
      </c>
      <c r="J77" s="36" t="str">
        <f t="shared" si="2"/>
        <v>Finance (GST)GST EstablishmentCAssistant ManagerS8 (25500 - 81100)</v>
      </c>
      <c r="K77" s="36" t="s">
        <v>221</v>
      </c>
      <c r="L77" s="36" t="s">
        <v>228</v>
      </c>
      <c r="M77" s="38" t="s">
        <v>317</v>
      </c>
      <c r="N77" s="36" t="s">
        <v>199</v>
      </c>
      <c r="O77" s="6" t="s">
        <v>33</v>
      </c>
      <c r="P77" s="7">
        <v>1</v>
      </c>
      <c r="Q77" s="7" t="s">
        <v>34</v>
      </c>
      <c r="R77" s="8"/>
      <c r="S77" s="8"/>
      <c r="T77" s="7" t="s">
        <v>2395</v>
      </c>
      <c r="U77" s="36" t="s">
        <v>35</v>
      </c>
      <c r="V77" s="38" t="s">
        <v>318</v>
      </c>
      <c r="W77" s="36"/>
      <c r="X77" s="36" t="s">
        <v>319</v>
      </c>
      <c r="Y77" s="46">
        <v>28128</v>
      </c>
      <c r="Z77" s="41"/>
      <c r="AA77" s="42" t="e">
        <f>_xlfn.XLOOKUP(C77,#REF!,#REF!,"",0,1)</f>
        <v>#REF!</v>
      </c>
      <c r="AB77" s="43">
        <f t="shared" si="3"/>
        <v>0</v>
      </c>
    </row>
    <row r="78" spans="1:28" ht="65.5" thickBot="1" x14ac:dyDescent="0.3">
      <c r="A78" s="36">
        <v>77</v>
      </c>
      <c r="B78" s="36" t="s">
        <v>24</v>
      </c>
      <c r="C78" s="36" t="s">
        <v>263</v>
      </c>
      <c r="D78" s="37">
        <v>45366</v>
      </c>
      <c r="E78" s="36" t="s">
        <v>264</v>
      </c>
      <c r="F78" s="36" t="s">
        <v>265</v>
      </c>
      <c r="G78" s="36" t="s">
        <v>55</v>
      </c>
      <c r="H78" s="36" t="s">
        <v>320</v>
      </c>
      <c r="I78" s="36" t="s">
        <v>80</v>
      </c>
      <c r="J78" s="36" t="str">
        <f t="shared" si="2"/>
        <v>Finance (GST)GST EstablishmentCStenoTypistS8 (25500 - 81100)</v>
      </c>
      <c r="K78" s="36" t="s">
        <v>68</v>
      </c>
      <c r="L78" s="36" t="s">
        <v>231</v>
      </c>
      <c r="M78" s="38" t="s">
        <v>321</v>
      </c>
      <c r="N78" s="36" t="s">
        <v>70</v>
      </c>
      <c r="O78" s="6" t="s">
        <v>33</v>
      </c>
      <c r="P78" s="7">
        <v>31</v>
      </c>
      <c r="Q78" s="7" t="s">
        <v>100</v>
      </c>
      <c r="R78" s="8"/>
      <c r="S78" s="8"/>
      <c r="T78" s="4" t="s">
        <v>3276</v>
      </c>
      <c r="U78" s="36" t="s">
        <v>35</v>
      </c>
      <c r="V78" s="38"/>
      <c r="W78" s="36"/>
      <c r="X78" s="36"/>
      <c r="Y78" s="36"/>
      <c r="Z78" s="41"/>
      <c r="AA78" s="42" t="e">
        <f>_xlfn.XLOOKUP(C78,#REF!,#REF!,"",0,1)</f>
        <v>#REF!</v>
      </c>
      <c r="AB78" s="43">
        <f t="shared" si="3"/>
        <v>0</v>
      </c>
    </row>
    <row r="79" spans="1:28" ht="117.5" thickBot="1" x14ac:dyDescent="0.3">
      <c r="A79" s="36">
        <v>78</v>
      </c>
      <c r="B79" s="36" t="s">
        <v>24</v>
      </c>
      <c r="C79" s="36" t="s">
        <v>263</v>
      </c>
      <c r="D79" s="37">
        <v>43796</v>
      </c>
      <c r="E79" s="36" t="s">
        <v>322</v>
      </c>
      <c r="F79" s="36" t="s">
        <v>323</v>
      </c>
      <c r="G79" s="36" t="s">
        <v>28</v>
      </c>
      <c r="H79" s="36" t="s">
        <v>324</v>
      </c>
      <c r="I79" s="36" t="s">
        <v>30</v>
      </c>
      <c r="J79" s="36" t="str">
        <f t="shared" si="2"/>
        <v>Finance (Insurance)Insurance EstablishmentAAsssitent Director of InsuranceS18 (49100 - 155800)</v>
      </c>
      <c r="K79" s="36"/>
      <c r="L79" s="36" t="s">
        <v>238</v>
      </c>
      <c r="M79" s="38" t="s">
        <v>325</v>
      </c>
      <c r="N79" s="36"/>
      <c r="O79" s="6" t="s">
        <v>33</v>
      </c>
      <c r="P79" s="7">
        <v>0</v>
      </c>
      <c r="Q79" s="7" t="s">
        <v>34</v>
      </c>
      <c r="R79" s="8"/>
      <c r="S79" s="8"/>
      <c r="T79" s="7" t="s">
        <v>2395</v>
      </c>
      <c r="U79" s="36" t="s">
        <v>35</v>
      </c>
      <c r="V79" s="38"/>
      <c r="W79" s="36"/>
      <c r="X79" s="36"/>
      <c r="Y79" s="36"/>
      <c r="Z79" s="41"/>
      <c r="AA79" s="42" t="e">
        <f>_xlfn.XLOOKUP(C79,#REF!,#REF!,"",0,1)</f>
        <v>#REF!</v>
      </c>
      <c r="AB79" s="43">
        <f t="shared" si="3"/>
        <v>0</v>
      </c>
    </row>
    <row r="80" spans="1:28" ht="104.5" thickBot="1" x14ac:dyDescent="0.3">
      <c r="A80" s="36">
        <v>79</v>
      </c>
      <c r="B80" s="36" t="s">
        <v>24</v>
      </c>
      <c r="C80" s="36" t="s">
        <v>263</v>
      </c>
      <c r="D80" s="37">
        <v>43796</v>
      </c>
      <c r="E80" s="36" t="s">
        <v>322</v>
      </c>
      <c r="F80" s="36" t="s">
        <v>323</v>
      </c>
      <c r="G80" s="36" t="s">
        <v>28</v>
      </c>
      <c r="H80" s="36" t="s">
        <v>326</v>
      </c>
      <c r="I80" s="36" t="s">
        <v>242</v>
      </c>
      <c r="J80" s="36" t="str">
        <f t="shared" si="2"/>
        <v>Finance (Insurance)Insurance EstablishmentADeputy DirectorS23 (67700 - 208700)</v>
      </c>
      <c r="K80" s="36"/>
      <c r="L80" s="36" t="s">
        <v>238</v>
      </c>
      <c r="M80" s="38" t="s">
        <v>327</v>
      </c>
      <c r="N80" s="36"/>
      <c r="O80" s="6" t="s">
        <v>33</v>
      </c>
      <c r="P80" s="7">
        <v>0</v>
      </c>
      <c r="Q80" s="7" t="s">
        <v>34</v>
      </c>
      <c r="R80" s="8"/>
      <c r="S80" s="8"/>
      <c r="T80" s="7" t="s">
        <v>2395</v>
      </c>
      <c r="U80" s="36" t="s">
        <v>35</v>
      </c>
      <c r="V80" s="38"/>
      <c r="W80" s="36"/>
      <c r="X80" s="36"/>
      <c r="Y80" s="36"/>
      <c r="Z80" s="41"/>
      <c r="AA80" s="42" t="e">
        <f>_xlfn.XLOOKUP(C80,#REF!,#REF!,"",0,1)</f>
        <v>#REF!</v>
      </c>
      <c r="AB80" s="43">
        <f t="shared" si="3"/>
        <v>0</v>
      </c>
    </row>
    <row r="81" spans="1:28" ht="130.5" thickBot="1" x14ac:dyDescent="0.3">
      <c r="A81" s="36">
        <v>80</v>
      </c>
      <c r="B81" s="36" t="s">
        <v>24</v>
      </c>
      <c r="C81" s="36" t="s">
        <v>263</v>
      </c>
      <c r="D81" s="37">
        <v>43796</v>
      </c>
      <c r="E81" s="36" t="s">
        <v>322</v>
      </c>
      <c r="F81" s="36" t="s">
        <v>323</v>
      </c>
      <c r="G81" s="36" t="s">
        <v>42</v>
      </c>
      <c r="H81" s="36" t="s">
        <v>328</v>
      </c>
      <c r="I81" s="36" t="s">
        <v>44</v>
      </c>
      <c r="J81" s="36" t="str">
        <f t="shared" si="2"/>
        <v>Finance (Insurance)Insurance EstablishmentB (Gazetted)Junior Technical OfficerS15 (41800 - 132300)</v>
      </c>
      <c r="K81" s="36"/>
      <c r="L81" s="36" t="s">
        <v>238</v>
      </c>
      <c r="M81" s="38" t="s">
        <v>329</v>
      </c>
      <c r="N81" s="36"/>
      <c r="O81" s="6" t="s">
        <v>33</v>
      </c>
      <c r="P81" s="7">
        <v>1</v>
      </c>
      <c r="Q81" s="7" t="s">
        <v>34</v>
      </c>
      <c r="R81" s="8"/>
      <c r="S81" s="8"/>
      <c r="T81" s="7" t="s">
        <v>2395</v>
      </c>
      <c r="U81" s="36" t="s">
        <v>35</v>
      </c>
      <c r="V81" s="38"/>
      <c r="W81" s="36"/>
      <c r="X81" s="36"/>
      <c r="Y81" s="36"/>
      <c r="Z81" s="41"/>
      <c r="AA81" s="42" t="e">
        <f>_xlfn.XLOOKUP(C81,#REF!,#REF!,"",0,1)</f>
        <v>#REF!</v>
      </c>
      <c r="AB81" s="43">
        <f t="shared" si="3"/>
        <v>0</v>
      </c>
    </row>
    <row r="82" spans="1:28" ht="91.5" thickBot="1" x14ac:dyDescent="0.3">
      <c r="A82" s="36">
        <v>81</v>
      </c>
      <c r="B82" s="36" t="s">
        <v>24</v>
      </c>
      <c r="C82" s="36" t="s">
        <v>263</v>
      </c>
      <c r="D82" s="37">
        <v>43796</v>
      </c>
      <c r="E82" s="36" t="s">
        <v>322</v>
      </c>
      <c r="F82" s="36" t="s">
        <v>323</v>
      </c>
      <c r="G82" s="36" t="s">
        <v>55</v>
      </c>
      <c r="H82" s="36" t="s">
        <v>330</v>
      </c>
      <c r="I82" s="36" t="s">
        <v>276</v>
      </c>
      <c r="J82" s="36" t="str">
        <f t="shared" si="2"/>
        <v>Finance (Insurance)Insurance EstablishmentCTechnical AssistantS10 (29200 - 92300)</v>
      </c>
      <c r="K82" s="36"/>
      <c r="L82" s="36" t="s">
        <v>238</v>
      </c>
      <c r="M82" s="38" t="s">
        <v>155</v>
      </c>
      <c r="N82" s="36"/>
      <c r="O82" s="6" t="s">
        <v>33</v>
      </c>
      <c r="P82" s="7">
        <v>3</v>
      </c>
      <c r="Q82" s="7" t="s">
        <v>100</v>
      </c>
      <c r="R82" s="8"/>
      <c r="S82" s="8"/>
      <c r="T82" s="7" t="s">
        <v>61</v>
      </c>
      <c r="U82" s="36" t="s">
        <v>35</v>
      </c>
      <c r="V82" s="38"/>
      <c r="W82" s="36"/>
      <c r="X82" s="36"/>
      <c r="Y82" s="36"/>
      <c r="Z82" s="41"/>
      <c r="AA82" s="42" t="e">
        <f>_xlfn.XLOOKUP(C82,#REF!,#REF!,"",0,1)</f>
        <v>#REF!</v>
      </c>
      <c r="AB82" s="43">
        <f t="shared" si="3"/>
        <v>0</v>
      </c>
    </row>
    <row r="83" spans="1:28" ht="91.5" thickBot="1" x14ac:dyDescent="0.3">
      <c r="A83" s="36">
        <v>82</v>
      </c>
      <c r="B83" s="36" t="s">
        <v>24</v>
      </c>
      <c r="C83" s="36" t="s">
        <v>263</v>
      </c>
      <c r="D83" s="37">
        <v>43796</v>
      </c>
      <c r="E83" s="36" t="s">
        <v>322</v>
      </c>
      <c r="F83" s="36" t="s">
        <v>323</v>
      </c>
      <c r="G83" s="36" t="s">
        <v>55</v>
      </c>
      <c r="H83" s="36" t="s">
        <v>331</v>
      </c>
      <c r="I83" s="36" t="s">
        <v>74</v>
      </c>
      <c r="J83" s="36" t="str">
        <f t="shared" si="2"/>
        <v>Finance (Insurance)Insurance EstablishmentCClerkcumTypistS6 (19900 - 63200)</v>
      </c>
      <c r="K83" s="36" t="s">
        <v>75</v>
      </c>
      <c r="L83" s="36" t="s">
        <v>228</v>
      </c>
      <c r="M83" s="38" t="s">
        <v>332</v>
      </c>
      <c r="N83" s="36" t="s">
        <v>70</v>
      </c>
      <c r="O83" s="6" t="s">
        <v>33</v>
      </c>
      <c r="P83" s="7">
        <v>9</v>
      </c>
      <c r="Q83" s="7" t="s">
        <v>34</v>
      </c>
      <c r="R83" s="8"/>
      <c r="S83" s="8"/>
      <c r="T83" s="7" t="s">
        <v>35</v>
      </c>
      <c r="U83" s="36" t="s">
        <v>35</v>
      </c>
      <c r="V83" s="38" t="s">
        <v>125</v>
      </c>
      <c r="W83" s="36"/>
      <c r="X83" s="36" t="s">
        <v>77</v>
      </c>
      <c r="Y83" s="36" t="s">
        <v>78</v>
      </c>
      <c r="Z83" s="41"/>
      <c r="AA83" s="42" t="e">
        <f>_xlfn.XLOOKUP(C83,#REF!,#REF!,"",0,1)</f>
        <v>#REF!</v>
      </c>
      <c r="AB83" s="43">
        <f t="shared" si="3"/>
        <v>0</v>
      </c>
    </row>
    <row r="84" spans="1:28" ht="91.5" thickBot="1" x14ac:dyDescent="0.3">
      <c r="A84" s="36">
        <v>83</v>
      </c>
      <c r="B84" s="36" t="s">
        <v>24</v>
      </c>
      <c r="C84" s="36" t="s">
        <v>263</v>
      </c>
      <c r="D84" s="37">
        <v>44545</v>
      </c>
      <c r="E84" s="36" t="s">
        <v>333</v>
      </c>
      <c r="F84" s="36" t="s">
        <v>334</v>
      </c>
      <c r="G84" s="36" t="s">
        <v>55</v>
      </c>
      <c r="H84" s="36" t="s">
        <v>335</v>
      </c>
      <c r="I84" s="36" t="s">
        <v>276</v>
      </c>
      <c r="J84" s="36" t="str">
        <f t="shared" si="2"/>
        <v>Finance (Local Fund Audit &amp; Treasury)Local Fund Audit EstablishmentCJr. AuditorS10 (29200 - 92300)</v>
      </c>
      <c r="K84" s="36" t="s">
        <v>203</v>
      </c>
      <c r="L84" s="36" t="s">
        <v>225</v>
      </c>
      <c r="M84" s="38" t="s">
        <v>336</v>
      </c>
      <c r="N84" s="36" t="s">
        <v>337</v>
      </c>
      <c r="O84" s="6" t="s">
        <v>83</v>
      </c>
      <c r="P84" s="7">
        <v>85</v>
      </c>
      <c r="Q84" s="7" t="s">
        <v>100</v>
      </c>
      <c r="R84" s="7">
        <v>221</v>
      </c>
      <c r="S84" s="7" t="s">
        <v>338</v>
      </c>
      <c r="T84" s="7" t="s">
        <v>35</v>
      </c>
      <c r="U84" s="36" t="s">
        <v>35</v>
      </c>
      <c r="V84" s="38" t="s">
        <v>339</v>
      </c>
      <c r="W84" s="36"/>
      <c r="X84" s="36" t="s">
        <v>340</v>
      </c>
      <c r="Y84" s="46">
        <v>39490</v>
      </c>
      <c r="Z84" s="41"/>
      <c r="AA84" s="42" t="e">
        <f>_xlfn.XLOOKUP(C84,#REF!,#REF!,"",0,1)</f>
        <v>#REF!</v>
      </c>
      <c r="AB84" s="43">
        <f t="shared" si="3"/>
        <v>0</v>
      </c>
    </row>
    <row r="85" spans="1:28" ht="104.5" thickBot="1" x14ac:dyDescent="0.3">
      <c r="A85" s="36">
        <v>84</v>
      </c>
      <c r="B85" s="36" t="s">
        <v>24</v>
      </c>
      <c r="C85" s="36" t="s">
        <v>263</v>
      </c>
      <c r="D85" s="37">
        <v>44545</v>
      </c>
      <c r="E85" s="36" t="s">
        <v>333</v>
      </c>
      <c r="F85" s="36" t="s">
        <v>334</v>
      </c>
      <c r="G85" s="36" t="s">
        <v>55</v>
      </c>
      <c r="H85" s="36" t="s">
        <v>341</v>
      </c>
      <c r="I85" s="36" t="s">
        <v>74</v>
      </c>
      <c r="J85" s="36" t="str">
        <f t="shared" si="2"/>
        <v>Finance (Local Fund Audit &amp; Treasury)Local Fund Audit EstablishmentCClerk cumTypistS6 (19900 - 63200)</v>
      </c>
      <c r="K85" s="36" t="s">
        <v>75</v>
      </c>
      <c r="L85" s="36" t="s">
        <v>228</v>
      </c>
      <c r="M85" s="38" t="s">
        <v>342</v>
      </c>
      <c r="N85" s="36" t="s">
        <v>70</v>
      </c>
      <c r="O85" s="6" t="s">
        <v>33</v>
      </c>
      <c r="P85" s="7">
        <v>10</v>
      </c>
      <c r="Q85" s="7" t="s">
        <v>34</v>
      </c>
      <c r="R85" s="8"/>
      <c r="S85" s="8"/>
      <c r="T85" s="7" t="s">
        <v>35</v>
      </c>
      <c r="U85" s="36" t="s">
        <v>35</v>
      </c>
      <c r="V85" s="38" t="s">
        <v>125</v>
      </c>
      <c r="W85" s="36"/>
      <c r="X85" s="36" t="s">
        <v>77</v>
      </c>
      <c r="Y85" s="36" t="s">
        <v>78</v>
      </c>
      <c r="Z85" s="41"/>
      <c r="AA85" s="42" t="e">
        <f>_xlfn.XLOOKUP(C85,#REF!,#REF!,"",0,1)</f>
        <v>#REF!</v>
      </c>
      <c r="AB85" s="43">
        <f t="shared" si="3"/>
        <v>0</v>
      </c>
    </row>
    <row r="86" spans="1:28" ht="117.5" thickBot="1" x14ac:dyDescent="0.3">
      <c r="A86" s="36">
        <v>85</v>
      </c>
      <c r="B86" s="36" t="s">
        <v>24</v>
      </c>
      <c r="C86" s="36" t="s">
        <v>263</v>
      </c>
      <c r="D86" s="37">
        <v>44545</v>
      </c>
      <c r="E86" s="36" t="s">
        <v>333</v>
      </c>
      <c r="F86" s="36" t="s">
        <v>343</v>
      </c>
      <c r="G86" s="36" t="s">
        <v>28</v>
      </c>
      <c r="H86" s="36" t="s">
        <v>344</v>
      </c>
      <c r="I86" s="36" t="s">
        <v>38</v>
      </c>
      <c r="J86" s="36" t="str">
        <f t="shared" si="2"/>
        <v>Finance (Local Fund Audit &amp; Treasury)Treasury EstablishmentAAssistant DirectorS20 (56100 - 177500)</v>
      </c>
      <c r="K86" s="36" t="s">
        <v>45</v>
      </c>
      <c r="L86" s="36" t="s">
        <v>247</v>
      </c>
      <c r="M86" s="38" t="s">
        <v>345</v>
      </c>
      <c r="N86" s="36" t="s">
        <v>47</v>
      </c>
      <c r="O86" s="6" t="s">
        <v>33</v>
      </c>
      <c r="P86" s="10">
        <v>32</v>
      </c>
      <c r="Q86" s="7" t="s">
        <v>100</v>
      </c>
      <c r="R86" s="7">
        <v>32</v>
      </c>
      <c r="S86" s="7" t="s">
        <v>346</v>
      </c>
      <c r="T86" s="7" t="s">
        <v>61</v>
      </c>
      <c r="U86" s="36" t="s">
        <v>61</v>
      </c>
      <c r="V86" s="38"/>
      <c r="W86" s="36"/>
      <c r="X86" s="36"/>
      <c r="Y86" s="36"/>
      <c r="Z86" s="41"/>
      <c r="AA86" s="42" t="e">
        <f>_xlfn.XLOOKUP(C86,#REF!,#REF!,"",0,1)</f>
        <v>#REF!</v>
      </c>
      <c r="AB86" s="43">
        <f t="shared" si="3"/>
        <v>0</v>
      </c>
    </row>
    <row r="87" spans="1:28" ht="169.5" thickBot="1" x14ac:dyDescent="0.3">
      <c r="A87" s="36">
        <v>86</v>
      </c>
      <c r="B87" s="36" t="s">
        <v>24</v>
      </c>
      <c r="C87" s="36" t="s">
        <v>263</v>
      </c>
      <c r="D87" s="37">
        <v>44545</v>
      </c>
      <c r="E87" s="36" t="s">
        <v>333</v>
      </c>
      <c r="F87" s="36" t="s">
        <v>343</v>
      </c>
      <c r="G87" s="36" t="s">
        <v>42</v>
      </c>
      <c r="H87" s="36" t="s">
        <v>347</v>
      </c>
      <c r="I87" s="36" t="s">
        <v>44</v>
      </c>
      <c r="J87" s="36" t="str">
        <f t="shared" si="2"/>
        <v>Finance (Local Fund Audit &amp; Treasury)Treasury EstablishmentB (Gazetted)Assistant Accounts OfficerS15 (41800 - 132300)</v>
      </c>
      <c r="K87" s="36" t="s">
        <v>45</v>
      </c>
      <c r="L87" s="36" t="s">
        <v>247</v>
      </c>
      <c r="M87" s="38" t="s">
        <v>348</v>
      </c>
      <c r="N87" s="36" t="s">
        <v>47</v>
      </c>
      <c r="O87" s="6" t="s">
        <v>33</v>
      </c>
      <c r="P87" s="7">
        <v>217</v>
      </c>
      <c r="Q87" s="7" t="s">
        <v>100</v>
      </c>
      <c r="R87" s="7">
        <v>217</v>
      </c>
      <c r="S87" s="7" t="s">
        <v>349</v>
      </c>
      <c r="T87" s="7" t="s">
        <v>61</v>
      </c>
      <c r="U87" s="36" t="s">
        <v>61</v>
      </c>
      <c r="V87" s="38"/>
      <c r="W87" s="36"/>
      <c r="X87" s="36"/>
      <c r="Y87" s="36"/>
      <c r="Z87" s="41"/>
      <c r="AA87" s="42" t="e">
        <f>_xlfn.XLOOKUP(C87,#REF!,#REF!,"",0,1)</f>
        <v>#REF!</v>
      </c>
      <c r="AB87" s="43">
        <f t="shared" si="3"/>
        <v>0</v>
      </c>
    </row>
    <row r="88" spans="1:28" ht="130.5" thickBot="1" x14ac:dyDescent="0.3">
      <c r="A88" s="36">
        <v>87</v>
      </c>
      <c r="B88" s="36" t="s">
        <v>24</v>
      </c>
      <c r="C88" s="36" t="s">
        <v>263</v>
      </c>
      <c r="D88" s="37">
        <v>44545</v>
      </c>
      <c r="E88" s="36" t="s">
        <v>333</v>
      </c>
      <c r="F88" s="36" t="s">
        <v>343</v>
      </c>
      <c r="G88" s="36" t="s">
        <v>42</v>
      </c>
      <c r="H88" s="36" t="s">
        <v>350</v>
      </c>
      <c r="I88" s="36" t="s">
        <v>54</v>
      </c>
      <c r="J88" s="36" t="str">
        <f t="shared" si="2"/>
        <v>Finance (Local Fund Audit &amp; Treasury)Treasury EstablishmentB (Gazetted)Accounts OfficerS16 (44900 - 142400)</v>
      </c>
      <c r="K88" s="36" t="s">
        <v>45</v>
      </c>
      <c r="L88" s="36" t="s">
        <v>247</v>
      </c>
      <c r="M88" s="38" t="s">
        <v>351</v>
      </c>
      <c r="N88" s="36" t="s">
        <v>47</v>
      </c>
      <c r="O88" s="6" t="s">
        <v>33</v>
      </c>
      <c r="P88" s="7">
        <v>60</v>
      </c>
      <c r="Q88" s="7" t="s">
        <v>100</v>
      </c>
      <c r="R88" s="7">
        <v>60</v>
      </c>
      <c r="S88" s="7" t="s">
        <v>352</v>
      </c>
      <c r="T88" s="7" t="s">
        <v>61</v>
      </c>
      <c r="U88" s="36" t="s">
        <v>61</v>
      </c>
      <c r="V88" s="38"/>
      <c r="W88" s="36"/>
      <c r="X88" s="36"/>
      <c r="Y88" s="36"/>
      <c r="Z88" s="41"/>
      <c r="AA88" s="42" t="e">
        <f>_xlfn.XLOOKUP(C88,#REF!,#REF!,"",0,1)</f>
        <v>#REF!</v>
      </c>
      <c r="AB88" s="43">
        <f t="shared" si="3"/>
        <v>0</v>
      </c>
    </row>
    <row r="89" spans="1:28" ht="143.5" thickBot="1" x14ac:dyDescent="0.3">
      <c r="A89" s="36">
        <v>88</v>
      </c>
      <c r="B89" s="36" t="s">
        <v>24</v>
      </c>
      <c r="C89" s="36" t="s">
        <v>263</v>
      </c>
      <c r="D89" s="37">
        <v>44545</v>
      </c>
      <c r="E89" s="36" t="s">
        <v>333</v>
      </c>
      <c r="F89" s="36" t="s">
        <v>343</v>
      </c>
      <c r="G89" s="36" t="s">
        <v>65</v>
      </c>
      <c r="H89" s="36" t="s">
        <v>66</v>
      </c>
      <c r="I89" s="36" t="s">
        <v>67</v>
      </c>
      <c r="J89" s="36" t="str">
        <f t="shared" si="2"/>
        <v>Finance (Local Fund Audit &amp; Treasury)Treasury EstablishmentB (Non Gazetted)Stenographer (Lower Grade)S14 (38600 - 122800)</v>
      </c>
      <c r="K89" s="36" t="s">
        <v>68</v>
      </c>
      <c r="L89" s="36" t="s">
        <v>231</v>
      </c>
      <c r="M89" s="38" t="s">
        <v>353</v>
      </c>
      <c r="N89" s="36" t="s">
        <v>70</v>
      </c>
      <c r="O89" s="6" t="s">
        <v>33</v>
      </c>
      <c r="P89" s="7">
        <v>4</v>
      </c>
      <c r="Q89" s="7" t="s">
        <v>34</v>
      </c>
      <c r="R89" s="8"/>
      <c r="S89" s="8"/>
      <c r="T89" s="4" t="s">
        <v>3276</v>
      </c>
      <c r="U89" s="36" t="s">
        <v>61</v>
      </c>
      <c r="V89" s="38"/>
      <c r="W89" s="36"/>
      <c r="X89" s="36"/>
      <c r="Y89" s="36"/>
      <c r="Z89" s="41"/>
      <c r="AA89" s="42" t="e">
        <f>_xlfn.XLOOKUP(C89,#REF!,#REF!,"",0,1)</f>
        <v>#REF!</v>
      </c>
      <c r="AB89" s="43">
        <f t="shared" si="3"/>
        <v>0</v>
      </c>
    </row>
    <row r="90" spans="1:28" ht="143.5" thickBot="1" x14ac:dyDescent="0.3">
      <c r="A90" s="36">
        <v>89</v>
      </c>
      <c r="B90" s="36" t="s">
        <v>24</v>
      </c>
      <c r="C90" s="36" t="s">
        <v>263</v>
      </c>
      <c r="D90" s="37">
        <v>44545</v>
      </c>
      <c r="E90" s="36" t="s">
        <v>333</v>
      </c>
      <c r="F90" s="36" t="s">
        <v>343</v>
      </c>
      <c r="G90" s="36" t="s">
        <v>65</v>
      </c>
      <c r="H90" s="36" t="s">
        <v>71</v>
      </c>
      <c r="I90" s="36" t="s">
        <v>44</v>
      </c>
      <c r="J90" s="36" t="str">
        <f t="shared" si="2"/>
        <v>Finance (Local Fund Audit &amp; Treasury)Treasury EstablishmentB (Non Gazetted)Stenographer (Higher Grade)S15 (41800 - 132300)</v>
      </c>
      <c r="K90" s="36" t="s">
        <v>68</v>
      </c>
      <c r="L90" s="36" t="s">
        <v>231</v>
      </c>
      <c r="M90" s="38" t="s">
        <v>354</v>
      </c>
      <c r="N90" s="36" t="s">
        <v>70</v>
      </c>
      <c r="O90" s="6" t="s">
        <v>33</v>
      </c>
      <c r="P90" s="7">
        <v>1</v>
      </c>
      <c r="Q90" s="7" t="s">
        <v>34</v>
      </c>
      <c r="R90" s="8"/>
      <c r="S90" s="8"/>
      <c r="T90" s="4" t="s">
        <v>3276</v>
      </c>
      <c r="U90" s="36" t="s">
        <v>61</v>
      </c>
      <c r="V90" s="38"/>
      <c r="W90" s="36"/>
      <c r="X90" s="36"/>
      <c r="Y90" s="36"/>
      <c r="Z90" s="41"/>
      <c r="AA90" s="42" t="e">
        <f>_xlfn.XLOOKUP(C90,#REF!,#REF!,"",0,1)</f>
        <v>#REF!</v>
      </c>
      <c r="AB90" s="43">
        <f t="shared" si="3"/>
        <v>0</v>
      </c>
    </row>
    <row r="91" spans="1:28" ht="104.5" thickBot="1" x14ac:dyDescent="0.3">
      <c r="A91" s="36">
        <v>90</v>
      </c>
      <c r="B91" s="36" t="s">
        <v>24</v>
      </c>
      <c r="C91" s="36" t="s">
        <v>263</v>
      </c>
      <c r="D91" s="37">
        <v>44545</v>
      </c>
      <c r="E91" s="36" t="s">
        <v>333</v>
      </c>
      <c r="F91" s="36" t="s">
        <v>343</v>
      </c>
      <c r="G91" s="36" t="s">
        <v>55</v>
      </c>
      <c r="H91" s="36" t="s">
        <v>355</v>
      </c>
      <c r="I91" s="36" t="s">
        <v>276</v>
      </c>
      <c r="J91" s="36" t="str">
        <f t="shared" si="2"/>
        <v>Finance (Local Fund Audit &amp; Treasury)Treasury EstablishmentCJunior AccountantS10 (29200 - 92300)</v>
      </c>
      <c r="K91" s="36" t="s">
        <v>270</v>
      </c>
      <c r="L91" s="36" t="s">
        <v>225</v>
      </c>
      <c r="M91" s="38" t="s">
        <v>356</v>
      </c>
      <c r="N91" s="36" t="s">
        <v>199</v>
      </c>
      <c r="O91" s="6" t="s">
        <v>33</v>
      </c>
      <c r="P91" s="7">
        <v>56</v>
      </c>
      <c r="Q91" s="7" t="s">
        <v>100</v>
      </c>
      <c r="R91" s="8"/>
      <c r="S91" s="7" t="s">
        <v>357</v>
      </c>
      <c r="T91" s="7" t="s">
        <v>61</v>
      </c>
      <c r="U91" s="36" t="s">
        <v>61</v>
      </c>
      <c r="V91" s="38" t="s">
        <v>358</v>
      </c>
      <c r="W91" s="36"/>
      <c r="X91" s="36" t="s">
        <v>359</v>
      </c>
      <c r="Y91" s="36" t="s">
        <v>360</v>
      </c>
      <c r="Z91" s="41"/>
      <c r="AA91" s="42" t="e">
        <f>_xlfn.XLOOKUP(C91,#REF!,#REF!,"",0,1)</f>
        <v>#REF!</v>
      </c>
      <c r="AB91" s="43">
        <f t="shared" si="3"/>
        <v>0</v>
      </c>
    </row>
    <row r="92" spans="1:28" ht="91.5" thickBot="1" x14ac:dyDescent="0.3">
      <c r="A92" s="36">
        <v>91</v>
      </c>
      <c r="B92" s="36" t="s">
        <v>24</v>
      </c>
      <c r="C92" s="36" t="s">
        <v>263</v>
      </c>
      <c r="D92" s="37">
        <v>44545</v>
      </c>
      <c r="E92" s="36" t="s">
        <v>333</v>
      </c>
      <c r="F92" s="36" t="s">
        <v>343</v>
      </c>
      <c r="G92" s="36" t="s">
        <v>55</v>
      </c>
      <c r="H92" s="36" t="s">
        <v>73</v>
      </c>
      <c r="I92" s="36" t="s">
        <v>74</v>
      </c>
      <c r="J92" s="36" t="str">
        <f t="shared" si="2"/>
        <v>Finance (Local Fund Audit &amp; Treasury)Treasury EstablishmentCClerk TypistS6 (19900 - 63200)</v>
      </c>
      <c r="K92" s="36" t="s">
        <v>75</v>
      </c>
      <c r="L92" s="36" t="s">
        <v>228</v>
      </c>
      <c r="M92" s="38" t="s">
        <v>356</v>
      </c>
      <c r="N92" s="36" t="s">
        <v>70</v>
      </c>
      <c r="O92" s="6" t="s">
        <v>33</v>
      </c>
      <c r="P92" s="7">
        <v>185</v>
      </c>
      <c r="Q92" s="7" t="s">
        <v>100</v>
      </c>
      <c r="R92" s="7">
        <v>443</v>
      </c>
      <c r="S92" s="7" t="s">
        <v>361</v>
      </c>
      <c r="T92" s="7" t="s">
        <v>61</v>
      </c>
      <c r="U92" s="36" t="s">
        <v>61</v>
      </c>
      <c r="V92" s="38" t="s">
        <v>125</v>
      </c>
      <c r="W92" s="36"/>
      <c r="X92" s="36" t="s">
        <v>77</v>
      </c>
      <c r="Y92" s="36" t="s">
        <v>78</v>
      </c>
      <c r="Z92" s="41"/>
      <c r="AA92" s="42" t="e">
        <f>_xlfn.XLOOKUP(C92,#REF!,#REF!,"",0,1)</f>
        <v>#REF!</v>
      </c>
      <c r="AB92" s="43">
        <f t="shared" si="3"/>
        <v>0</v>
      </c>
    </row>
    <row r="93" spans="1:28" ht="104.5" thickBot="1" x14ac:dyDescent="0.3">
      <c r="A93" s="44">
        <v>92</v>
      </c>
      <c r="B93" s="44" t="s">
        <v>24</v>
      </c>
      <c r="C93" s="36" t="s">
        <v>263</v>
      </c>
      <c r="D93" s="37">
        <v>44545</v>
      </c>
      <c r="E93" s="44" t="s">
        <v>333</v>
      </c>
      <c r="F93" s="44" t="s">
        <v>343</v>
      </c>
      <c r="G93" s="44" t="s">
        <v>55</v>
      </c>
      <c r="H93" s="44" t="s">
        <v>362</v>
      </c>
      <c r="I93" s="44" t="s">
        <v>169</v>
      </c>
      <c r="J93" s="44" t="str">
        <f t="shared" si="2"/>
        <v>Finance (Local Fund Audit &amp; Treasury)Treasury EstablishmentCTelephone OperatorS7 (21700 - 69100)</v>
      </c>
      <c r="K93" s="44"/>
      <c r="L93" s="44" t="s">
        <v>261</v>
      </c>
      <c r="M93" s="45" t="s">
        <v>363</v>
      </c>
      <c r="N93" s="44" t="s">
        <v>113</v>
      </c>
      <c r="O93" s="11" t="s">
        <v>33</v>
      </c>
      <c r="P93" s="12">
        <v>2</v>
      </c>
      <c r="Q93" s="12" t="s">
        <v>34</v>
      </c>
      <c r="R93" s="13"/>
      <c r="S93" s="13"/>
      <c r="T93" s="4" t="s">
        <v>3276</v>
      </c>
      <c r="U93" s="44" t="s">
        <v>61</v>
      </c>
      <c r="V93" s="45"/>
      <c r="W93" s="44"/>
      <c r="X93" s="44"/>
      <c r="Y93" s="44"/>
      <c r="Z93" s="41"/>
      <c r="AA93" s="42" t="e">
        <f>_xlfn.XLOOKUP(C93,#REF!,#REF!,"",0,1)</f>
        <v>#REF!</v>
      </c>
      <c r="AB93" s="43">
        <f t="shared" si="3"/>
        <v>0</v>
      </c>
    </row>
    <row r="94" spans="1:28" ht="91.5" thickBot="1" x14ac:dyDescent="0.3">
      <c r="A94" s="36">
        <v>93</v>
      </c>
      <c r="B94" s="36" t="s">
        <v>24</v>
      </c>
      <c r="C94" s="36" t="s">
        <v>263</v>
      </c>
      <c r="D94" s="37">
        <v>44545</v>
      </c>
      <c r="E94" s="36" t="s">
        <v>333</v>
      </c>
      <c r="F94" s="36" t="s">
        <v>343</v>
      </c>
      <c r="G94" s="36" t="s">
        <v>55</v>
      </c>
      <c r="H94" s="36" t="s">
        <v>364</v>
      </c>
      <c r="I94" s="36" t="s">
        <v>80</v>
      </c>
      <c r="J94" s="36" t="str">
        <f t="shared" si="2"/>
        <v>Finance (Local Fund Audit &amp; Treasury)Treasury EstablishmentCStenotypistS8 (25500 - 81100)</v>
      </c>
      <c r="K94" s="36" t="s">
        <v>68</v>
      </c>
      <c r="L94" s="36" t="s">
        <v>231</v>
      </c>
      <c r="M94" s="38" t="s">
        <v>365</v>
      </c>
      <c r="N94" s="36" t="s">
        <v>70</v>
      </c>
      <c r="O94" s="6" t="s">
        <v>33</v>
      </c>
      <c r="P94" s="7">
        <v>0</v>
      </c>
      <c r="Q94" s="7" t="s">
        <v>34</v>
      </c>
      <c r="R94" s="8"/>
      <c r="S94" s="8"/>
      <c r="T94" s="4" t="s">
        <v>3276</v>
      </c>
      <c r="U94" s="36" t="s">
        <v>61</v>
      </c>
      <c r="V94" s="38"/>
      <c r="W94" s="36"/>
      <c r="X94" s="36"/>
      <c r="Y94" s="36"/>
      <c r="Z94" s="41"/>
      <c r="AA94" s="42" t="e">
        <f>_xlfn.XLOOKUP(C94,#REF!,#REF!,"",0,1)</f>
        <v>#REF!</v>
      </c>
      <c r="AB94" s="43">
        <f t="shared" si="3"/>
        <v>0</v>
      </c>
    </row>
    <row r="95" spans="1:28" ht="117.5" thickBot="1" x14ac:dyDescent="0.3">
      <c r="A95" s="36">
        <v>94</v>
      </c>
      <c r="B95" s="36" t="s">
        <v>24</v>
      </c>
      <c r="C95" s="36" t="s">
        <v>263</v>
      </c>
      <c r="D95" s="37">
        <v>44669</v>
      </c>
      <c r="E95" s="36" t="s">
        <v>366</v>
      </c>
      <c r="F95" s="36" t="s">
        <v>367</v>
      </c>
      <c r="G95" s="36" t="s">
        <v>42</v>
      </c>
      <c r="H95" s="36" t="s">
        <v>368</v>
      </c>
      <c r="I95" s="36" t="s">
        <v>67</v>
      </c>
      <c r="J95" s="36" t="str">
        <f t="shared" si="2"/>
        <v>Food &amp; Civil SupplyController of Legal Metrology EstablishmentB (Gazetted)InspectorS14 (38600 - 122800)</v>
      </c>
      <c r="K95" s="36" t="s">
        <v>369</v>
      </c>
      <c r="L95" s="36" t="s">
        <v>247</v>
      </c>
      <c r="M95" s="38" t="s">
        <v>370</v>
      </c>
      <c r="N95" s="36" t="s">
        <v>41</v>
      </c>
      <c r="O95" s="6" t="s">
        <v>33</v>
      </c>
      <c r="P95" s="7">
        <v>16</v>
      </c>
      <c r="Q95" s="7" t="s">
        <v>34</v>
      </c>
      <c r="R95" s="8"/>
      <c r="S95" s="8"/>
      <c r="T95" s="7" t="s">
        <v>35</v>
      </c>
      <c r="U95" s="36" t="s">
        <v>35</v>
      </c>
      <c r="V95" s="38"/>
      <c r="W95" s="36"/>
      <c r="X95" s="36"/>
      <c r="Y95" s="36"/>
      <c r="Z95" s="41"/>
      <c r="AA95" s="42" t="e">
        <f>_xlfn.XLOOKUP(C95,#REF!,#REF!,"",0,1)</f>
        <v>#REF!</v>
      </c>
      <c r="AB95" s="43">
        <f t="shared" si="3"/>
        <v>0</v>
      </c>
    </row>
    <row r="96" spans="1:28" ht="117.5" thickBot="1" x14ac:dyDescent="0.3">
      <c r="A96" s="36">
        <v>95</v>
      </c>
      <c r="B96" s="36" t="s">
        <v>24</v>
      </c>
      <c r="C96" s="36" t="s">
        <v>263</v>
      </c>
      <c r="D96" s="37">
        <v>44669</v>
      </c>
      <c r="E96" s="36" t="s">
        <v>366</v>
      </c>
      <c r="F96" s="36" t="s">
        <v>367</v>
      </c>
      <c r="G96" s="36" t="s">
        <v>42</v>
      </c>
      <c r="H96" s="36" t="s">
        <v>371</v>
      </c>
      <c r="I96" s="36" t="s">
        <v>372</v>
      </c>
      <c r="J96" s="36" t="str">
        <f t="shared" si="2"/>
        <v>Food &amp; Civil SupplyController of Legal Metrology EstablishmentB (Gazetted)Dy. ControllerS17 (47600 - 151100)</v>
      </c>
      <c r="K96" s="36" t="s">
        <v>369</v>
      </c>
      <c r="L96" s="36" t="s">
        <v>247</v>
      </c>
      <c r="M96" s="38" t="s">
        <v>373</v>
      </c>
      <c r="N96" s="36" t="s">
        <v>41</v>
      </c>
      <c r="O96" s="6" t="s">
        <v>33</v>
      </c>
      <c r="P96" s="7">
        <v>0</v>
      </c>
      <c r="Q96" s="7" t="s">
        <v>34</v>
      </c>
      <c r="R96" s="8"/>
      <c r="S96" s="8"/>
      <c r="T96" s="7" t="s">
        <v>2395</v>
      </c>
      <c r="U96" s="36" t="s">
        <v>35</v>
      </c>
      <c r="V96" s="38"/>
      <c r="W96" s="36"/>
      <c r="X96" s="36"/>
      <c r="Y96" s="36"/>
      <c r="Z96" s="41"/>
      <c r="AA96" s="42" t="e">
        <f>_xlfn.XLOOKUP(C96,#REF!,#REF!,"",0,1)</f>
        <v>#REF!</v>
      </c>
      <c r="AB96" s="43">
        <f t="shared" si="3"/>
        <v>0</v>
      </c>
    </row>
    <row r="97" spans="1:28" ht="91.5" thickBot="1" x14ac:dyDescent="0.3">
      <c r="A97" s="36">
        <v>96</v>
      </c>
      <c r="B97" s="36" t="s">
        <v>24</v>
      </c>
      <c r="C97" s="36" t="s">
        <v>263</v>
      </c>
      <c r="D97" s="37">
        <v>44669</v>
      </c>
      <c r="E97" s="36" t="s">
        <v>366</v>
      </c>
      <c r="F97" s="36" t="s">
        <v>367</v>
      </c>
      <c r="G97" s="36" t="s">
        <v>55</v>
      </c>
      <c r="H97" s="36" t="s">
        <v>374</v>
      </c>
      <c r="I97" s="36" t="s">
        <v>74</v>
      </c>
      <c r="J97" s="36" t="str">
        <f t="shared" si="2"/>
        <v>Food &amp; Civil SupplyController of Legal Metrology EstablishmentCClerk/ TypistS6 (19900 - 63200)</v>
      </c>
      <c r="K97" s="36" t="s">
        <v>75</v>
      </c>
      <c r="L97" s="36" t="s">
        <v>228</v>
      </c>
      <c r="M97" s="38" t="s">
        <v>375</v>
      </c>
      <c r="N97" s="36" t="s">
        <v>70</v>
      </c>
      <c r="O97" s="6" t="s">
        <v>33</v>
      </c>
      <c r="P97" s="7">
        <v>0</v>
      </c>
      <c r="Q97" s="7" t="s">
        <v>34</v>
      </c>
      <c r="R97" s="8"/>
      <c r="S97" s="8"/>
      <c r="T97" s="7" t="s">
        <v>2395</v>
      </c>
      <c r="U97" s="36" t="s">
        <v>35</v>
      </c>
      <c r="V97" s="38" t="s">
        <v>125</v>
      </c>
      <c r="W97" s="36"/>
      <c r="X97" s="36" t="s">
        <v>77</v>
      </c>
      <c r="Y97" s="36" t="s">
        <v>78</v>
      </c>
      <c r="Z97" s="41"/>
      <c r="AA97" s="42" t="e">
        <f>_xlfn.XLOOKUP(C97,#REF!,#REF!,"",0,1)</f>
        <v>#REF!</v>
      </c>
      <c r="AB97" s="43">
        <f t="shared" si="3"/>
        <v>0</v>
      </c>
    </row>
    <row r="98" spans="1:28" ht="156.5" thickBot="1" x14ac:dyDescent="0.3">
      <c r="A98" s="36">
        <v>97</v>
      </c>
      <c r="B98" s="36" t="s">
        <v>24</v>
      </c>
      <c r="C98" s="36" t="s">
        <v>263</v>
      </c>
      <c r="D98" s="37">
        <v>44669</v>
      </c>
      <c r="E98" s="36" t="s">
        <v>366</v>
      </c>
      <c r="F98" s="36" t="s">
        <v>367</v>
      </c>
      <c r="G98" s="36" t="s">
        <v>55</v>
      </c>
      <c r="H98" s="36" t="s">
        <v>376</v>
      </c>
      <c r="I98" s="36" t="s">
        <v>169</v>
      </c>
      <c r="J98" s="36" t="str">
        <f t="shared" si="2"/>
        <v>Food &amp; Civil SupplyController of Legal Metrology EstablishmentCLab AssistantS7 (21700 - 69100)</v>
      </c>
      <c r="K98" s="36" t="s">
        <v>377</v>
      </c>
      <c r="L98" s="36" t="s">
        <v>225</v>
      </c>
      <c r="M98" s="38" t="s">
        <v>378</v>
      </c>
      <c r="N98" s="36" t="s">
        <v>379</v>
      </c>
      <c r="O98" s="6" t="s">
        <v>83</v>
      </c>
      <c r="P98" s="10">
        <v>9</v>
      </c>
      <c r="Q98" s="10" t="s">
        <v>34</v>
      </c>
      <c r="R98" s="15"/>
      <c r="S98" s="15"/>
      <c r="T98" s="10" t="s">
        <v>35</v>
      </c>
      <c r="U98" s="49" t="s">
        <v>35</v>
      </c>
      <c r="V98" s="38" t="s">
        <v>380</v>
      </c>
      <c r="W98" s="36"/>
      <c r="X98" s="36" t="s">
        <v>381</v>
      </c>
      <c r="Y98" s="36" t="s">
        <v>382</v>
      </c>
      <c r="Z98" s="41"/>
      <c r="AA98" s="42" t="e">
        <f>_xlfn.XLOOKUP(C98,#REF!,#REF!,"",0,1)</f>
        <v>#REF!</v>
      </c>
      <c r="AB98" s="43">
        <f t="shared" si="3"/>
        <v>0</v>
      </c>
    </row>
    <row r="99" spans="1:28" ht="104.5" thickBot="1" x14ac:dyDescent="0.3">
      <c r="A99" s="36">
        <v>98</v>
      </c>
      <c r="B99" s="36" t="s">
        <v>24</v>
      </c>
      <c r="C99" s="36" t="s">
        <v>263</v>
      </c>
      <c r="D99" s="37">
        <v>44669</v>
      </c>
      <c r="E99" s="36" t="s">
        <v>366</v>
      </c>
      <c r="F99" s="36" t="s">
        <v>367</v>
      </c>
      <c r="G99" s="36" t="s">
        <v>55</v>
      </c>
      <c r="H99" s="36" t="s">
        <v>383</v>
      </c>
      <c r="I99" s="36" t="s">
        <v>169</v>
      </c>
      <c r="J99" s="36" t="str">
        <f t="shared" si="2"/>
        <v>Food &amp; Civil SupplyController of Legal Metrology EstablishmentCField AssistantS7 (21700 - 69100)</v>
      </c>
      <c r="K99" s="36" t="s">
        <v>127</v>
      </c>
      <c r="L99" s="36" t="s">
        <v>225</v>
      </c>
      <c r="M99" s="38" t="s">
        <v>378</v>
      </c>
      <c r="N99" s="36" t="s">
        <v>129</v>
      </c>
      <c r="O99" s="6" t="s">
        <v>83</v>
      </c>
      <c r="P99" s="7">
        <v>59</v>
      </c>
      <c r="Q99" s="7" t="s">
        <v>34</v>
      </c>
      <c r="R99" s="8"/>
      <c r="S99" s="8"/>
      <c r="T99" s="7" t="s">
        <v>35</v>
      </c>
      <c r="U99" s="36" t="s">
        <v>35</v>
      </c>
      <c r="V99" s="38" t="s">
        <v>384</v>
      </c>
      <c r="W99" s="36"/>
      <c r="X99" s="36" t="s">
        <v>385</v>
      </c>
      <c r="Y99" s="36" t="s">
        <v>386</v>
      </c>
      <c r="Z99" s="41"/>
      <c r="AA99" s="42" t="e">
        <f>_xlfn.XLOOKUP(C99,#REF!,#REF!,"",0,1)</f>
        <v>#REF!</v>
      </c>
      <c r="AB99" s="43">
        <f t="shared" si="3"/>
        <v>0</v>
      </c>
    </row>
    <row r="100" spans="1:28" ht="169.5" thickBot="1" x14ac:dyDescent="0.3">
      <c r="A100" s="36">
        <v>99</v>
      </c>
      <c r="B100" s="36" t="s">
        <v>24</v>
      </c>
      <c r="C100" s="36" t="s">
        <v>263</v>
      </c>
      <c r="D100" s="37">
        <v>44669</v>
      </c>
      <c r="E100" s="36" t="s">
        <v>366</v>
      </c>
      <c r="F100" s="36" t="s">
        <v>387</v>
      </c>
      <c r="G100" s="36" t="s">
        <v>42</v>
      </c>
      <c r="H100" s="36" t="s">
        <v>388</v>
      </c>
      <c r="I100" s="36" t="s">
        <v>372</v>
      </c>
      <c r="J100" s="36" t="str">
        <f t="shared" si="2"/>
        <v>Food &amp; Civil SupplyDirectorate of Civil Supply and Ration Cards Controller EstablishmentB (Gazetted)Assistant Controller rationS17 (47600 - 151100)</v>
      </c>
      <c r="K100" s="36" t="s">
        <v>45</v>
      </c>
      <c r="L100" s="36" t="s">
        <v>247</v>
      </c>
      <c r="M100" s="38" t="s">
        <v>389</v>
      </c>
      <c r="N100" s="36" t="s">
        <v>47</v>
      </c>
      <c r="O100" s="6" t="s">
        <v>33</v>
      </c>
      <c r="P100" s="7">
        <v>1</v>
      </c>
      <c r="Q100" s="7" t="s">
        <v>34</v>
      </c>
      <c r="R100" s="8"/>
      <c r="S100" s="8"/>
      <c r="T100" s="7" t="s">
        <v>2395</v>
      </c>
      <c r="U100" s="36" t="s">
        <v>35</v>
      </c>
      <c r="V100" s="38"/>
      <c r="W100" s="36"/>
      <c r="X100" s="36"/>
      <c r="Y100" s="36"/>
      <c r="Z100" s="41"/>
      <c r="AA100" s="42" t="e">
        <f>_xlfn.XLOOKUP(C100,#REF!,#REF!,"",0,1)</f>
        <v>#REF!</v>
      </c>
      <c r="AB100" s="43">
        <f t="shared" si="3"/>
        <v>0</v>
      </c>
    </row>
    <row r="101" spans="1:28" ht="130.5" thickBot="1" x14ac:dyDescent="0.3">
      <c r="A101" s="36">
        <v>100</v>
      </c>
      <c r="B101" s="36" t="s">
        <v>24</v>
      </c>
      <c r="C101" s="36" t="s">
        <v>263</v>
      </c>
      <c r="D101" s="37">
        <v>44669</v>
      </c>
      <c r="E101" s="36" t="s">
        <v>366</v>
      </c>
      <c r="F101" s="36" t="s">
        <v>387</v>
      </c>
      <c r="G101" s="36" t="s">
        <v>55</v>
      </c>
      <c r="H101" s="36" t="s">
        <v>390</v>
      </c>
      <c r="I101" s="36" t="s">
        <v>74</v>
      </c>
      <c r="J101" s="36" t="str">
        <f t="shared" si="2"/>
        <v>Food &amp; Civil SupplyDirectorate of Civil Supply and Ration Cards Controller EstablishmentCClerkTypist/Junior ClerkS6 (19900 - 63200)</v>
      </c>
      <c r="K101" s="36" t="s">
        <v>75</v>
      </c>
      <c r="L101" s="36" t="s">
        <v>228</v>
      </c>
      <c r="M101" s="38" t="s">
        <v>391</v>
      </c>
      <c r="N101" s="36" t="s">
        <v>70</v>
      </c>
      <c r="O101" s="6" t="s">
        <v>33</v>
      </c>
      <c r="P101" s="7">
        <v>95</v>
      </c>
      <c r="Q101" s="7" t="s">
        <v>100</v>
      </c>
      <c r="R101" s="7">
        <v>85</v>
      </c>
      <c r="S101" s="8"/>
      <c r="T101" s="7" t="s">
        <v>61</v>
      </c>
      <c r="U101" s="36" t="s">
        <v>35</v>
      </c>
      <c r="V101" s="38" t="s">
        <v>125</v>
      </c>
      <c r="W101" s="36"/>
      <c r="X101" s="36" t="s">
        <v>77</v>
      </c>
      <c r="Y101" s="36" t="s">
        <v>78</v>
      </c>
      <c r="Z101" s="41"/>
      <c r="AA101" s="42" t="e">
        <f>_xlfn.XLOOKUP(C101,#REF!,#REF!,"",0,1)</f>
        <v>#REF!</v>
      </c>
      <c r="AB101" s="43">
        <f t="shared" si="3"/>
        <v>0</v>
      </c>
    </row>
    <row r="102" spans="1:28" ht="234.5" thickBot="1" x14ac:dyDescent="0.3">
      <c r="A102" s="36">
        <v>101</v>
      </c>
      <c r="B102" s="36" t="s">
        <v>24</v>
      </c>
      <c r="C102" s="36" t="s">
        <v>263</v>
      </c>
      <c r="D102" s="37">
        <v>44669</v>
      </c>
      <c r="E102" s="36" t="s">
        <v>366</v>
      </c>
      <c r="F102" s="36" t="s">
        <v>392</v>
      </c>
      <c r="G102" s="36" t="s">
        <v>42</v>
      </c>
      <c r="H102" s="36" t="s">
        <v>393</v>
      </c>
      <c r="I102" s="36" t="s">
        <v>67</v>
      </c>
      <c r="J102" s="36" t="str">
        <f t="shared" si="2"/>
        <v>Food &amp; Civil SupplyDivisional Supply Office EstablishmentB (Gazetted)Inspecting Officer (Supply)/Superintendent/Circular Officer/Warehouse Manager, Grade1,/Warehouse Supervisor CadreS14 (38600 - 122800)</v>
      </c>
      <c r="K102" s="36" t="s">
        <v>45</v>
      </c>
      <c r="L102" s="36" t="s">
        <v>247</v>
      </c>
      <c r="M102" s="38" t="s">
        <v>394</v>
      </c>
      <c r="N102" s="36" t="s">
        <v>41</v>
      </c>
      <c r="O102" s="6" t="s">
        <v>33</v>
      </c>
      <c r="P102" s="7">
        <v>0</v>
      </c>
      <c r="Q102" s="7" t="s">
        <v>34</v>
      </c>
      <c r="R102" s="8"/>
      <c r="S102" s="8"/>
      <c r="T102" s="7" t="s">
        <v>2395</v>
      </c>
      <c r="U102" s="36" t="s">
        <v>35</v>
      </c>
      <c r="V102" s="38"/>
      <c r="W102" s="36"/>
      <c r="X102" s="36"/>
      <c r="Y102" s="36"/>
      <c r="Z102" s="41"/>
      <c r="AA102" s="42" t="e">
        <f>_xlfn.XLOOKUP(C102,#REF!,#REF!,"",0,1)</f>
        <v>#REF!</v>
      </c>
      <c r="AB102" s="43">
        <f t="shared" si="3"/>
        <v>0</v>
      </c>
    </row>
    <row r="103" spans="1:28" ht="182.5" thickBot="1" x14ac:dyDescent="0.3">
      <c r="A103" s="36">
        <v>102</v>
      </c>
      <c r="B103" s="36" t="s">
        <v>24</v>
      </c>
      <c r="C103" s="36" t="s">
        <v>263</v>
      </c>
      <c r="D103" s="37">
        <v>44669</v>
      </c>
      <c r="E103" s="36" t="s">
        <v>366</v>
      </c>
      <c r="F103" s="36" t="s">
        <v>392</v>
      </c>
      <c r="G103" s="36" t="s">
        <v>55</v>
      </c>
      <c r="H103" s="36" t="s">
        <v>395</v>
      </c>
      <c r="I103" s="36" t="s">
        <v>276</v>
      </c>
      <c r="J103" s="36" t="str">
        <f t="shared" si="2"/>
        <v>Food &amp; Civil SupplyDivisional Supply Office EstablishmentCSupply Inspector/Chief Clerk (Supply)/Grain Purchase Inspector/Warehouse Manager, GradeIIS10 (29200 - 92300)</v>
      </c>
      <c r="K103" s="36" t="s">
        <v>75</v>
      </c>
      <c r="L103" s="36" t="s">
        <v>228</v>
      </c>
      <c r="M103" s="38" t="s">
        <v>396</v>
      </c>
      <c r="N103" s="36" t="s">
        <v>70</v>
      </c>
      <c r="O103" s="6" t="s">
        <v>33</v>
      </c>
      <c r="P103" s="7">
        <v>250</v>
      </c>
      <c r="Q103" s="7" t="s">
        <v>34</v>
      </c>
      <c r="R103" s="8"/>
      <c r="S103" s="8"/>
      <c r="T103" s="7" t="s">
        <v>35</v>
      </c>
      <c r="U103" s="36" t="s">
        <v>35</v>
      </c>
      <c r="V103" s="38" t="s">
        <v>397</v>
      </c>
      <c r="W103" s="36"/>
      <c r="X103" s="36" t="s">
        <v>398</v>
      </c>
      <c r="Y103" s="46">
        <v>32510</v>
      </c>
      <c r="Z103" s="41"/>
      <c r="AA103" s="42" t="e">
        <f>_xlfn.XLOOKUP(C103,#REF!,#REF!,"",0,1)</f>
        <v>#REF!</v>
      </c>
      <c r="AB103" s="43">
        <f t="shared" si="3"/>
        <v>0</v>
      </c>
    </row>
    <row r="104" spans="1:28" ht="117.5" thickBot="1" x14ac:dyDescent="0.3">
      <c r="A104" s="36">
        <v>103</v>
      </c>
      <c r="B104" s="36" t="s">
        <v>24</v>
      </c>
      <c r="C104" s="36" t="s">
        <v>263</v>
      </c>
      <c r="D104" s="37">
        <v>44669</v>
      </c>
      <c r="E104" s="36" t="s">
        <v>366</v>
      </c>
      <c r="F104" s="36" t="s">
        <v>392</v>
      </c>
      <c r="G104" s="36" t="s">
        <v>55</v>
      </c>
      <c r="H104" s="36" t="s">
        <v>399</v>
      </c>
      <c r="I104" s="36" t="s">
        <v>74</v>
      </c>
      <c r="J104" s="36" t="str">
        <f t="shared" si="2"/>
        <v>Food &amp; Civil SupplyDivisional Supply Office EstablishmentCClerkTypist/Junior Clerk/Warehouse ClerkS6 (19900 - 63200)</v>
      </c>
      <c r="K104" s="36" t="s">
        <v>75</v>
      </c>
      <c r="L104" s="36" t="s">
        <v>228</v>
      </c>
      <c r="M104" s="38" t="s">
        <v>400</v>
      </c>
      <c r="N104" s="36" t="s">
        <v>70</v>
      </c>
      <c r="O104" s="6" t="s">
        <v>33</v>
      </c>
      <c r="P104" s="7">
        <v>145</v>
      </c>
      <c r="Q104" s="7" t="s">
        <v>100</v>
      </c>
      <c r="R104" s="7">
        <v>145</v>
      </c>
      <c r="S104" s="8"/>
      <c r="T104" s="7" t="s">
        <v>61</v>
      </c>
      <c r="U104" s="36" t="s">
        <v>61</v>
      </c>
      <c r="V104" s="38" t="s">
        <v>125</v>
      </c>
      <c r="W104" s="36"/>
      <c r="X104" s="36" t="s">
        <v>77</v>
      </c>
      <c r="Y104" s="36" t="s">
        <v>78</v>
      </c>
      <c r="Z104" s="41"/>
      <c r="AA104" s="42" t="e">
        <f>_xlfn.XLOOKUP(C104,#REF!,#REF!,"",0,1)</f>
        <v>#REF!</v>
      </c>
      <c r="AB104" s="43">
        <f t="shared" si="3"/>
        <v>0</v>
      </c>
    </row>
    <row r="105" spans="1:28" ht="91.5" thickBot="1" x14ac:dyDescent="0.3">
      <c r="A105" s="36">
        <v>104</v>
      </c>
      <c r="B105" s="36" t="s">
        <v>24</v>
      </c>
      <c r="C105" s="36" t="s">
        <v>263</v>
      </c>
      <c r="D105" s="37">
        <v>44669</v>
      </c>
      <c r="E105" s="36" t="s">
        <v>366</v>
      </c>
      <c r="F105" s="36" t="s">
        <v>401</v>
      </c>
      <c r="G105" s="36" t="s">
        <v>55</v>
      </c>
      <c r="H105" s="36" t="s">
        <v>374</v>
      </c>
      <c r="I105" s="36" t="s">
        <v>74</v>
      </c>
      <c r="J105" s="36" t="str">
        <f t="shared" si="2"/>
        <v>Food &amp; Civil SupplyFinancial Advisor Office EstablishmentCClerk/ TypistS6 (19900 - 63200)</v>
      </c>
      <c r="K105" s="36" t="s">
        <v>75</v>
      </c>
      <c r="L105" s="36" t="s">
        <v>228</v>
      </c>
      <c r="M105" s="38" t="s">
        <v>402</v>
      </c>
      <c r="N105" s="36" t="s">
        <v>70</v>
      </c>
      <c r="O105" s="6" t="s">
        <v>33</v>
      </c>
      <c r="P105" s="7">
        <v>23</v>
      </c>
      <c r="Q105" s="7" t="s">
        <v>100</v>
      </c>
      <c r="R105" s="7">
        <v>20</v>
      </c>
      <c r="S105" s="8"/>
      <c r="T105" s="7" t="s">
        <v>35</v>
      </c>
      <c r="U105" s="36" t="s">
        <v>61</v>
      </c>
      <c r="V105" s="38" t="s">
        <v>125</v>
      </c>
      <c r="W105" s="36"/>
      <c r="X105" s="36" t="s">
        <v>77</v>
      </c>
      <c r="Y105" s="36" t="s">
        <v>78</v>
      </c>
      <c r="Z105" s="41"/>
      <c r="AA105" s="42" t="e">
        <f>_xlfn.XLOOKUP(C105,#REF!,#REF!,"",0,1)</f>
        <v>#REF!</v>
      </c>
      <c r="AB105" s="43">
        <f t="shared" si="3"/>
        <v>0</v>
      </c>
    </row>
    <row r="106" spans="1:28" ht="104.5" thickBot="1" x14ac:dyDescent="0.3">
      <c r="A106" s="36">
        <v>105</v>
      </c>
      <c r="B106" s="36" t="s">
        <v>24</v>
      </c>
      <c r="C106" s="36" t="s">
        <v>263</v>
      </c>
      <c r="D106" s="37">
        <v>44669</v>
      </c>
      <c r="E106" s="36" t="s">
        <v>366</v>
      </c>
      <c r="F106" s="36" t="s">
        <v>401</v>
      </c>
      <c r="G106" s="36" t="s">
        <v>55</v>
      </c>
      <c r="H106" s="36" t="s">
        <v>403</v>
      </c>
      <c r="I106" s="36" t="s">
        <v>80</v>
      </c>
      <c r="J106" s="36" t="str">
        <f t="shared" si="2"/>
        <v>Food &amp; Civil SupplyFinancial Advisor Office EstablishmentCUpper Divisional ClerkS8 (25500 - 81100)</v>
      </c>
      <c r="K106" s="36" t="s">
        <v>75</v>
      </c>
      <c r="L106" s="36" t="s">
        <v>228</v>
      </c>
      <c r="M106" s="38" t="s">
        <v>155</v>
      </c>
      <c r="N106" s="36" t="s">
        <v>70</v>
      </c>
      <c r="O106" s="6" t="s">
        <v>33</v>
      </c>
      <c r="P106" s="7">
        <v>9</v>
      </c>
      <c r="Q106" s="7" t="s">
        <v>34</v>
      </c>
      <c r="R106" s="8"/>
      <c r="S106" s="8"/>
      <c r="T106" s="7" t="s">
        <v>35</v>
      </c>
      <c r="U106" s="36" t="s">
        <v>35</v>
      </c>
      <c r="V106" s="38" t="s">
        <v>404</v>
      </c>
      <c r="W106" s="36"/>
      <c r="X106" s="36" t="s">
        <v>405</v>
      </c>
      <c r="Y106" s="46">
        <v>42065</v>
      </c>
      <c r="Z106" s="41"/>
      <c r="AA106" s="42" t="e">
        <f>_xlfn.XLOOKUP(C106,#REF!,#REF!,"",0,1)</f>
        <v>#REF!</v>
      </c>
      <c r="AB106" s="43">
        <f t="shared" si="3"/>
        <v>0</v>
      </c>
    </row>
    <row r="107" spans="1:28" ht="156.5" thickBot="1" x14ac:dyDescent="0.3">
      <c r="A107" s="36">
        <v>106</v>
      </c>
      <c r="B107" s="36" t="s">
        <v>24</v>
      </c>
      <c r="C107" s="36" t="s">
        <v>263</v>
      </c>
      <c r="D107" s="37">
        <v>44669</v>
      </c>
      <c r="E107" s="36" t="s">
        <v>366</v>
      </c>
      <c r="F107" s="36" t="s">
        <v>406</v>
      </c>
      <c r="G107" s="36" t="s">
        <v>42</v>
      </c>
      <c r="H107" s="36" t="s">
        <v>407</v>
      </c>
      <c r="I107" s="36" t="s">
        <v>44</v>
      </c>
      <c r="J107" s="36" t="str">
        <f t="shared" si="2"/>
        <v>Food &amp; Civil SupplyState Consumer Grievance Redressal Commission, Mumbai EstablishmentB (Gazetted)RegistrarS15 (41800 - 132300)</v>
      </c>
      <c r="K107" s="36" t="s">
        <v>408</v>
      </c>
      <c r="L107" s="36" t="s">
        <v>247</v>
      </c>
      <c r="M107" s="38" t="s">
        <v>409</v>
      </c>
      <c r="N107" s="36" t="s">
        <v>410</v>
      </c>
      <c r="O107" s="6" t="s">
        <v>33</v>
      </c>
      <c r="P107" s="7">
        <v>0</v>
      </c>
      <c r="Q107" s="7" t="s">
        <v>34</v>
      </c>
      <c r="R107" s="8"/>
      <c r="S107" s="8"/>
      <c r="T107" s="7" t="s">
        <v>2395</v>
      </c>
      <c r="U107" s="36" t="s">
        <v>411</v>
      </c>
      <c r="V107" s="38"/>
      <c r="W107" s="36"/>
      <c r="X107" s="36"/>
      <c r="Y107" s="36"/>
      <c r="Z107" s="41"/>
      <c r="AA107" s="42" t="e">
        <f>_xlfn.XLOOKUP(C107,#REF!,#REF!,"",0,1)</f>
        <v>#REF!</v>
      </c>
      <c r="AB107" s="43">
        <f t="shared" si="3"/>
        <v>0</v>
      </c>
    </row>
    <row r="108" spans="1:28" ht="156.5" thickBot="1" x14ac:dyDescent="0.3">
      <c r="A108" s="36">
        <v>107</v>
      </c>
      <c r="B108" s="36" t="s">
        <v>24</v>
      </c>
      <c r="C108" s="36" t="s">
        <v>263</v>
      </c>
      <c r="D108" s="37">
        <v>44669</v>
      </c>
      <c r="E108" s="36" t="s">
        <v>366</v>
      </c>
      <c r="F108" s="36" t="s">
        <v>406</v>
      </c>
      <c r="G108" s="36" t="s">
        <v>65</v>
      </c>
      <c r="H108" s="36" t="s">
        <v>412</v>
      </c>
      <c r="I108" s="36" t="s">
        <v>67</v>
      </c>
      <c r="J108" s="36" t="str">
        <f t="shared" si="2"/>
        <v>Food &amp; Civil SupplyState Consumer Grievance Redressal Commission, Mumbai EstablishmentB (Non Gazetted)Steno LGS14 (38600 - 122800)</v>
      </c>
      <c r="K108" s="36" t="s">
        <v>68</v>
      </c>
      <c r="L108" s="36" t="s">
        <v>231</v>
      </c>
      <c r="M108" s="38" t="s">
        <v>413</v>
      </c>
      <c r="N108" s="36" t="s">
        <v>70</v>
      </c>
      <c r="O108" s="6" t="s">
        <v>33</v>
      </c>
      <c r="P108" s="7">
        <v>7</v>
      </c>
      <c r="Q108" s="7" t="s">
        <v>100</v>
      </c>
      <c r="R108" s="8"/>
      <c r="S108" s="8"/>
      <c r="T108" s="4" t="s">
        <v>3276</v>
      </c>
      <c r="U108" s="36" t="s">
        <v>414</v>
      </c>
      <c r="V108" s="38"/>
      <c r="W108" s="36"/>
      <c r="X108" s="36"/>
      <c r="Y108" s="36"/>
      <c r="Z108" s="41"/>
      <c r="AA108" s="42" t="e">
        <f>_xlfn.XLOOKUP(C108,#REF!,#REF!,"",0,1)</f>
        <v>#REF!</v>
      </c>
      <c r="AB108" s="43">
        <f t="shared" si="3"/>
        <v>0</v>
      </c>
    </row>
    <row r="109" spans="1:28" ht="156.5" thickBot="1" x14ac:dyDescent="0.3">
      <c r="A109" s="36">
        <v>108</v>
      </c>
      <c r="B109" s="36" t="s">
        <v>24</v>
      </c>
      <c r="C109" s="36" t="s">
        <v>263</v>
      </c>
      <c r="D109" s="37">
        <v>44669</v>
      </c>
      <c r="E109" s="36" t="s">
        <v>366</v>
      </c>
      <c r="F109" s="36" t="s">
        <v>406</v>
      </c>
      <c r="G109" s="36" t="s">
        <v>65</v>
      </c>
      <c r="H109" s="36" t="s">
        <v>415</v>
      </c>
      <c r="I109" s="36" t="s">
        <v>54</v>
      </c>
      <c r="J109" s="36" t="str">
        <f t="shared" si="2"/>
        <v>Food &amp; Civil SupplyState Consumer Grievance Redressal Commission, Mumbai EstablishmentB (Non Gazetted)Steno HGS16 (44900 - 142400)</v>
      </c>
      <c r="K109" s="36" t="s">
        <v>68</v>
      </c>
      <c r="L109" s="36" t="s">
        <v>231</v>
      </c>
      <c r="M109" s="38" t="s">
        <v>416</v>
      </c>
      <c r="N109" s="36" t="s">
        <v>70</v>
      </c>
      <c r="O109" s="6" t="s">
        <v>33</v>
      </c>
      <c r="P109" s="7">
        <v>12</v>
      </c>
      <c r="Q109" s="7" t="s">
        <v>100</v>
      </c>
      <c r="R109" s="8"/>
      <c r="S109" s="8"/>
      <c r="T109" s="4" t="s">
        <v>3276</v>
      </c>
      <c r="U109" s="36" t="s">
        <v>414</v>
      </c>
      <c r="V109" s="38"/>
      <c r="W109" s="36"/>
      <c r="X109" s="36"/>
      <c r="Y109" s="36"/>
      <c r="Z109" s="41"/>
      <c r="AA109" s="42" t="e">
        <f>_xlfn.XLOOKUP(C109,#REF!,#REF!,"",0,1)</f>
        <v>#REF!</v>
      </c>
      <c r="AB109" s="43">
        <f t="shared" si="3"/>
        <v>0</v>
      </c>
    </row>
    <row r="110" spans="1:28" ht="156.5" thickBot="1" x14ac:dyDescent="0.3">
      <c r="A110" s="36">
        <v>109</v>
      </c>
      <c r="B110" s="36" t="s">
        <v>24</v>
      </c>
      <c r="C110" s="36" t="s">
        <v>263</v>
      </c>
      <c r="D110" s="37">
        <v>44669</v>
      </c>
      <c r="E110" s="36" t="s">
        <v>366</v>
      </c>
      <c r="F110" s="36" t="s">
        <v>406</v>
      </c>
      <c r="G110" s="36" t="s">
        <v>55</v>
      </c>
      <c r="H110" s="36" t="s">
        <v>417</v>
      </c>
      <c r="I110" s="36" t="s">
        <v>57</v>
      </c>
      <c r="J110" s="36" t="str">
        <f t="shared" si="2"/>
        <v>Food &amp; Civil SupplyState Consumer Grievance Redressal Commission, Mumbai EstablishmentCAsst. Supdt.S13 (35400 - 112400)</v>
      </c>
      <c r="K110" s="36" t="s">
        <v>58</v>
      </c>
      <c r="L110" s="36" t="s">
        <v>228</v>
      </c>
      <c r="M110" s="38" t="s">
        <v>418</v>
      </c>
      <c r="N110" s="36" t="s">
        <v>60</v>
      </c>
      <c r="O110" s="6" t="s">
        <v>33</v>
      </c>
      <c r="P110" s="7">
        <v>11</v>
      </c>
      <c r="Q110" s="7" t="s">
        <v>100</v>
      </c>
      <c r="R110" s="8"/>
      <c r="S110" s="7" t="s">
        <v>419</v>
      </c>
      <c r="T110" s="7" t="s">
        <v>61</v>
      </c>
      <c r="U110" s="36" t="s">
        <v>420</v>
      </c>
      <c r="V110" s="38" t="s">
        <v>421</v>
      </c>
      <c r="W110" s="36"/>
      <c r="X110" s="36" t="s">
        <v>422</v>
      </c>
      <c r="Y110" s="36" t="s">
        <v>423</v>
      </c>
      <c r="Z110" s="41"/>
      <c r="AA110" s="42" t="e">
        <f>_xlfn.XLOOKUP(C110,#REF!,#REF!,"",0,1)</f>
        <v>#REF!</v>
      </c>
      <c r="AB110" s="43">
        <f t="shared" si="3"/>
        <v>0</v>
      </c>
    </row>
    <row r="111" spans="1:28" ht="156.5" thickBot="1" x14ac:dyDescent="0.3">
      <c r="A111" s="36">
        <v>110</v>
      </c>
      <c r="B111" s="36" t="s">
        <v>24</v>
      </c>
      <c r="C111" s="36" t="s">
        <v>263</v>
      </c>
      <c r="D111" s="37">
        <v>44669</v>
      </c>
      <c r="E111" s="36" t="s">
        <v>366</v>
      </c>
      <c r="F111" s="36" t="s">
        <v>406</v>
      </c>
      <c r="G111" s="36" t="s">
        <v>55</v>
      </c>
      <c r="H111" s="36" t="s">
        <v>424</v>
      </c>
      <c r="I111" s="36" t="s">
        <v>67</v>
      </c>
      <c r="J111" s="36" t="str">
        <f t="shared" si="2"/>
        <v>Food &amp; Civil SupplyState Consumer Grievance Redressal Commission, Mumbai EstablishmentCShirstedar/Supdt/PROS14 (38600 - 122800)</v>
      </c>
      <c r="K111" s="36" t="s">
        <v>58</v>
      </c>
      <c r="L111" s="36" t="s">
        <v>228</v>
      </c>
      <c r="M111" s="38" t="s">
        <v>425</v>
      </c>
      <c r="N111" s="36" t="s">
        <v>60</v>
      </c>
      <c r="O111" s="6" t="s">
        <v>33</v>
      </c>
      <c r="P111" s="7">
        <v>13</v>
      </c>
      <c r="Q111" s="7" t="s">
        <v>100</v>
      </c>
      <c r="R111" s="8"/>
      <c r="S111" s="7" t="s">
        <v>419</v>
      </c>
      <c r="T111" s="7" t="s">
        <v>61</v>
      </c>
      <c r="U111" s="36" t="s">
        <v>420</v>
      </c>
      <c r="V111" s="38" t="s">
        <v>426</v>
      </c>
      <c r="W111" s="36"/>
      <c r="X111" s="36" t="s">
        <v>422</v>
      </c>
      <c r="Y111" s="46">
        <v>42064</v>
      </c>
      <c r="Z111" s="41"/>
      <c r="AA111" s="42" t="e">
        <f>_xlfn.XLOOKUP(C111,#REF!,#REF!,"",0,1)</f>
        <v>#REF!</v>
      </c>
      <c r="AB111" s="43">
        <f t="shared" si="3"/>
        <v>0</v>
      </c>
    </row>
    <row r="112" spans="1:28" ht="156.5" thickBot="1" x14ac:dyDescent="0.3">
      <c r="A112" s="36">
        <v>111</v>
      </c>
      <c r="B112" s="36" t="s">
        <v>24</v>
      </c>
      <c r="C112" s="36" t="s">
        <v>263</v>
      </c>
      <c r="D112" s="37">
        <v>44669</v>
      </c>
      <c r="E112" s="36" t="s">
        <v>366</v>
      </c>
      <c r="F112" s="36" t="s">
        <v>406</v>
      </c>
      <c r="G112" s="36" t="s">
        <v>55</v>
      </c>
      <c r="H112" s="36" t="s">
        <v>427</v>
      </c>
      <c r="I112" s="36" t="s">
        <v>74</v>
      </c>
      <c r="J112" s="36" t="str">
        <f t="shared" si="2"/>
        <v>Food &amp; Civil SupplyState Consumer Grievance Redressal Commission, Mumbai EstablishmentCClerkcumtypist/Jr. Clerk / BailiffS6 (19900 - 63200)</v>
      </c>
      <c r="K112" s="36" t="s">
        <v>75</v>
      </c>
      <c r="L112" s="36" t="s">
        <v>228</v>
      </c>
      <c r="M112" s="38" t="s">
        <v>428</v>
      </c>
      <c r="N112" s="36" t="s">
        <v>70</v>
      </c>
      <c r="O112" s="6" t="s">
        <v>33</v>
      </c>
      <c r="P112" s="7">
        <v>3</v>
      </c>
      <c r="Q112" s="7" t="s">
        <v>34</v>
      </c>
      <c r="R112" s="8"/>
      <c r="S112" s="8"/>
      <c r="T112" s="7" t="s">
        <v>35</v>
      </c>
      <c r="U112" s="36" t="s">
        <v>429</v>
      </c>
      <c r="V112" s="38" t="s">
        <v>430</v>
      </c>
      <c r="W112" s="36"/>
      <c r="X112" s="36" t="s">
        <v>431</v>
      </c>
      <c r="Y112" s="46">
        <v>42064</v>
      </c>
      <c r="Z112" s="41"/>
      <c r="AA112" s="42" t="e">
        <f>_xlfn.XLOOKUP(C112,#REF!,#REF!,"",0,1)</f>
        <v>#REF!</v>
      </c>
      <c r="AB112" s="43">
        <f t="shared" si="3"/>
        <v>0</v>
      </c>
    </row>
    <row r="113" spans="1:28" ht="143.5" thickBot="1" x14ac:dyDescent="0.3">
      <c r="A113" s="36">
        <v>112</v>
      </c>
      <c r="B113" s="36" t="s">
        <v>24</v>
      </c>
      <c r="C113" s="36" t="s">
        <v>263</v>
      </c>
      <c r="D113" s="37">
        <v>44669</v>
      </c>
      <c r="E113" s="36" t="s">
        <v>366</v>
      </c>
      <c r="F113" s="36" t="s">
        <v>406</v>
      </c>
      <c r="G113" s="36" t="s">
        <v>55</v>
      </c>
      <c r="H113" s="36" t="s">
        <v>432</v>
      </c>
      <c r="I113" s="36" t="s">
        <v>80</v>
      </c>
      <c r="J113" s="36" t="str">
        <f t="shared" si="2"/>
        <v>Food &amp; Civil SupplyState Consumer Grievance Redressal Commission, Mumbai EstablishmentCSr. Clerk/Sr. Rk/RkS8 (25500 - 81100)</v>
      </c>
      <c r="K113" s="36" t="s">
        <v>75</v>
      </c>
      <c r="L113" s="36" t="s">
        <v>228</v>
      </c>
      <c r="M113" s="38" t="s">
        <v>433</v>
      </c>
      <c r="N113" s="36" t="s">
        <v>70</v>
      </c>
      <c r="O113" s="6" t="s">
        <v>33</v>
      </c>
      <c r="P113" s="7">
        <v>11</v>
      </c>
      <c r="Q113" s="7" t="s">
        <v>100</v>
      </c>
      <c r="R113" s="8"/>
      <c r="S113" s="7" t="s">
        <v>419</v>
      </c>
      <c r="T113" s="7" t="s">
        <v>61</v>
      </c>
      <c r="U113" s="36" t="s">
        <v>429</v>
      </c>
      <c r="V113" s="38" t="s">
        <v>434</v>
      </c>
      <c r="W113" s="36"/>
      <c r="X113" s="36" t="s">
        <v>431</v>
      </c>
      <c r="Y113" s="46">
        <v>42064</v>
      </c>
      <c r="Z113" s="41"/>
      <c r="AA113" s="42" t="e">
        <f>_xlfn.XLOOKUP(C113,#REF!,#REF!,"",0,1)</f>
        <v>#REF!</v>
      </c>
      <c r="AB113" s="43">
        <f t="shared" si="3"/>
        <v>0</v>
      </c>
    </row>
    <row r="114" spans="1:28" ht="78.5" thickBot="1" x14ac:dyDescent="0.3">
      <c r="A114" s="36">
        <v>113</v>
      </c>
      <c r="B114" s="36" t="s">
        <v>24</v>
      </c>
      <c r="C114" s="36" t="s">
        <v>263</v>
      </c>
      <c r="D114" s="37">
        <v>43721</v>
      </c>
      <c r="E114" s="36" t="s">
        <v>435</v>
      </c>
      <c r="F114" s="36" t="s">
        <v>436</v>
      </c>
      <c r="G114" s="36" t="s">
        <v>28</v>
      </c>
      <c r="H114" s="36" t="s">
        <v>437</v>
      </c>
      <c r="I114" s="36" t="s">
        <v>44</v>
      </c>
      <c r="J114" s="36" t="str">
        <f t="shared" si="2"/>
        <v>ForestForest EstablishmentAForest Veteriry OfficerS15 (41800 - 132300)</v>
      </c>
      <c r="K114" s="36" t="s">
        <v>98</v>
      </c>
      <c r="L114" s="36" t="s">
        <v>247</v>
      </c>
      <c r="M114" s="38" t="s">
        <v>438</v>
      </c>
      <c r="N114" s="36" t="s">
        <v>41</v>
      </c>
      <c r="O114" s="6" t="s">
        <v>33</v>
      </c>
      <c r="P114" s="7">
        <v>0</v>
      </c>
      <c r="Q114" s="7" t="s">
        <v>34</v>
      </c>
      <c r="R114" s="8"/>
      <c r="S114" s="8"/>
      <c r="T114" s="7" t="s">
        <v>2395</v>
      </c>
      <c r="U114" s="36" t="s">
        <v>35</v>
      </c>
      <c r="V114" s="38"/>
      <c r="W114" s="36"/>
      <c r="X114" s="36"/>
      <c r="Y114" s="36"/>
      <c r="Z114" s="41"/>
      <c r="AA114" s="42" t="e">
        <f>_xlfn.XLOOKUP(C114,#REF!,#REF!,"",0,1)</f>
        <v>#REF!</v>
      </c>
      <c r="AB114" s="43">
        <f t="shared" si="3"/>
        <v>0</v>
      </c>
    </row>
    <row r="115" spans="1:28" ht="91.5" thickBot="1" x14ac:dyDescent="0.3">
      <c r="A115" s="36">
        <v>114</v>
      </c>
      <c r="B115" s="36" t="s">
        <v>24</v>
      </c>
      <c r="C115" s="36" t="s">
        <v>263</v>
      </c>
      <c r="D115" s="37">
        <v>43721</v>
      </c>
      <c r="E115" s="36" t="s">
        <v>435</v>
      </c>
      <c r="F115" s="36" t="s">
        <v>436</v>
      </c>
      <c r="G115" s="36" t="s">
        <v>28</v>
      </c>
      <c r="H115" s="36" t="s">
        <v>439</v>
      </c>
      <c r="I115" s="36" t="s">
        <v>30</v>
      </c>
      <c r="J115" s="36" t="str">
        <f t="shared" si="2"/>
        <v>ForestForest EstablishmentAAsstt Conservator of ForestS18 (49100 - 155800)</v>
      </c>
      <c r="K115" s="36" t="s">
        <v>440</v>
      </c>
      <c r="L115" s="36" t="s">
        <v>247</v>
      </c>
      <c r="M115" s="38" t="s">
        <v>441</v>
      </c>
      <c r="N115" s="36" t="s">
        <v>41</v>
      </c>
      <c r="O115" s="6" t="s">
        <v>33</v>
      </c>
      <c r="P115" s="10">
        <v>3</v>
      </c>
      <c r="Q115" s="7" t="s">
        <v>100</v>
      </c>
      <c r="R115" s="7">
        <v>3</v>
      </c>
      <c r="S115" s="8"/>
      <c r="T115" s="7" t="s">
        <v>61</v>
      </c>
      <c r="U115" s="36" t="s">
        <v>35</v>
      </c>
      <c r="V115" s="38"/>
      <c r="W115" s="36"/>
      <c r="X115" s="36"/>
      <c r="Y115" s="36"/>
      <c r="Z115" s="41"/>
      <c r="AA115" s="42" t="e">
        <f>_xlfn.XLOOKUP(C115,#REF!,#REF!,"",0,1)</f>
        <v>#REF!</v>
      </c>
      <c r="AB115" s="43">
        <f t="shared" si="3"/>
        <v>0</v>
      </c>
    </row>
    <row r="116" spans="1:28" ht="208.5" thickBot="1" x14ac:dyDescent="0.3">
      <c r="A116" s="36">
        <v>115</v>
      </c>
      <c r="B116" s="36" t="s">
        <v>24</v>
      </c>
      <c r="C116" s="36" t="s">
        <v>263</v>
      </c>
      <c r="D116" s="37">
        <v>43721</v>
      </c>
      <c r="E116" s="36" t="s">
        <v>435</v>
      </c>
      <c r="F116" s="36" t="s">
        <v>436</v>
      </c>
      <c r="G116" s="36" t="s">
        <v>28</v>
      </c>
      <c r="H116" s="36" t="s">
        <v>442</v>
      </c>
      <c r="I116" s="36" t="s">
        <v>38</v>
      </c>
      <c r="J116" s="36" t="str">
        <f t="shared" si="2"/>
        <v>ForestForest EstablishmentAForest StatisticionS20 (56100 - 177500)</v>
      </c>
      <c r="K116" s="36"/>
      <c r="L116" s="36" t="s">
        <v>243</v>
      </c>
      <c r="M116" s="38" t="s">
        <v>443</v>
      </c>
      <c r="N116" s="36" t="s">
        <v>32</v>
      </c>
      <c r="O116" s="6" t="s">
        <v>33</v>
      </c>
      <c r="P116" s="7">
        <v>0</v>
      </c>
      <c r="Q116" s="7" t="s">
        <v>444</v>
      </c>
      <c r="R116" s="8"/>
      <c r="S116" s="8"/>
      <c r="T116" s="4" t="s">
        <v>3276</v>
      </c>
      <c r="U116" s="36" t="s">
        <v>35</v>
      </c>
      <c r="V116" s="38"/>
      <c r="W116" s="36"/>
      <c r="X116" s="36"/>
      <c r="Y116" s="36"/>
      <c r="Z116" s="41"/>
      <c r="AA116" s="42" t="e">
        <f>_xlfn.XLOOKUP(C116,#REF!,#REF!,"",0,1)</f>
        <v>#REF!</v>
      </c>
      <c r="AB116" s="43">
        <f t="shared" si="3"/>
        <v>0</v>
      </c>
    </row>
    <row r="117" spans="1:28" ht="78.5" thickBot="1" x14ac:dyDescent="0.3">
      <c r="A117" s="36">
        <v>116</v>
      </c>
      <c r="B117" s="36" t="s">
        <v>24</v>
      </c>
      <c r="C117" s="36" t="s">
        <v>263</v>
      </c>
      <c r="D117" s="37">
        <v>43721</v>
      </c>
      <c r="E117" s="36" t="s">
        <v>435</v>
      </c>
      <c r="F117" s="36" t="s">
        <v>436</v>
      </c>
      <c r="G117" s="36" t="s">
        <v>28</v>
      </c>
      <c r="H117" s="36" t="s">
        <v>445</v>
      </c>
      <c r="I117" s="36" t="s">
        <v>38</v>
      </c>
      <c r="J117" s="36" t="str">
        <f t="shared" si="2"/>
        <v>ForestForest EstablishmentADeputy Forest EngineerS20 (56100 - 177500)</v>
      </c>
      <c r="K117" s="36" t="s">
        <v>246</v>
      </c>
      <c r="L117" s="36" t="s">
        <v>247</v>
      </c>
      <c r="M117" s="38" t="s">
        <v>446</v>
      </c>
      <c r="N117" s="36" t="s">
        <v>447</v>
      </c>
      <c r="O117" s="6" t="s">
        <v>33</v>
      </c>
      <c r="P117" s="7">
        <v>7</v>
      </c>
      <c r="Q117" s="7" t="s">
        <v>34</v>
      </c>
      <c r="R117" s="8"/>
      <c r="S117" s="8"/>
      <c r="T117" s="7" t="s">
        <v>35</v>
      </c>
      <c r="U117" s="36" t="s">
        <v>35</v>
      </c>
      <c r="V117" s="38"/>
      <c r="W117" s="36"/>
      <c r="X117" s="36"/>
      <c r="Y117" s="36"/>
      <c r="Z117" s="41"/>
      <c r="AA117" s="42" t="e">
        <f>_xlfn.XLOOKUP(C117,#REF!,#REF!,"",0,1)</f>
        <v>#REF!</v>
      </c>
      <c r="AB117" s="43">
        <f t="shared" si="3"/>
        <v>0</v>
      </c>
    </row>
    <row r="118" spans="1:28" ht="78.5" thickBot="1" x14ac:dyDescent="0.3">
      <c r="A118" s="36">
        <v>117</v>
      </c>
      <c r="B118" s="36" t="s">
        <v>24</v>
      </c>
      <c r="C118" s="36" t="s">
        <v>263</v>
      </c>
      <c r="D118" s="37">
        <v>43721</v>
      </c>
      <c r="E118" s="36" t="s">
        <v>435</v>
      </c>
      <c r="F118" s="36" t="s">
        <v>436</v>
      </c>
      <c r="G118" s="36" t="s">
        <v>28</v>
      </c>
      <c r="H118" s="36" t="s">
        <v>448</v>
      </c>
      <c r="I118" s="36" t="s">
        <v>242</v>
      </c>
      <c r="J118" s="36" t="str">
        <f t="shared" si="2"/>
        <v>ForestForest EstablishmentAAsstt DirectorS23 (67700 - 208700)</v>
      </c>
      <c r="K118" s="36"/>
      <c r="L118" s="36" t="s">
        <v>243</v>
      </c>
      <c r="M118" s="38" t="s">
        <v>449</v>
      </c>
      <c r="N118" s="36" t="s">
        <v>32</v>
      </c>
      <c r="O118" s="6" t="s">
        <v>33</v>
      </c>
      <c r="P118" s="7">
        <v>0</v>
      </c>
      <c r="Q118" s="7" t="s">
        <v>444</v>
      </c>
      <c r="R118" s="8"/>
      <c r="S118" s="8"/>
      <c r="T118" s="4" t="s">
        <v>3276</v>
      </c>
      <c r="U118" s="36" t="s">
        <v>35</v>
      </c>
      <c r="V118" s="38"/>
      <c r="W118" s="36"/>
      <c r="X118" s="36"/>
      <c r="Y118" s="36"/>
      <c r="Z118" s="41"/>
      <c r="AA118" s="42" t="e">
        <f>_xlfn.XLOOKUP(C118,#REF!,#REF!,"",0,1)</f>
        <v>#REF!</v>
      </c>
      <c r="AB118" s="43">
        <f t="shared" si="3"/>
        <v>0</v>
      </c>
    </row>
    <row r="119" spans="1:28" ht="104.5" thickBot="1" x14ac:dyDescent="0.3">
      <c r="A119" s="36">
        <v>118</v>
      </c>
      <c r="B119" s="36" t="s">
        <v>24</v>
      </c>
      <c r="C119" s="36" t="s">
        <v>263</v>
      </c>
      <c r="D119" s="37">
        <v>43721</v>
      </c>
      <c r="E119" s="36" t="s">
        <v>435</v>
      </c>
      <c r="F119" s="36" t="s">
        <v>436</v>
      </c>
      <c r="G119" s="36" t="s">
        <v>42</v>
      </c>
      <c r="H119" s="36" t="s">
        <v>450</v>
      </c>
      <c r="I119" s="36" t="s">
        <v>44</v>
      </c>
      <c r="J119" s="36" t="str">
        <f t="shared" si="2"/>
        <v>ForestForest EstablishmentB (Gazetted)Hand Craft InstructorS15 (41800 - 132300)</v>
      </c>
      <c r="K119" s="36"/>
      <c r="L119" s="36" t="s">
        <v>238</v>
      </c>
      <c r="M119" s="38" t="s">
        <v>451</v>
      </c>
      <c r="N119" s="36"/>
      <c r="O119" s="6" t="s">
        <v>33</v>
      </c>
      <c r="P119" s="7">
        <v>2</v>
      </c>
      <c r="Q119" s="7" t="s">
        <v>34</v>
      </c>
      <c r="R119" s="8"/>
      <c r="S119" s="8"/>
      <c r="T119" s="7" t="s">
        <v>35</v>
      </c>
      <c r="U119" s="36" t="s">
        <v>35</v>
      </c>
      <c r="V119" s="38"/>
      <c r="W119" s="36"/>
      <c r="X119" s="36"/>
      <c r="Y119" s="36"/>
      <c r="Z119" s="41"/>
      <c r="AA119" s="42" t="e">
        <f>_xlfn.XLOOKUP(C119,#REF!,#REF!,"",0,1)</f>
        <v>#REF!</v>
      </c>
      <c r="AB119" s="43">
        <f t="shared" si="3"/>
        <v>0</v>
      </c>
    </row>
    <row r="120" spans="1:28" ht="104.5" thickBot="1" x14ac:dyDescent="0.3">
      <c r="A120" s="36">
        <v>119</v>
      </c>
      <c r="B120" s="36" t="s">
        <v>24</v>
      </c>
      <c r="C120" s="36" t="s">
        <v>263</v>
      </c>
      <c r="D120" s="37">
        <v>43721</v>
      </c>
      <c r="E120" s="36" t="s">
        <v>435</v>
      </c>
      <c r="F120" s="36" t="s">
        <v>436</v>
      </c>
      <c r="G120" s="36" t="s">
        <v>42</v>
      </c>
      <c r="H120" s="36" t="s">
        <v>452</v>
      </c>
      <c r="I120" s="36" t="s">
        <v>44</v>
      </c>
      <c r="J120" s="36" t="str">
        <f t="shared" si="2"/>
        <v>ForestForest EstablishmentB (Gazetted)Asstt. Chemical AnalayserS15 (41800 - 132300)</v>
      </c>
      <c r="K120" s="36"/>
      <c r="L120" s="36" t="s">
        <v>238</v>
      </c>
      <c r="M120" s="38" t="s">
        <v>453</v>
      </c>
      <c r="N120" s="36"/>
      <c r="O120" s="6" t="s">
        <v>33</v>
      </c>
      <c r="P120" s="7">
        <v>1</v>
      </c>
      <c r="Q120" s="7" t="s">
        <v>34</v>
      </c>
      <c r="R120" s="8"/>
      <c r="S120" s="8"/>
      <c r="T120" s="7" t="s">
        <v>2395</v>
      </c>
      <c r="U120" s="36" t="s">
        <v>35</v>
      </c>
      <c r="V120" s="38"/>
      <c r="W120" s="36"/>
      <c r="X120" s="36"/>
      <c r="Y120" s="36"/>
      <c r="Z120" s="41"/>
      <c r="AA120" s="42" t="e">
        <f>_xlfn.XLOOKUP(C120,#REF!,#REF!,"",0,1)</f>
        <v>#REF!</v>
      </c>
      <c r="AB120" s="43">
        <f t="shared" si="3"/>
        <v>0</v>
      </c>
    </row>
    <row r="121" spans="1:28" ht="104.5" thickBot="1" x14ac:dyDescent="0.3">
      <c r="A121" s="36">
        <v>120</v>
      </c>
      <c r="B121" s="36" t="s">
        <v>24</v>
      </c>
      <c r="C121" s="36" t="s">
        <v>263</v>
      </c>
      <c r="D121" s="37">
        <v>43721</v>
      </c>
      <c r="E121" s="36" t="s">
        <v>435</v>
      </c>
      <c r="F121" s="36" t="s">
        <v>436</v>
      </c>
      <c r="G121" s="36" t="s">
        <v>42</v>
      </c>
      <c r="H121" s="36" t="s">
        <v>454</v>
      </c>
      <c r="I121" s="36" t="s">
        <v>44</v>
      </c>
      <c r="J121" s="36" t="str">
        <f t="shared" si="2"/>
        <v>ForestForest EstablishmentB (Gazetted)Asstt Forest StatisticsS15 (41800 - 132300)</v>
      </c>
      <c r="K121" s="36" t="s">
        <v>455</v>
      </c>
      <c r="L121" s="36" t="s">
        <v>247</v>
      </c>
      <c r="M121" s="38" t="s">
        <v>456</v>
      </c>
      <c r="N121" s="36" t="s">
        <v>41</v>
      </c>
      <c r="O121" s="6" t="s">
        <v>33</v>
      </c>
      <c r="P121" s="7">
        <v>0</v>
      </c>
      <c r="Q121" s="7" t="s">
        <v>444</v>
      </c>
      <c r="R121" s="8"/>
      <c r="S121" s="8"/>
      <c r="T121" s="7" t="s">
        <v>2395</v>
      </c>
      <c r="U121" s="36" t="s">
        <v>35</v>
      </c>
      <c r="V121" s="38"/>
      <c r="W121" s="36"/>
      <c r="X121" s="36"/>
      <c r="Y121" s="36"/>
      <c r="Z121" s="41"/>
      <c r="AA121" s="42" t="e">
        <f>_xlfn.XLOOKUP(C121,#REF!,#REF!,"",0,1)</f>
        <v>#REF!</v>
      </c>
      <c r="AB121" s="43">
        <f t="shared" si="3"/>
        <v>0</v>
      </c>
    </row>
    <row r="122" spans="1:28" ht="91.5" thickBot="1" x14ac:dyDescent="0.3">
      <c r="A122" s="36">
        <v>121</v>
      </c>
      <c r="B122" s="36" t="s">
        <v>24</v>
      </c>
      <c r="C122" s="36" t="s">
        <v>263</v>
      </c>
      <c r="D122" s="37">
        <v>43721</v>
      </c>
      <c r="E122" s="36" t="s">
        <v>435</v>
      </c>
      <c r="F122" s="36" t="s">
        <v>436</v>
      </c>
      <c r="G122" s="36" t="s">
        <v>42</v>
      </c>
      <c r="H122" s="36" t="s">
        <v>457</v>
      </c>
      <c r="I122" s="36" t="s">
        <v>44</v>
      </c>
      <c r="J122" s="36" t="str">
        <f t="shared" si="2"/>
        <v>ForestForest EstablishmentB (Gazetted)Asstt EngineerS15 (41800 - 132300)</v>
      </c>
      <c r="K122" s="36" t="s">
        <v>246</v>
      </c>
      <c r="L122" s="36" t="s">
        <v>247</v>
      </c>
      <c r="M122" s="38" t="s">
        <v>458</v>
      </c>
      <c r="N122" s="36" t="s">
        <v>447</v>
      </c>
      <c r="O122" s="6" t="s">
        <v>33</v>
      </c>
      <c r="P122" s="7">
        <v>3</v>
      </c>
      <c r="Q122" s="7" t="s">
        <v>34</v>
      </c>
      <c r="R122" s="8"/>
      <c r="S122" s="8"/>
      <c r="T122" s="7" t="s">
        <v>35</v>
      </c>
      <c r="U122" s="36" t="s">
        <v>35</v>
      </c>
      <c r="V122" s="38"/>
      <c r="W122" s="36"/>
      <c r="X122" s="36"/>
      <c r="Y122" s="36"/>
      <c r="Z122" s="41"/>
      <c r="AA122" s="42" t="e">
        <f>_xlfn.XLOOKUP(C122,#REF!,#REF!,"",0,1)</f>
        <v>#REF!</v>
      </c>
      <c r="AB122" s="43">
        <f t="shared" si="3"/>
        <v>0</v>
      </c>
    </row>
    <row r="123" spans="1:28" ht="143.5" thickBot="1" x14ac:dyDescent="0.3">
      <c r="A123" s="36">
        <v>122</v>
      </c>
      <c r="B123" s="36" t="s">
        <v>24</v>
      </c>
      <c r="C123" s="36" t="s">
        <v>263</v>
      </c>
      <c r="D123" s="37">
        <v>43721</v>
      </c>
      <c r="E123" s="36" t="s">
        <v>435</v>
      </c>
      <c r="F123" s="36" t="s">
        <v>436</v>
      </c>
      <c r="G123" s="36" t="s">
        <v>42</v>
      </c>
      <c r="H123" s="36" t="s">
        <v>459</v>
      </c>
      <c r="I123" s="36" t="s">
        <v>44</v>
      </c>
      <c r="J123" s="36" t="str">
        <f t="shared" si="2"/>
        <v>ForestForest EstablishmentB (Gazetted)Range Forest OfficerS15 (41800 - 132300)</v>
      </c>
      <c r="K123" s="36" t="s">
        <v>440</v>
      </c>
      <c r="L123" s="36" t="s">
        <v>247</v>
      </c>
      <c r="M123" s="38" t="s">
        <v>460</v>
      </c>
      <c r="N123" s="36" t="s">
        <v>41</v>
      </c>
      <c r="O123" s="6" t="s">
        <v>33</v>
      </c>
      <c r="P123" s="10">
        <v>6</v>
      </c>
      <c r="Q123" s="7" t="s">
        <v>34</v>
      </c>
      <c r="R123" s="8"/>
      <c r="S123" s="8"/>
      <c r="T123" s="7" t="s">
        <v>35</v>
      </c>
      <c r="U123" s="36" t="s">
        <v>35</v>
      </c>
      <c r="V123" s="38"/>
      <c r="W123" s="36"/>
      <c r="X123" s="36"/>
      <c r="Y123" s="36"/>
      <c r="Z123" s="41"/>
      <c r="AA123" s="42" t="e">
        <f>_xlfn.XLOOKUP(C123,#REF!,#REF!,"",0,1)</f>
        <v>#REF!</v>
      </c>
      <c r="AB123" s="43">
        <f t="shared" si="3"/>
        <v>0</v>
      </c>
    </row>
    <row r="124" spans="1:28" ht="91.5" thickBot="1" x14ac:dyDescent="0.3">
      <c r="A124" s="36">
        <v>123</v>
      </c>
      <c r="B124" s="36" t="s">
        <v>24</v>
      </c>
      <c r="C124" s="36" t="s">
        <v>263</v>
      </c>
      <c r="D124" s="37">
        <v>43721</v>
      </c>
      <c r="E124" s="36" t="s">
        <v>435</v>
      </c>
      <c r="F124" s="36" t="s">
        <v>436</v>
      </c>
      <c r="G124" s="36" t="s">
        <v>42</v>
      </c>
      <c r="H124" s="36" t="s">
        <v>307</v>
      </c>
      <c r="I124" s="36" t="s">
        <v>372</v>
      </c>
      <c r="J124" s="36" t="str">
        <f t="shared" si="2"/>
        <v>ForestForest EstablishmentB (Gazetted)SupervisorS17 (47600 - 151100)</v>
      </c>
      <c r="K124" s="36"/>
      <c r="L124" s="36" t="s">
        <v>243</v>
      </c>
      <c r="M124" s="38" t="s">
        <v>461</v>
      </c>
      <c r="N124" s="36" t="s">
        <v>32</v>
      </c>
      <c r="O124" s="6" t="s">
        <v>33</v>
      </c>
      <c r="P124" s="7">
        <v>0</v>
      </c>
      <c r="Q124" s="7" t="s">
        <v>444</v>
      </c>
      <c r="R124" s="8"/>
      <c r="S124" s="8"/>
      <c r="T124" s="4" t="s">
        <v>3276</v>
      </c>
      <c r="U124" s="36" t="s">
        <v>35</v>
      </c>
      <c r="V124" s="38"/>
      <c r="W124" s="36"/>
      <c r="X124" s="36"/>
      <c r="Y124" s="36"/>
      <c r="Z124" s="41"/>
      <c r="AA124" s="42" t="e">
        <f>_xlfn.XLOOKUP(C124,#REF!,#REF!,"",0,1)</f>
        <v>#REF!</v>
      </c>
      <c r="AB124" s="43">
        <f t="shared" si="3"/>
        <v>0</v>
      </c>
    </row>
    <row r="125" spans="1:28" ht="91.5" thickBot="1" x14ac:dyDescent="0.3">
      <c r="A125" s="36">
        <v>124</v>
      </c>
      <c r="B125" s="36" t="s">
        <v>24</v>
      </c>
      <c r="C125" s="36" t="s">
        <v>263</v>
      </c>
      <c r="D125" s="37">
        <v>43721</v>
      </c>
      <c r="E125" s="36" t="s">
        <v>435</v>
      </c>
      <c r="F125" s="36" t="s">
        <v>436</v>
      </c>
      <c r="G125" s="36" t="s">
        <v>65</v>
      </c>
      <c r="H125" s="36" t="s">
        <v>251</v>
      </c>
      <c r="I125" s="36" t="s">
        <v>67</v>
      </c>
      <c r="J125" s="36" t="str">
        <f t="shared" si="2"/>
        <v>ForestForest EstablishmentB (Non Gazetted)Junior EngineerS14 (38600 - 122800)</v>
      </c>
      <c r="K125" s="36" t="s">
        <v>163</v>
      </c>
      <c r="L125" s="36" t="s">
        <v>225</v>
      </c>
      <c r="M125" s="38" t="s">
        <v>462</v>
      </c>
      <c r="N125" s="36" t="s">
        <v>165</v>
      </c>
      <c r="O125" s="6" t="s">
        <v>33</v>
      </c>
      <c r="P125" s="7">
        <v>6</v>
      </c>
      <c r="Q125" s="7" t="s">
        <v>34</v>
      </c>
      <c r="R125" s="8"/>
      <c r="S125" s="8"/>
      <c r="T125" s="7" t="s">
        <v>35</v>
      </c>
      <c r="U125" s="36" t="s">
        <v>35</v>
      </c>
      <c r="V125" s="38" t="s">
        <v>462</v>
      </c>
      <c r="W125" s="36"/>
      <c r="X125" s="36" t="s">
        <v>463</v>
      </c>
      <c r="Y125" s="46">
        <v>35796</v>
      </c>
      <c r="Z125" s="41"/>
      <c r="AA125" s="42" t="e">
        <f>_xlfn.XLOOKUP(C125,#REF!,#REF!,"",0,1)</f>
        <v>#REF!</v>
      </c>
      <c r="AB125" s="43">
        <f t="shared" si="3"/>
        <v>0</v>
      </c>
    </row>
    <row r="126" spans="1:28" ht="104.5" thickBot="1" x14ac:dyDescent="0.3">
      <c r="A126" s="36">
        <v>125</v>
      </c>
      <c r="B126" s="36" t="s">
        <v>24</v>
      </c>
      <c r="C126" s="36" t="s">
        <v>263</v>
      </c>
      <c r="D126" s="37">
        <v>43721</v>
      </c>
      <c r="E126" s="36" t="s">
        <v>435</v>
      </c>
      <c r="F126" s="36" t="s">
        <v>436</v>
      </c>
      <c r="G126" s="36" t="s">
        <v>65</v>
      </c>
      <c r="H126" s="36" t="s">
        <v>464</v>
      </c>
      <c r="I126" s="36" t="s">
        <v>44</v>
      </c>
      <c r="J126" s="36" t="str">
        <f t="shared" si="2"/>
        <v>ForestForest EstablishmentB (Non Gazetted)Lower Grade StenoS15 (41800 - 132300)</v>
      </c>
      <c r="K126" s="36" t="s">
        <v>68</v>
      </c>
      <c r="L126" s="36" t="s">
        <v>231</v>
      </c>
      <c r="M126" s="38" t="s">
        <v>465</v>
      </c>
      <c r="N126" s="36" t="s">
        <v>70</v>
      </c>
      <c r="O126" s="6" t="s">
        <v>33</v>
      </c>
      <c r="P126" s="7">
        <v>8</v>
      </c>
      <c r="Q126" s="7" t="s">
        <v>34</v>
      </c>
      <c r="R126" s="8"/>
      <c r="S126" s="8"/>
      <c r="T126" s="4" t="s">
        <v>3276</v>
      </c>
      <c r="U126" s="36" t="s">
        <v>35</v>
      </c>
      <c r="V126" s="38"/>
      <c r="W126" s="36"/>
      <c r="X126" s="36"/>
      <c r="Y126" s="36"/>
      <c r="Z126" s="41"/>
      <c r="AA126" s="42" t="e">
        <f>_xlfn.XLOOKUP(C126,#REF!,#REF!,"",0,1)</f>
        <v>#REF!</v>
      </c>
      <c r="AB126" s="43">
        <f t="shared" si="3"/>
        <v>0</v>
      </c>
    </row>
    <row r="127" spans="1:28" ht="104.5" thickBot="1" x14ac:dyDescent="0.3">
      <c r="A127" s="36">
        <v>126</v>
      </c>
      <c r="B127" s="36" t="s">
        <v>24</v>
      </c>
      <c r="C127" s="36" t="s">
        <v>263</v>
      </c>
      <c r="D127" s="37">
        <v>43721</v>
      </c>
      <c r="E127" s="36" t="s">
        <v>435</v>
      </c>
      <c r="F127" s="36" t="s">
        <v>436</v>
      </c>
      <c r="G127" s="36" t="s">
        <v>65</v>
      </c>
      <c r="H127" s="36" t="s">
        <v>466</v>
      </c>
      <c r="I127" s="36" t="s">
        <v>54</v>
      </c>
      <c r="J127" s="36" t="str">
        <f t="shared" si="2"/>
        <v>ForestForest EstablishmentB (Non Gazetted)Higher Grade StenoS16 (44900 - 142400)</v>
      </c>
      <c r="K127" s="36" t="s">
        <v>68</v>
      </c>
      <c r="L127" s="36" t="s">
        <v>231</v>
      </c>
      <c r="M127" s="38" t="s">
        <v>467</v>
      </c>
      <c r="N127" s="36" t="s">
        <v>70</v>
      </c>
      <c r="O127" s="6" t="s">
        <v>33</v>
      </c>
      <c r="P127" s="7">
        <v>2</v>
      </c>
      <c r="Q127" s="7" t="s">
        <v>34</v>
      </c>
      <c r="R127" s="8"/>
      <c r="S127" s="8"/>
      <c r="T127" s="4" t="s">
        <v>3276</v>
      </c>
      <c r="U127" s="36" t="s">
        <v>35</v>
      </c>
      <c r="V127" s="38"/>
      <c r="W127" s="36"/>
      <c r="X127" s="36"/>
      <c r="Y127" s="36"/>
      <c r="Z127" s="41"/>
      <c r="AA127" s="42" t="e">
        <f>_xlfn.XLOOKUP(C127,#REF!,#REF!,"",0,1)</f>
        <v>#REF!</v>
      </c>
      <c r="AB127" s="43">
        <f t="shared" si="3"/>
        <v>0</v>
      </c>
    </row>
    <row r="128" spans="1:28" ht="65.5" thickBot="1" x14ac:dyDescent="0.3">
      <c r="A128" s="36">
        <v>127</v>
      </c>
      <c r="B128" s="36" t="s">
        <v>24</v>
      </c>
      <c r="C128" s="36" t="s">
        <v>263</v>
      </c>
      <c r="D128" s="37">
        <v>43721</v>
      </c>
      <c r="E128" s="36" t="s">
        <v>435</v>
      </c>
      <c r="F128" s="36" t="s">
        <v>436</v>
      </c>
      <c r="G128" s="36" t="s">
        <v>55</v>
      </c>
      <c r="H128" s="36" t="s">
        <v>291</v>
      </c>
      <c r="I128" s="36" t="s">
        <v>276</v>
      </c>
      <c r="J128" s="36" t="str">
        <f t="shared" si="2"/>
        <v>ForestForest EstablishmentCAccountantS10 (29200 - 92300)</v>
      </c>
      <c r="K128" s="36" t="s">
        <v>270</v>
      </c>
      <c r="L128" s="36" t="s">
        <v>225</v>
      </c>
      <c r="M128" s="38" t="s">
        <v>468</v>
      </c>
      <c r="N128" s="36" t="s">
        <v>41</v>
      </c>
      <c r="O128" s="6" t="s">
        <v>33</v>
      </c>
      <c r="P128" s="7">
        <v>31</v>
      </c>
      <c r="Q128" s="7" t="s">
        <v>34</v>
      </c>
      <c r="R128" s="8"/>
      <c r="S128" s="8"/>
      <c r="T128" s="7" t="s">
        <v>35</v>
      </c>
      <c r="U128" s="36" t="s">
        <v>35</v>
      </c>
      <c r="V128" s="38" t="s">
        <v>469</v>
      </c>
      <c r="W128" s="36"/>
      <c r="X128" s="36" t="s">
        <v>470</v>
      </c>
      <c r="Y128" s="36" t="s">
        <v>471</v>
      </c>
      <c r="Z128" s="41"/>
      <c r="AA128" s="42" t="e">
        <f>_xlfn.XLOOKUP(C128,#REF!,#REF!,"",0,1)</f>
        <v>#REF!</v>
      </c>
      <c r="AB128" s="43">
        <f t="shared" si="3"/>
        <v>0</v>
      </c>
    </row>
    <row r="129" spans="1:28" ht="65.5" thickBot="1" x14ac:dyDescent="0.3">
      <c r="A129" s="36">
        <v>128</v>
      </c>
      <c r="B129" s="36" t="s">
        <v>24</v>
      </c>
      <c r="C129" s="36" t="s">
        <v>263</v>
      </c>
      <c r="D129" s="37">
        <v>43721</v>
      </c>
      <c r="E129" s="36" t="s">
        <v>435</v>
      </c>
      <c r="F129" s="36" t="s">
        <v>436</v>
      </c>
      <c r="G129" s="36" t="s">
        <v>55</v>
      </c>
      <c r="H129" s="36" t="s">
        <v>472</v>
      </c>
      <c r="I129" s="36" t="s">
        <v>276</v>
      </c>
      <c r="J129" s="36" t="str">
        <f t="shared" si="2"/>
        <v>ForestForest EstablishmentCLibrary AttendantS10 (29200 - 92300)</v>
      </c>
      <c r="K129" s="36" t="s">
        <v>170</v>
      </c>
      <c r="L129" s="36" t="s">
        <v>228</v>
      </c>
      <c r="M129" s="38" t="s">
        <v>473</v>
      </c>
      <c r="N129" s="36" t="s">
        <v>172</v>
      </c>
      <c r="O129" s="6" t="s">
        <v>83</v>
      </c>
      <c r="P129" s="7">
        <v>1</v>
      </c>
      <c r="Q129" s="7" t="s">
        <v>34</v>
      </c>
      <c r="R129" s="8"/>
      <c r="S129" s="8"/>
      <c r="T129" s="7" t="s">
        <v>2395</v>
      </c>
      <c r="U129" s="36" t="s">
        <v>35</v>
      </c>
      <c r="V129" s="38" t="s">
        <v>474</v>
      </c>
      <c r="W129" s="36"/>
      <c r="X129" s="36" t="s">
        <v>475</v>
      </c>
      <c r="Y129" s="36" t="s">
        <v>476</v>
      </c>
      <c r="Z129" s="41"/>
      <c r="AA129" s="42" t="e">
        <f>_xlfn.XLOOKUP(C129,#REF!,#REF!,"",0,1)</f>
        <v>#REF!</v>
      </c>
      <c r="AB129" s="43">
        <f t="shared" si="3"/>
        <v>0</v>
      </c>
    </row>
    <row r="130" spans="1:28" ht="65.5" thickBot="1" x14ac:dyDescent="0.3">
      <c r="A130" s="36">
        <v>129</v>
      </c>
      <c r="B130" s="36" t="s">
        <v>24</v>
      </c>
      <c r="C130" s="36" t="s">
        <v>263</v>
      </c>
      <c r="D130" s="37">
        <v>43721</v>
      </c>
      <c r="E130" s="36" t="s">
        <v>435</v>
      </c>
      <c r="F130" s="36" t="s">
        <v>436</v>
      </c>
      <c r="G130" s="36" t="s">
        <v>55</v>
      </c>
      <c r="H130" s="36" t="s">
        <v>477</v>
      </c>
      <c r="I130" s="36" t="s">
        <v>276</v>
      </c>
      <c r="J130" s="36" t="str">
        <f t="shared" ref="J130:J193" si="4">_xlfn.CONCAT(E130:I130)</f>
        <v>ForestForest EstablishmentCHouse MasterS10 (29200 - 92300)</v>
      </c>
      <c r="K130" s="36"/>
      <c r="L130" s="36" t="s">
        <v>238</v>
      </c>
      <c r="M130" s="38" t="s">
        <v>478</v>
      </c>
      <c r="N130" s="36" t="s">
        <v>283</v>
      </c>
      <c r="O130" s="6" t="s">
        <v>33</v>
      </c>
      <c r="P130" s="7">
        <v>2</v>
      </c>
      <c r="Q130" s="7" t="s">
        <v>34</v>
      </c>
      <c r="R130" s="8"/>
      <c r="S130" s="8"/>
      <c r="T130" s="7" t="s">
        <v>35</v>
      </c>
      <c r="U130" s="36" t="s">
        <v>35</v>
      </c>
      <c r="V130" s="38"/>
      <c r="W130" s="36"/>
      <c r="X130" s="36"/>
      <c r="Y130" s="36"/>
      <c r="Z130" s="41"/>
      <c r="AA130" s="42" t="e">
        <f>_xlfn.XLOOKUP(C130,#REF!,#REF!,"",0,1)</f>
        <v>#REF!</v>
      </c>
      <c r="AB130" s="43">
        <f t="shared" ref="AB130:AB135" si="5">IFERROR(FLOOR(P130*AA130,1),0)</f>
        <v>0</v>
      </c>
    </row>
    <row r="131" spans="1:28" ht="78.5" thickBot="1" x14ac:dyDescent="0.3">
      <c r="A131" s="36">
        <v>130</v>
      </c>
      <c r="B131" s="36" t="s">
        <v>24</v>
      </c>
      <c r="C131" s="36" t="s">
        <v>263</v>
      </c>
      <c r="D131" s="37">
        <v>43721</v>
      </c>
      <c r="E131" s="36" t="s">
        <v>435</v>
      </c>
      <c r="F131" s="36" t="s">
        <v>436</v>
      </c>
      <c r="G131" s="36" t="s">
        <v>55</v>
      </c>
      <c r="H131" s="36" t="s">
        <v>479</v>
      </c>
      <c r="I131" s="36" t="s">
        <v>57</v>
      </c>
      <c r="J131" s="36" t="str">
        <f t="shared" si="4"/>
        <v>ForestForest EstablishmentCPhysical Drill TrainerS13 (35400 - 112400)</v>
      </c>
      <c r="K131" s="36"/>
      <c r="L131" s="36" t="s">
        <v>238</v>
      </c>
      <c r="M131" s="38" t="s">
        <v>480</v>
      </c>
      <c r="N131" s="36" t="s">
        <v>283</v>
      </c>
      <c r="O131" s="6" t="s">
        <v>33</v>
      </c>
      <c r="P131" s="7">
        <v>1</v>
      </c>
      <c r="Q131" s="7" t="s">
        <v>34</v>
      </c>
      <c r="R131" s="8"/>
      <c r="S131" s="8"/>
      <c r="T131" s="7" t="s">
        <v>2395</v>
      </c>
      <c r="U131" s="36" t="s">
        <v>35</v>
      </c>
      <c r="V131" s="38"/>
      <c r="W131" s="36"/>
      <c r="X131" s="36"/>
      <c r="Y131" s="36"/>
      <c r="Z131" s="41"/>
      <c r="AA131" s="42" t="e">
        <f>_xlfn.XLOOKUP(C131,#REF!,#REF!,"",0,1)</f>
        <v>#REF!</v>
      </c>
      <c r="AB131" s="43">
        <f t="shared" si="5"/>
        <v>0</v>
      </c>
    </row>
    <row r="132" spans="1:28" ht="104.5" thickBot="1" x14ac:dyDescent="0.3">
      <c r="A132" s="36">
        <v>131</v>
      </c>
      <c r="B132" s="36" t="s">
        <v>24</v>
      </c>
      <c r="C132" s="36" t="s">
        <v>263</v>
      </c>
      <c r="D132" s="37">
        <v>43721</v>
      </c>
      <c r="E132" s="36" t="s">
        <v>435</v>
      </c>
      <c r="F132" s="36" t="s">
        <v>436</v>
      </c>
      <c r="G132" s="36" t="s">
        <v>55</v>
      </c>
      <c r="H132" s="36" t="s">
        <v>481</v>
      </c>
      <c r="I132" s="36" t="s">
        <v>67</v>
      </c>
      <c r="J132" s="36" t="str">
        <f t="shared" si="4"/>
        <v>ForestForest EstablishmentCSenior Statistical AssttS14 (38600 - 122800)</v>
      </c>
      <c r="K132" s="36" t="s">
        <v>115</v>
      </c>
      <c r="L132" s="36" t="s">
        <v>225</v>
      </c>
      <c r="M132" s="38" t="s">
        <v>482</v>
      </c>
      <c r="N132" s="36" t="s">
        <v>179</v>
      </c>
      <c r="O132" s="6" t="s">
        <v>33</v>
      </c>
      <c r="P132" s="7">
        <v>1</v>
      </c>
      <c r="Q132" s="7" t="s">
        <v>34</v>
      </c>
      <c r="R132" s="8"/>
      <c r="S132" s="8"/>
      <c r="T132" s="7" t="s">
        <v>2395</v>
      </c>
      <c r="U132" s="36" t="s">
        <v>35</v>
      </c>
      <c r="V132" s="38" t="s">
        <v>483</v>
      </c>
      <c r="W132" s="36"/>
      <c r="X132" s="36" t="s">
        <v>484</v>
      </c>
      <c r="Y132" s="36" t="s">
        <v>485</v>
      </c>
      <c r="Z132" s="41"/>
      <c r="AA132" s="42" t="e">
        <f>_xlfn.XLOOKUP(C132,#REF!,#REF!,"",0,1)</f>
        <v>#REF!</v>
      </c>
      <c r="AB132" s="43">
        <f t="shared" si="5"/>
        <v>0</v>
      </c>
    </row>
    <row r="133" spans="1:28" ht="91.5" thickBot="1" x14ac:dyDescent="0.3">
      <c r="A133" s="36">
        <v>132</v>
      </c>
      <c r="B133" s="36" t="s">
        <v>24</v>
      </c>
      <c r="C133" s="36" t="s">
        <v>263</v>
      </c>
      <c r="D133" s="37">
        <v>43721</v>
      </c>
      <c r="E133" s="36" t="s">
        <v>435</v>
      </c>
      <c r="F133" s="36" t="s">
        <v>436</v>
      </c>
      <c r="G133" s="36" t="s">
        <v>55</v>
      </c>
      <c r="H133" s="36" t="s">
        <v>486</v>
      </c>
      <c r="I133" s="36" t="s">
        <v>74</v>
      </c>
      <c r="J133" s="36" t="str">
        <f t="shared" si="4"/>
        <v>ForestForest EstablishmentCClerkS6 (19900 - 63200)</v>
      </c>
      <c r="K133" s="36" t="s">
        <v>75</v>
      </c>
      <c r="L133" s="36" t="s">
        <v>228</v>
      </c>
      <c r="M133" s="38" t="s">
        <v>487</v>
      </c>
      <c r="N133" s="36" t="s">
        <v>70</v>
      </c>
      <c r="O133" s="6" t="s">
        <v>33</v>
      </c>
      <c r="P133" s="7">
        <v>212</v>
      </c>
      <c r="Q133" s="7" t="s">
        <v>34</v>
      </c>
      <c r="R133" s="8"/>
      <c r="S133" s="8"/>
      <c r="T133" s="7" t="s">
        <v>35</v>
      </c>
      <c r="U133" s="36" t="s">
        <v>35</v>
      </c>
      <c r="V133" s="38" t="s">
        <v>125</v>
      </c>
      <c r="W133" s="36"/>
      <c r="X133" s="36" t="s">
        <v>77</v>
      </c>
      <c r="Y133" s="36" t="s">
        <v>78</v>
      </c>
      <c r="Z133" s="41"/>
      <c r="AA133" s="42" t="e">
        <f>_xlfn.XLOOKUP(C133,#REF!,#REF!,"",0,1)</f>
        <v>#REF!</v>
      </c>
      <c r="AB133" s="43">
        <f t="shared" si="5"/>
        <v>0</v>
      </c>
    </row>
    <row r="134" spans="1:28" ht="156.5" thickBot="1" x14ac:dyDescent="0.3">
      <c r="A134" s="36">
        <v>133</v>
      </c>
      <c r="B134" s="36" t="s">
        <v>24</v>
      </c>
      <c r="C134" s="36" t="s">
        <v>263</v>
      </c>
      <c r="D134" s="37">
        <v>43721</v>
      </c>
      <c r="E134" s="36" t="s">
        <v>435</v>
      </c>
      <c r="F134" s="36" t="s">
        <v>436</v>
      </c>
      <c r="G134" s="36" t="s">
        <v>55</v>
      </c>
      <c r="H134" s="36" t="s">
        <v>488</v>
      </c>
      <c r="I134" s="36" t="s">
        <v>169</v>
      </c>
      <c r="J134" s="36" t="str">
        <f t="shared" si="4"/>
        <v>ForestForest EstablishmentCForest GuardS7 (21700 - 69100)</v>
      </c>
      <c r="K134" s="36" t="s">
        <v>489</v>
      </c>
      <c r="L134" s="36" t="s">
        <v>225</v>
      </c>
      <c r="M134" s="38" t="s">
        <v>490</v>
      </c>
      <c r="N134" s="36" t="s">
        <v>41</v>
      </c>
      <c r="O134" s="6" t="s">
        <v>83</v>
      </c>
      <c r="P134" s="7">
        <v>886</v>
      </c>
      <c r="Q134" s="7" t="s">
        <v>34</v>
      </c>
      <c r="R134" s="8"/>
      <c r="S134" s="8"/>
      <c r="T134" s="7" t="s">
        <v>35</v>
      </c>
      <c r="U134" s="36" t="s">
        <v>35</v>
      </c>
      <c r="V134" s="38" t="s">
        <v>491</v>
      </c>
      <c r="W134" s="36"/>
      <c r="X134" s="36" t="s">
        <v>470</v>
      </c>
      <c r="Y134" s="36" t="s">
        <v>471</v>
      </c>
      <c r="Z134" s="41"/>
      <c r="AA134" s="42" t="e">
        <f>_xlfn.XLOOKUP(C134,#REF!,#REF!,"",0,1)</f>
        <v>#REF!</v>
      </c>
      <c r="AB134" s="43">
        <f t="shared" si="5"/>
        <v>0</v>
      </c>
    </row>
    <row r="135" spans="1:28" ht="130.5" thickBot="1" x14ac:dyDescent="0.3">
      <c r="A135" s="36">
        <v>134</v>
      </c>
      <c r="B135" s="36" t="s">
        <v>24</v>
      </c>
      <c r="C135" s="36" t="s">
        <v>263</v>
      </c>
      <c r="D135" s="37">
        <v>43721</v>
      </c>
      <c r="E135" s="36" t="s">
        <v>435</v>
      </c>
      <c r="F135" s="36" t="s">
        <v>436</v>
      </c>
      <c r="G135" s="36" t="s">
        <v>55</v>
      </c>
      <c r="H135" s="36" t="s">
        <v>492</v>
      </c>
      <c r="I135" s="36" t="s">
        <v>169</v>
      </c>
      <c r="J135" s="36" t="str">
        <f t="shared" si="4"/>
        <v>ForestForest EstablishmentCDrill TeacherS7 (21700 - 69100)</v>
      </c>
      <c r="K135" s="36"/>
      <c r="L135" s="36" t="s">
        <v>238</v>
      </c>
      <c r="M135" s="38" t="s">
        <v>493</v>
      </c>
      <c r="N135" s="36" t="s">
        <v>283</v>
      </c>
      <c r="O135" s="6" t="s">
        <v>33</v>
      </c>
      <c r="P135" s="7">
        <v>0</v>
      </c>
      <c r="Q135" s="7" t="s">
        <v>34</v>
      </c>
      <c r="R135" s="8"/>
      <c r="S135" s="8"/>
      <c r="T135" s="7" t="s">
        <v>2395</v>
      </c>
      <c r="U135" s="36" t="s">
        <v>35</v>
      </c>
      <c r="V135" s="38"/>
      <c r="W135" s="36"/>
      <c r="X135" s="36"/>
      <c r="Y135" s="36"/>
      <c r="Z135" s="41"/>
      <c r="AA135" s="42" t="e">
        <f>_xlfn.XLOOKUP(C135,#REF!,#REF!,"",0,1)</f>
        <v>#REF!</v>
      </c>
      <c r="AB135" s="43">
        <f t="shared" si="5"/>
        <v>0</v>
      </c>
    </row>
    <row r="136" spans="1:28" ht="65.5" thickBot="1" x14ac:dyDescent="0.3">
      <c r="A136" s="36">
        <v>135</v>
      </c>
      <c r="B136" s="36" t="s">
        <v>494</v>
      </c>
      <c r="C136" s="36" t="s">
        <v>263</v>
      </c>
      <c r="D136" s="37">
        <v>43721</v>
      </c>
      <c r="E136" s="36" t="s">
        <v>435</v>
      </c>
      <c r="F136" s="36" t="s">
        <v>436</v>
      </c>
      <c r="G136" s="36" t="s">
        <v>55</v>
      </c>
      <c r="H136" s="36" t="s">
        <v>495</v>
      </c>
      <c r="I136" s="36" t="s">
        <v>169</v>
      </c>
      <c r="J136" s="36" t="str">
        <f t="shared" si="4"/>
        <v>ForestForest EstablishmentCLaunch DriverS7 (21700 - 69100)</v>
      </c>
      <c r="K136" s="36"/>
      <c r="L136" s="36"/>
      <c r="M136" s="38" t="s">
        <v>480</v>
      </c>
      <c r="N136" s="36" t="s">
        <v>496</v>
      </c>
      <c r="O136" s="6" t="s">
        <v>83</v>
      </c>
      <c r="P136" s="7">
        <v>2</v>
      </c>
      <c r="Q136" s="7" t="s">
        <v>34</v>
      </c>
      <c r="R136" s="8"/>
      <c r="S136" s="8"/>
      <c r="T136" s="4" t="s">
        <v>3276</v>
      </c>
      <c r="U136" s="36" t="s">
        <v>35</v>
      </c>
      <c r="V136" s="38"/>
      <c r="W136" s="36"/>
      <c r="X136" s="36"/>
      <c r="Y136" s="36"/>
      <c r="Z136" s="41"/>
      <c r="AA136" s="42" t="e">
        <f>_xlfn.XLOOKUP(C136,#REF!,#REF!,"",0,1)</f>
        <v>#REF!</v>
      </c>
      <c r="AB136" s="43">
        <f t="shared" ref="AB136:AB193" si="6">IFERROR(FLOOR(P136*AA136,1),0)</f>
        <v>0</v>
      </c>
    </row>
    <row r="137" spans="1:28" ht="78.5" thickBot="1" x14ac:dyDescent="0.3">
      <c r="A137" s="36">
        <v>136</v>
      </c>
      <c r="B137" s="36" t="s">
        <v>24</v>
      </c>
      <c r="C137" s="36" t="s">
        <v>263</v>
      </c>
      <c r="D137" s="37">
        <v>43721</v>
      </c>
      <c r="E137" s="36" t="s">
        <v>435</v>
      </c>
      <c r="F137" s="36" t="s">
        <v>436</v>
      </c>
      <c r="G137" s="36" t="s">
        <v>55</v>
      </c>
      <c r="H137" s="36" t="s">
        <v>497</v>
      </c>
      <c r="I137" s="36" t="s">
        <v>80</v>
      </c>
      <c r="J137" s="36" t="str">
        <f t="shared" si="4"/>
        <v>ForestForest EstablishmentCJunior Statistical AssttS8 (25500 - 81100)</v>
      </c>
      <c r="K137" s="36" t="s">
        <v>115</v>
      </c>
      <c r="L137" s="36" t="s">
        <v>225</v>
      </c>
      <c r="M137" s="38" t="s">
        <v>498</v>
      </c>
      <c r="N137" s="36" t="s">
        <v>179</v>
      </c>
      <c r="O137" s="6" t="s">
        <v>33</v>
      </c>
      <c r="P137" s="7">
        <v>5</v>
      </c>
      <c r="Q137" s="7" t="s">
        <v>34</v>
      </c>
      <c r="R137" s="8"/>
      <c r="S137" s="8"/>
      <c r="T137" s="7" t="s">
        <v>61</v>
      </c>
      <c r="U137" s="36" t="s">
        <v>35</v>
      </c>
      <c r="V137" s="38" t="s">
        <v>499</v>
      </c>
      <c r="W137" s="36"/>
      <c r="X137" s="36" t="s">
        <v>484</v>
      </c>
      <c r="Y137" s="36" t="s">
        <v>485</v>
      </c>
      <c r="Z137" s="41"/>
      <c r="AA137" s="42" t="e">
        <f>_xlfn.XLOOKUP(C137,#REF!,#REF!,"",0,1)</f>
        <v>#REF!</v>
      </c>
      <c r="AB137" s="43">
        <f t="shared" si="6"/>
        <v>0</v>
      </c>
    </row>
    <row r="138" spans="1:28" ht="247.5" thickBot="1" x14ac:dyDescent="0.3">
      <c r="A138" s="36">
        <v>137</v>
      </c>
      <c r="B138" s="36" t="s">
        <v>24</v>
      </c>
      <c r="C138" s="36" t="s">
        <v>263</v>
      </c>
      <c r="D138" s="37">
        <v>43721</v>
      </c>
      <c r="E138" s="36" t="s">
        <v>435</v>
      </c>
      <c r="F138" s="36" t="s">
        <v>436</v>
      </c>
      <c r="G138" s="36" t="s">
        <v>55</v>
      </c>
      <c r="H138" s="36" t="s">
        <v>500</v>
      </c>
      <c r="I138" s="36" t="s">
        <v>80</v>
      </c>
      <c r="J138" s="36" t="str">
        <f t="shared" si="4"/>
        <v>ForestForest EstablishmentCWireless TechnicianS8 (25500 - 81100)</v>
      </c>
      <c r="K138" s="36" t="s">
        <v>127</v>
      </c>
      <c r="L138" s="36" t="s">
        <v>225</v>
      </c>
      <c r="M138" s="38" t="s">
        <v>480</v>
      </c>
      <c r="N138" s="36" t="s">
        <v>129</v>
      </c>
      <c r="O138" s="6" t="s">
        <v>83</v>
      </c>
      <c r="P138" s="7">
        <v>1</v>
      </c>
      <c r="Q138" s="7" t="s">
        <v>34</v>
      </c>
      <c r="R138" s="8"/>
      <c r="S138" s="8"/>
      <c r="T138" s="7" t="s">
        <v>2395</v>
      </c>
      <c r="U138" s="36" t="s">
        <v>35</v>
      </c>
      <c r="V138" s="38" t="s">
        <v>501</v>
      </c>
      <c r="W138" s="36"/>
      <c r="X138" s="36" t="s">
        <v>475</v>
      </c>
      <c r="Y138" s="36" t="s">
        <v>502</v>
      </c>
      <c r="Z138" s="41"/>
      <c r="AA138" s="42" t="e">
        <f>_xlfn.XLOOKUP(C138,#REF!,#REF!,"",0,1)</f>
        <v>#REF!</v>
      </c>
      <c r="AB138" s="43">
        <f t="shared" si="6"/>
        <v>0</v>
      </c>
    </row>
    <row r="139" spans="1:28" ht="65.5" thickBot="1" x14ac:dyDescent="0.3">
      <c r="A139" s="36">
        <v>138</v>
      </c>
      <c r="B139" s="36" t="s">
        <v>24</v>
      </c>
      <c r="C139" s="36" t="s">
        <v>263</v>
      </c>
      <c r="D139" s="37">
        <v>43721</v>
      </c>
      <c r="E139" s="36" t="s">
        <v>435</v>
      </c>
      <c r="F139" s="36" t="s">
        <v>436</v>
      </c>
      <c r="G139" s="36" t="s">
        <v>55</v>
      </c>
      <c r="H139" s="36" t="s">
        <v>503</v>
      </c>
      <c r="I139" s="36" t="s">
        <v>80</v>
      </c>
      <c r="J139" s="36" t="str">
        <f t="shared" si="4"/>
        <v>ForestForest EstablishmentCWireless OperatorS8 (25500 - 81100)</v>
      </c>
      <c r="K139" s="36" t="s">
        <v>127</v>
      </c>
      <c r="L139" s="36" t="s">
        <v>225</v>
      </c>
      <c r="M139" s="38" t="s">
        <v>504</v>
      </c>
      <c r="N139" s="36" t="s">
        <v>505</v>
      </c>
      <c r="O139" s="6" t="s">
        <v>83</v>
      </c>
      <c r="P139" s="7">
        <v>1</v>
      </c>
      <c r="Q139" s="7" t="s">
        <v>34</v>
      </c>
      <c r="R139" s="8"/>
      <c r="S139" s="8"/>
      <c r="T139" s="7" t="s">
        <v>2395</v>
      </c>
      <c r="U139" s="36" t="s">
        <v>35</v>
      </c>
      <c r="V139" s="38" t="s">
        <v>504</v>
      </c>
      <c r="W139" s="36"/>
      <c r="X139" s="36" t="s">
        <v>150</v>
      </c>
      <c r="Y139" s="36" t="s">
        <v>150</v>
      </c>
      <c r="Z139" s="41"/>
      <c r="AA139" s="42" t="e">
        <f>_xlfn.XLOOKUP(C139,#REF!,#REF!,"",0,1)</f>
        <v>#REF!</v>
      </c>
      <c r="AB139" s="43">
        <f t="shared" si="6"/>
        <v>0</v>
      </c>
    </row>
    <row r="140" spans="1:28" ht="52.5" thickBot="1" x14ac:dyDescent="0.3">
      <c r="A140" s="36">
        <v>139</v>
      </c>
      <c r="B140" s="36" t="s">
        <v>24</v>
      </c>
      <c r="C140" s="36" t="s">
        <v>263</v>
      </c>
      <c r="D140" s="37">
        <v>43721</v>
      </c>
      <c r="E140" s="36" t="s">
        <v>435</v>
      </c>
      <c r="F140" s="36" t="s">
        <v>436</v>
      </c>
      <c r="G140" s="36" t="s">
        <v>55</v>
      </c>
      <c r="H140" s="36" t="s">
        <v>506</v>
      </c>
      <c r="I140" s="36" t="s">
        <v>80</v>
      </c>
      <c r="J140" s="36" t="str">
        <f t="shared" si="4"/>
        <v>ForestForest EstablishmentCSurveyorS8 (25500 - 81100)</v>
      </c>
      <c r="K140" s="36"/>
      <c r="L140" s="36" t="s">
        <v>238</v>
      </c>
      <c r="M140" s="38" t="s">
        <v>507</v>
      </c>
      <c r="N140" s="36" t="s">
        <v>283</v>
      </c>
      <c r="O140" s="6" t="s">
        <v>83</v>
      </c>
      <c r="P140" s="7">
        <v>38</v>
      </c>
      <c r="Q140" s="7" t="s">
        <v>34</v>
      </c>
      <c r="R140" s="8"/>
      <c r="S140" s="8"/>
      <c r="T140" s="7" t="s">
        <v>35</v>
      </c>
      <c r="U140" s="36" t="s">
        <v>35</v>
      </c>
      <c r="V140" s="38"/>
      <c r="W140" s="36"/>
      <c r="X140" s="36"/>
      <c r="Y140" s="36"/>
      <c r="Z140" s="41"/>
      <c r="AA140" s="42" t="e">
        <f>_xlfn.XLOOKUP(C140,#REF!,#REF!,"",0,1)</f>
        <v>#REF!</v>
      </c>
      <c r="AB140" s="43">
        <f t="shared" si="6"/>
        <v>0</v>
      </c>
    </row>
    <row r="141" spans="1:28" ht="143.5" thickBot="1" x14ac:dyDescent="0.3">
      <c r="A141" s="36">
        <v>140</v>
      </c>
      <c r="B141" s="36" t="s">
        <v>24</v>
      </c>
      <c r="C141" s="36" t="s">
        <v>263</v>
      </c>
      <c r="D141" s="37">
        <v>44498</v>
      </c>
      <c r="E141" s="36" t="s">
        <v>508</v>
      </c>
      <c r="F141" s="36" t="s">
        <v>509</v>
      </c>
      <c r="G141" s="36" t="s">
        <v>28</v>
      </c>
      <c r="H141" s="36" t="s">
        <v>510</v>
      </c>
      <c r="I141" s="36" t="s">
        <v>242</v>
      </c>
      <c r="J141" s="36" t="str">
        <f t="shared" si="4"/>
        <v>GAD (Ex Servicemen)Ex Servicemen EstablishmentADy Dir/ ZSWO/
  OIC PCTC
District Sainik Welfare OfficerS23 (67700 - 208700)</v>
      </c>
      <c r="K141" s="36"/>
      <c r="L141" s="36" t="s">
        <v>238</v>
      </c>
      <c r="M141" s="38" t="s">
        <v>511</v>
      </c>
      <c r="N141" s="36"/>
      <c r="O141" s="6" t="s">
        <v>33</v>
      </c>
      <c r="P141" s="7">
        <v>20</v>
      </c>
      <c r="Q141" s="7" t="s">
        <v>100</v>
      </c>
      <c r="R141" s="7">
        <v>20</v>
      </c>
      <c r="S141" s="8"/>
      <c r="T141" s="7" t="s">
        <v>61</v>
      </c>
      <c r="U141" s="36" t="s">
        <v>35</v>
      </c>
      <c r="V141" s="38"/>
      <c r="W141" s="36"/>
      <c r="X141" s="36"/>
      <c r="Y141" s="36"/>
      <c r="Z141" s="41"/>
      <c r="AA141" s="42" t="e">
        <f>_xlfn.XLOOKUP(C141,#REF!,#REF!,"",0,1)</f>
        <v>#REF!</v>
      </c>
      <c r="AB141" s="43">
        <f t="shared" si="6"/>
        <v>0</v>
      </c>
    </row>
    <row r="142" spans="1:28" ht="91.5" thickBot="1" x14ac:dyDescent="0.3">
      <c r="A142" s="36">
        <v>141</v>
      </c>
      <c r="B142" s="36" t="s">
        <v>24</v>
      </c>
      <c r="C142" s="36" t="s">
        <v>263</v>
      </c>
      <c r="D142" s="37">
        <v>44498</v>
      </c>
      <c r="E142" s="36" t="s">
        <v>508</v>
      </c>
      <c r="F142" s="36" t="s">
        <v>509</v>
      </c>
      <c r="G142" s="36" t="s">
        <v>28</v>
      </c>
      <c r="H142" s="36" t="s">
        <v>512</v>
      </c>
      <c r="I142" s="36" t="s">
        <v>513</v>
      </c>
      <c r="J142" s="36" t="str">
        <f t="shared" si="4"/>
        <v>GAD (Ex Servicemen)Ex Servicemen EstablishmentADirectorS25 (78800 - 209200)</v>
      </c>
      <c r="K142" s="36"/>
      <c r="L142" s="36" t="s">
        <v>238</v>
      </c>
      <c r="M142" s="38" t="s">
        <v>514</v>
      </c>
      <c r="N142" s="36"/>
      <c r="O142" s="6" t="s">
        <v>33</v>
      </c>
      <c r="P142" s="7">
        <v>0</v>
      </c>
      <c r="Q142" s="7" t="s">
        <v>34</v>
      </c>
      <c r="R142" s="8"/>
      <c r="S142" s="8"/>
      <c r="T142" s="7" t="s">
        <v>2395</v>
      </c>
      <c r="U142" s="36" t="s">
        <v>35</v>
      </c>
      <c r="V142" s="38"/>
      <c r="W142" s="36"/>
      <c r="X142" s="36"/>
      <c r="Y142" s="36"/>
      <c r="Z142" s="41"/>
      <c r="AA142" s="42" t="e">
        <f>_xlfn.XLOOKUP(C142,#REF!,#REF!,"",0,1)</f>
        <v>#REF!</v>
      </c>
      <c r="AB142" s="43">
        <f t="shared" si="6"/>
        <v>0</v>
      </c>
    </row>
    <row r="143" spans="1:28" ht="117.5" thickBot="1" x14ac:dyDescent="0.3">
      <c r="A143" s="36">
        <v>142</v>
      </c>
      <c r="B143" s="36" t="s">
        <v>24</v>
      </c>
      <c r="C143" s="36" t="s">
        <v>263</v>
      </c>
      <c r="D143" s="37">
        <v>44498</v>
      </c>
      <c r="E143" s="36" t="s">
        <v>508</v>
      </c>
      <c r="F143" s="36" t="s">
        <v>509</v>
      </c>
      <c r="G143" s="36" t="s">
        <v>65</v>
      </c>
      <c r="H143" s="36" t="s">
        <v>515</v>
      </c>
      <c r="I143" s="36" t="s">
        <v>44</v>
      </c>
      <c r="J143" s="36" t="str">
        <f t="shared" si="4"/>
        <v>GAD (Ex Servicemen)Ex Servicemen EstablishmentB (Non Gazetted)Steno (Marathi)S15 (41800 - 132300)</v>
      </c>
      <c r="K143" s="36" t="s">
        <v>68</v>
      </c>
      <c r="L143" s="36" t="s">
        <v>231</v>
      </c>
      <c r="M143" s="38" t="s">
        <v>516</v>
      </c>
      <c r="N143" s="36" t="s">
        <v>70</v>
      </c>
      <c r="O143" s="6" t="s">
        <v>33</v>
      </c>
      <c r="P143" s="7">
        <v>1</v>
      </c>
      <c r="Q143" s="7" t="s">
        <v>34</v>
      </c>
      <c r="R143" s="8"/>
      <c r="S143" s="8"/>
      <c r="T143" s="4" t="s">
        <v>3276</v>
      </c>
      <c r="U143" s="36" t="s">
        <v>517</v>
      </c>
      <c r="V143" s="38"/>
      <c r="W143" s="36"/>
      <c r="X143" s="36"/>
      <c r="Y143" s="36"/>
      <c r="Z143" s="41"/>
      <c r="AA143" s="42" t="e">
        <f>_xlfn.XLOOKUP(C143,#REF!,#REF!,"",0,1)</f>
        <v>#REF!</v>
      </c>
      <c r="AB143" s="43">
        <f t="shared" si="6"/>
        <v>0</v>
      </c>
    </row>
    <row r="144" spans="1:28" ht="117.5" thickBot="1" x14ac:dyDescent="0.3">
      <c r="A144" s="36">
        <v>143</v>
      </c>
      <c r="B144" s="36" t="s">
        <v>24</v>
      </c>
      <c r="C144" s="36" t="s">
        <v>263</v>
      </c>
      <c r="D144" s="37">
        <v>44498</v>
      </c>
      <c r="E144" s="36" t="s">
        <v>508</v>
      </c>
      <c r="F144" s="36" t="s">
        <v>509</v>
      </c>
      <c r="G144" s="36" t="s">
        <v>65</v>
      </c>
      <c r="H144" s="36" t="s">
        <v>518</v>
      </c>
      <c r="I144" s="36" t="s">
        <v>54</v>
      </c>
      <c r="J144" s="36" t="str">
        <f t="shared" si="4"/>
        <v>GAD (Ex Servicemen)Ex Servicemen EstablishmentB (Non Gazetted)Steno (English)S16 (44900 - 142400)</v>
      </c>
      <c r="K144" s="36" t="s">
        <v>68</v>
      </c>
      <c r="L144" s="36" t="s">
        <v>231</v>
      </c>
      <c r="M144" s="38" t="s">
        <v>519</v>
      </c>
      <c r="N144" s="36" t="s">
        <v>70</v>
      </c>
      <c r="O144" s="6" t="s">
        <v>33</v>
      </c>
      <c r="P144" s="7">
        <v>0</v>
      </c>
      <c r="Q144" s="7" t="s">
        <v>34</v>
      </c>
      <c r="R144" s="8"/>
      <c r="S144" s="8"/>
      <c r="T144" s="4" t="s">
        <v>3276</v>
      </c>
      <c r="U144" s="36" t="s">
        <v>517</v>
      </c>
      <c r="V144" s="38"/>
      <c r="W144" s="36"/>
      <c r="X144" s="36"/>
      <c r="Y144" s="36"/>
      <c r="Z144" s="41"/>
      <c r="AA144" s="42" t="e">
        <f>_xlfn.XLOOKUP(C144,#REF!,#REF!,"",0,1)</f>
        <v>#REF!</v>
      </c>
      <c r="AB144" s="43">
        <f t="shared" si="6"/>
        <v>0</v>
      </c>
    </row>
    <row r="145" spans="1:28" ht="91.5" thickBot="1" x14ac:dyDescent="0.3">
      <c r="A145" s="36">
        <v>144</v>
      </c>
      <c r="B145" s="36" t="s">
        <v>24</v>
      </c>
      <c r="C145" s="36" t="s">
        <v>263</v>
      </c>
      <c r="D145" s="37">
        <v>44498</v>
      </c>
      <c r="E145" s="36" t="s">
        <v>508</v>
      </c>
      <c r="F145" s="36" t="s">
        <v>509</v>
      </c>
      <c r="G145" s="36" t="s">
        <v>55</v>
      </c>
      <c r="H145" s="36" t="s">
        <v>520</v>
      </c>
      <c r="I145" s="36" t="s">
        <v>74</v>
      </c>
      <c r="J145" s="36" t="str">
        <f t="shared" si="4"/>
        <v>GAD (Ex Servicemen)Ex Servicemen EstablishmentCClerk-cum-typistS6 (19900 - 63200)</v>
      </c>
      <c r="K145" s="36"/>
      <c r="L145" s="36" t="s">
        <v>238</v>
      </c>
      <c r="M145" s="38" t="s">
        <v>521</v>
      </c>
      <c r="N145" s="36" t="s">
        <v>283</v>
      </c>
      <c r="O145" s="6" t="s">
        <v>33</v>
      </c>
      <c r="P145" s="7">
        <v>77</v>
      </c>
      <c r="Q145" s="7" t="s">
        <v>100</v>
      </c>
      <c r="R145" s="7">
        <v>72</v>
      </c>
      <c r="S145" s="8"/>
      <c r="T145" s="7" t="s">
        <v>61</v>
      </c>
      <c r="U145" s="36" t="s">
        <v>35</v>
      </c>
      <c r="V145" s="38"/>
      <c r="W145" s="36"/>
      <c r="X145" s="36"/>
      <c r="Y145" s="36"/>
      <c r="Z145" s="41"/>
      <c r="AA145" s="42" t="e">
        <f>_xlfn.XLOOKUP(C145,#REF!,#REF!,"",0,1)</f>
        <v>#REF!</v>
      </c>
      <c r="AB145" s="43">
        <f t="shared" si="6"/>
        <v>0</v>
      </c>
    </row>
    <row r="146" spans="1:28" ht="91.5" thickBot="1" x14ac:dyDescent="0.3">
      <c r="A146" s="36">
        <v>145</v>
      </c>
      <c r="B146" s="36" t="s">
        <v>24</v>
      </c>
      <c r="C146" s="36" t="s">
        <v>263</v>
      </c>
      <c r="D146" s="37">
        <v>44498</v>
      </c>
      <c r="E146" s="36" t="s">
        <v>508</v>
      </c>
      <c r="F146" s="36" t="s">
        <v>509</v>
      </c>
      <c r="G146" s="36" t="s">
        <v>55</v>
      </c>
      <c r="H146" s="36" t="s">
        <v>522</v>
      </c>
      <c r="I146" s="36" t="s">
        <v>80</v>
      </c>
      <c r="J146" s="36" t="str">
        <f t="shared" si="4"/>
        <v>GAD (Ex Servicemen)Ex Servicemen EstablishmentCWelfare OrganiserS8 (25500 - 81100)</v>
      </c>
      <c r="K146" s="36"/>
      <c r="L146" s="36" t="s">
        <v>238</v>
      </c>
      <c r="M146" s="38" t="s">
        <v>523</v>
      </c>
      <c r="N146" s="36" t="s">
        <v>283</v>
      </c>
      <c r="O146" s="6" t="s">
        <v>33</v>
      </c>
      <c r="P146" s="7">
        <v>15</v>
      </c>
      <c r="Q146" s="7" t="s">
        <v>34</v>
      </c>
      <c r="R146" s="8"/>
      <c r="S146" s="8"/>
      <c r="T146" s="7" t="s">
        <v>35</v>
      </c>
      <c r="U146" s="36" t="s">
        <v>35</v>
      </c>
      <c r="V146" s="38"/>
      <c r="W146" s="36"/>
      <c r="X146" s="36"/>
      <c r="Y146" s="36"/>
      <c r="Z146" s="41"/>
      <c r="AA146" s="42" t="e">
        <f>_xlfn.XLOOKUP(C146,#REF!,#REF!,"",0,1)</f>
        <v>#REF!</v>
      </c>
      <c r="AB146" s="43">
        <f t="shared" si="6"/>
        <v>0</v>
      </c>
    </row>
    <row r="147" spans="1:28" ht="91.5" thickBot="1" x14ac:dyDescent="0.3">
      <c r="A147" s="36">
        <v>146</v>
      </c>
      <c r="B147" s="36" t="s">
        <v>24</v>
      </c>
      <c r="C147" s="36" t="s">
        <v>263</v>
      </c>
      <c r="D147" s="37">
        <v>44498</v>
      </c>
      <c r="E147" s="36" t="s">
        <v>508</v>
      </c>
      <c r="F147" s="36" t="s">
        <v>509</v>
      </c>
      <c r="G147" s="36" t="s">
        <v>55</v>
      </c>
      <c r="H147" s="36" t="s">
        <v>524</v>
      </c>
      <c r="I147" s="36" t="s">
        <v>80</v>
      </c>
      <c r="J147" s="36" t="str">
        <f t="shared" si="4"/>
        <v>GAD (Ex Servicemen)Ex Servicemen EstablishmentCHostel Supdt (Male)S8 (25500 - 81100)</v>
      </c>
      <c r="K147" s="36"/>
      <c r="L147" s="36" t="s">
        <v>238</v>
      </c>
      <c r="M147" s="38" t="s">
        <v>525</v>
      </c>
      <c r="N147" s="36" t="s">
        <v>283</v>
      </c>
      <c r="O147" s="6" t="s">
        <v>33</v>
      </c>
      <c r="P147" s="7">
        <v>12</v>
      </c>
      <c r="Q147" s="7" t="s">
        <v>34</v>
      </c>
      <c r="R147" s="8"/>
      <c r="S147" s="8"/>
      <c r="T147" s="7" t="s">
        <v>35</v>
      </c>
      <c r="U147" s="36" t="s">
        <v>35</v>
      </c>
      <c r="V147" s="38"/>
      <c r="W147" s="36"/>
      <c r="X147" s="36"/>
      <c r="Y147" s="36"/>
      <c r="Z147" s="41"/>
      <c r="AA147" s="42" t="e">
        <f>_xlfn.XLOOKUP(C147,#REF!,#REF!,"",0,1)</f>
        <v>#REF!</v>
      </c>
      <c r="AB147" s="43">
        <f t="shared" si="6"/>
        <v>0</v>
      </c>
    </row>
    <row r="148" spans="1:28" ht="91.5" thickBot="1" x14ac:dyDescent="0.3">
      <c r="A148" s="36">
        <v>147</v>
      </c>
      <c r="B148" s="36" t="s">
        <v>24</v>
      </c>
      <c r="C148" s="36" t="s">
        <v>263</v>
      </c>
      <c r="D148" s="37">
        <v>44498</v>
      </c>
      <c r="E148" s="36" t="s">
        <v>508</v>
      </c>
      <c r="F148" s="36" t="s">
        <v>509</v>
      </c>
      <c r="G148" s="36" t="s">
        <v>55</v>
      </c>
      <c r="H148" s="36" t="s">
        <v>526</v>
      </c>
      <c r="I148" s="36" t="s">
        <v>80</v>
      </c>
      <c r="J148" s="36" t="str">
        <f t="shared" si="4"/>
        <v>GAD (Ex Servicemen)Ex Servicemen EstablishmentCHostel Supdt (Female)S8 (25500 - 81100)</v>
      </c>
      <c r="K148" s="36"/>
      <c r="L148" s="36" t="s">
        <v>238</v>
      </c>
      <c r="M148" s="38" t="s">
        <v>527</v>
      </c>
      <c r="N148" s="36" t="s">
        <v>283</v>
      </c>
      <c r="O148" s="6" t="s">
        <v>33</v>
      </c>
      <c r="P148" s="7">
        <v>2</v>
      </c>
      <c r="Q148" s="7" t="s">
        <v>34</v>
      </c>
      <c r="R148" s="8"/>
      <c r="S148" s="8"/>
      <c r="T148" s="7" t="s">
        <v>35</v>
      </c>
      <c r="U148" s="36" t="s">
        <v>35</v>
      </c>
      <c r="V148" s="38"/>
      <c r="W148" s="36"/>
      <c r="X148" s="36"/>
      <c r="Y148" s="36"/>
      <c r="Z148" s="41"/>
      <c r="AA148" s="42" t="e">
        <f>_xlfn.XLOOKUP(C148,#REF!,#REF!,"",0,1)</f>
        <v>#REF!</v>
      </c>
      <c r="AB148" s="43">
        <f t="shared" si="6"/>
        <v>0</v>
      </c>
    </row>
    <row r="149" spans="1:28" ht="78.5" thickBot="1" x14ac:dyDescent="0.3">
      <c r="A149" s="36">
        <v>148</v>
      </c>
      <c r="B149" s="36" t="s">
        <v>24</v>
      </c>
      <c r="C149" s="36" t="s">
        <v>263</v>
      </c>
      <c r="D149" s="37">
        <v>44498</v>
      </c>
      <c r="E149" s="36" t="s">
        <v>508</v>
      </c>
      <c r="F149" s="36" t="s">
        <v>509</v>
      </c>
      <c r="G149" s="36" t="s">
        <v>55</v>
      </c>
      <c r="H149" s="36" t="s">
        <v>528</v>
      </c>
      <c r="I149" s="36" t="s">
        <v>80</v>
      </c>
      <c r="J149" s="36" t="str">
        <f t="shared" si="4"/>
        <v>GAD (Ex Servicemen)Ex Servicemen EstablishmentCPT InstructorS8 (25500 - 81100)</v>
      </c>
      <c r="K149" s="36"/>
      <c r="L149" s="36" t="s">
        <v>238</v>
      </c>
      <c r="M149" s="38" t="s">
        <v>529</v>
      </c>
      <c r="N149" s="36" t="s">
        <v>283</v>
      </c>
      <c r="O149" s="6" t="s">
        <v>33</v>
      </c>
      <c r="P149" s="7">
        <v>0</v>
      </c>
      <c r="Q149" s="7" t="s">
        <v>34</v>
      </c>
      <c r="R149" s="8"/>
      <c r="S149" s="8"/>
      <c r="T149" s="7" t="s">
        <v>2395</v>
      </c>
      <c r="U149" s="36" t="s">
        <v>517</v>
      </c>
      <c r="V149" s="38"/>
      <c r="W149" s="36"/>
      <c r="X149" s="36"/>
      <c r="Y149" s="36"/>
      <c r="Z149" s="41"/>
      <c r="AA149" s="42" t="e">
        <f>_xlfn.XLOOKUP(C149,#REF!,#REF!,"",0,1)</f>
        <v>#REF!</v>
      </c>
      <c r="AB149" s="43">
        <f t="shared" si="6"/>
        <v>0</v>
      </c>
    </row>
    <row r="150" spans="1:28" ht="91.5" thickBot="1" x14ac:dyDescent="0.3">
      <c r="A150" s="36">
        <v>149</v>
      </c>
      <c r="B150" s="36" t="s">
        <v>24</v>
      </c>
      <c r="C150" s="36" t="s">
        <v>263</v>
      </c>
      <c r="D150" s="37">
        <v>44498</v>
      </c>
      <c r="E150" s="36" t="s">
        <v>508</v>
      </c>
      <c r="F150" s="36" t="s">
        <v>509</v>
      </c>
      <c r="G150" s="36" t="s">
        <v>55</v>
      </c>
      <c r="H150" s="36" t="s">
        <v>530</v>
      </c>
      <c r="I150" s="36" t="s">
        <v>80</v>
      </c>
      <c r="J150" s="36" t="str">
        <f t="shared" si="4"/>
        <v>GAD (Ex Servicemen)Ex Servicemen EstablishmentCDrill InstructorS8 (25500 - 81100)</v>
      </c>
      <c r="K150" s="36"/>
      <c r="L150" s="36" t="s">
        <v>238</v>
      </c>
      <c r="M150" s="38" t="s">
        <v>531</v>
      </c>
      <c r="N150" s="36" t="s">
        <v>283</v>
      </c>
      <c r="O150" s="6" t="s">
        <v>33</v>
      </c>
      <c r="P150" s="7">
        <v>0</v>
      </c>
      <c r="Q150" s="7" t="s">
        <v>34</v>
      </c>
      <c r="R150" s="8"/>
      <c r="S150" s="8"/>
      <c r="T150" s="7" t="s">
        <v>2395</v>
      </c>
      <c r="U150" s="36" t="s">
        <v>517</v>
      </c>
      <c r="V150" s="38"/>
      <c r="W150" s="36"/>
      <c r="X150" s="36"/>
      <c r="Y150" s="36"/>
      <c r="Z150" s="41"/>
      <c r="AA150" s="42" t="e">
        <f>_xlfn.XLOOKUP(C150,#REF!,#REF!,"",0,1)</f>
        <v>#REF!</v>
      </c>
      <c r="AB150" s="43">
        <f t="shared" si="6"/>
        <v>0</v>
      </c>
    </row>
    <row r="151" spans="1:28" ht="143.5" thickBot="1" x14ac:dyDescent="0.3">
      <c r="A151" s="36">
        <v>150</v>
      </c>
      <c r="B151" s="36" t="s">
        <v>532</v>
      </c>
      <c r="C151" s="36" t="s">
        <v>263</v>
      </c>
      <c r="D151" s="37">
        <v>44770</v>
      </c>
      <c r="E151" s="36" t="s">
        <v>533</v>
      </c>
      <c r="F151" s="36" t="s">
        <v>534</v>
      </c>
      <c r="G151" s="36" t="s">
        <v>28</v>
      </c>
      <c r="H151" s="36" t="s">
        <v>535</v>
      </c>
      <c r="I151" s="36" t="s">
        <v>38</v>
      </c>
      <c r="J151" s="36" t="str">
        <f t="shared" si="4"/>
        <v>GAD (Govt. Transport, Gov. Secretariat, Sahyadri)Government Transport Service EstablishmentAControllerS20 (56100 - 177500)</v>
      </c>
      <c r="K151" s="36"/>
      <c r="L151" s="36" t="s">
        <v>238</v>
      </c>
      <c r="M151" s="38" t="s">
        <v>480</v>
      </c>
      <c r="N151" s="36"/>
      <c r="O151" s="6" t="s">
        <v>33</v>
      </c>
      <c r="P151" s="8"/>
      <c r="Q151" s="7" t="s">
        <v>34</v>
      </c>
      <c r="R151" s="8"/>
      <c r="S151" s="8"/>
      <c r="T151" s="7" t="s">
        <v>35</v>
      </c>
      <c r="U151" s="36" t="s">
        <v>35</v>
      </c>
      <c r="V151" s="38"/>
      <c r="W151" s="36"/>
      <c r="X151" s="36"/>
      <c r="Y151" s="36"/>
      <c r="Z151" s="41"/>
      <c r="AA151" s="42" t="e">
        <f>_xlfn.XLOOKUP(C151,#REF!,#REF!,"",0,1)</f>
        <v>#REF!</v>
      </c>
      <c r="AB151" s="43">
        <f t="shared" si="6"/>
        <v>0</v>
      </c>
    </row>
    <row r="152" spans="1:28" ht="208.5" thickBot="1" x14ac:dyDescent="0.3">
      <c r="A152" s="36">
        <v>151</v>
      </c>
      <c r="B152" s="36" t="s">
        <v>24</v>
      </c>
      <c r="C152" s="36" t="s">
        <v>263</v>
      </c>
      <c r="D152" s="37">
        <v>44770</v>
      </c>
      <c r="E152" s="36" t="s">
        <v>533</v>
      </c>
      <c r="F152" s="36" t="s">
        <v>534</v>
      </c>
      <c r="G152" s="36" t="s">
        <v>42</v>
      </c>
      <c r="H152" s="36" t="s">
        <v>536</v>
      </c>
      <c r="I152" s="36" t="s">
        <v>44</v>
      </c>
      <c r="J152" s="36" t="str">
        <f t="shared" si="4"/>
        <v>GAD (Govt. Transport, Gov. Secretariat, Sahyadri)Government Transport Service EstablishmentB (Gazetted)Office Superintendent / Officer SuperintendentS15 (41800 - 132300)</v>
      </c>
      <c r="K152" s="36"/>
      <c r="L152" s="36" t="s">
        <v>243</v>
      </c>
      <c r="M152" s="38" t="s">
        <v>537</v>
      </c>
      <c r="N152" s="36" t="s">
        <v>32</v>
      </c>
      <c r="O152" s="6" t="s">
        <v>33</v>
      </c>
      <c r="P152" s="8"/>
      <c r="Q152" s="7" t="s">
        <v>34</v>
      </c>
      <c r="R152" s="8"/>
      <c r="S152" s="8"/>
      <c r="T152" s="4" t="s">
        <v>3276</v>
      </c>
      <c r="U152" s="36" t="s">
        <v>35</v>
      </c>
      <c r="V152" s="38"/>
      <c r="W152" s="36"/>
      <c r="X152" s="36"/>
      <c r="Y152" s="36"/>
      <c r="Z152" s="41"/>
      <c r="AA152" s="42" t="e">
        <f>_xlfn.XLOOKUP(C152,#REF!,#REF!,"",0,1)</f>
        <v>#REF!</v>
      </c>
      <c r="AB152" s="43">
        <f t="shared" si="6"/>
        <v>0</v>
      </c>
    </row>
    <row r="153" spans="1:28" ht="195.5" thickBot="1" x14ac:dyDescent="0.3">
      <c r="A153" s="36">
        <v>152</v>
      </c>
      <c r="B153" s="36" t="s">
        <v>24</v>
      </c>
      <c r="C153" s="36" t="s">
        <v>263</v>
      </c>
      <c r="D153" s="37">
        <v>44770</v>
      </c>
      <c r="E153" s="36" t="s">
        <v>533</v>
      </c>
      <c r="F153" s="36" t="s">
        <v>534</v>
      </c>
      <c r="G153" s="36" t="s">
        <v>42</v>
      </c>
      <c r="H153" s="36" t="s">
        <v>538</v>
      </c>
      <c r="I153" s="36" t="s">
        <v>44</v>
      </c>
      <c r="J153" s="36" t="str">
        <f t="shared" si="4"/>
        <v>GAD (Govt. Transport, Gov. Secretariat, Sahyadri)Government Transport Service EstablishmentB (Gazetted)Assistant Superintendent (Workshops)S15 (41800 - 132300)</v>
      </c>
      <c r="K153" s="36"/>
      <c r="L153" s="36" t="s">
        <v>243</v>
      </c>
      <c r="M153" s="38" t="s">
        <v>539</v>
      </c>
      <c r="N153" s="36" t="s">
        <v>32</v>
      </c>
      <c r="O153" s="6" t="s">
        <v>33</v>
      </c>
      <c r="P153" s="8"/>
      <c r="Q153" s="7" t="s">
        <v>34</v>
      </c>
      <c r="R153" s="8"/>
      <c r="S153" s="8"/>
      <c r="T153" s="4" t="s">
        <v>3276</v>
      </c>
      <c r="U153" s="36" t="s">
        <v>35</v>
      </c>
      <c r="V153" s="38"/>
      <c r="W153" s="36"/>
      <c r="X153" s="36"/>
      <c r="Y153" s="36"/>
      <c r="Z153" s="41"/>
      <c r="AA153" s="42" t="e">
        <f>_xlfn.XLOOKUP(C153,#REF!,#REF!,"",0,1)</f>
        <v>#REF!</v>
      </c>
      <c r="AB153" s="43">
        <f t="shared" si="6"/>
        <v>0</v>
      </c>
    </row>
    <row r="154" spans="1:28" ht="221.5" thickBot="1" x14ac:dyDescent="0.3">
      <c r="A154" s="36">
        <v>153</v>
      </c>
      <c r="B154" s="36" t="s">
        <v>532</v>
      </c>
      <c r="C154" s="36" t="s">
        <v>263</v>
      </c>
      <c r="D154" s="37">
        <v>44770</v>
      </c>
      <c r="E154" s="36" t="s">
        <v>533</v>
      </c>
      <c r="F154" s="36" t="s">
        <v>534</v>
      </c>
      <c r="G154" s="36" t="s">
        <v>42</v>
      </c>
      <c r="H154" s="36" t="s">
        <v>540</v>
      </c>
      <c r="I154" s="36" t="s">
        <v>44</v>
      </c>
      <c r="J154" s="36" t="str">
        <f t="shared" si="4"/>
        <v>GAD (Govt. Transport, Gov. Secretariat, Sahyadri)Government Transport Service EstablishmentB (Gazetted)Assistant Accounts Officer / Assistant Accounts OfficerS15 (41800 - 132300)</v>
      </c>
      <c r="K154" s="36"/>
      <c r="L154" s="36"/>
      <c r="M154" s="38" t="s">
        <v>541</v>
      </c>
      <c r="N154" s="36"/>
      <c r="O154" s="6" t="s">
        <v>33</v>
      </c>
      <c r="P154" s="8"/>
      <c r="Q154" s="7" t="s">
        <v>34</v>
      </c>
      <c r="R154" s="8"/>
      <c r="S154" s="8"/>
      <c r="T154" s="4" t="s">
        <v>3276</v>
      </c>
      <c r="U154" s="36" t="s">
        <v>35</v>
      </c>
      <c r="V154" s="38"/>
      <c r="W154" s="36"/>
      <c r="X154" s="36"/>
      <c r="Y154" s="36"/>
      <c r="Z154" s="41"/>
      <c r="AA154" s="42" t="e">
        <f>_xlfn.XLOOKUP(C154,#REF!,#REF!,"",0,1)</f>
        <v>#REF!</v>
      </c>
      <c r="AB154" s="43">
        <f t="shared" si="6"/>
        <v>0</v>
      </c>
    </row>
    <row r="155" spans="1:28" ht="169.5" thickBot="1" x14ac:dyDescent="0.3">
      <c r="A155" s="36">
        <v>154</v>
      </c>
      <c r="B155" s="36" t="s">
        <v>532</v>
      </c>
      <c r="C155" s="36" t="s">
        <v>263</v>
      </c>
      <c r="D155" s="37">
        <v>44770</v>
      </c>
      <c r="E155" s="36" t="s">
        <v>533</v>
      </c>
      <c r="F155" s="36" t="s">
        <v>534</v>
      </c>
      <c r="G155" s="36" t="s">
        <v>42</v>
      </c>
      <c r="H155" s="36" t="s">
        <v>350</v>
      </c>
      <c r="I155" s="36" t="s">
        <v>54</v>
      </c>
      <c r="J155" s="36" t="str">
        <f t="shared" si="4"/>
        <v>GAD (Govt. Transport, Gov. Secretariat, Sahyadri)Government Transport Service EstablishmentB (Gazetted)Accounts OfficerS16 (44900 - 142400)</v>
      </c>
      <c r="K155" s="36"/>
      <c r="L155" s="36"/>
      <c r="M155" s="38" t="s">
        <v>542</v>
      </c>
      <c r="N155" s="36"/>
      <c r="O155" s="6" t="s">
        <v>33</v>
      </c>
      <c r="P155" s="8"/>
      <c r="Q155" s="7" t="s">
        <v>34</v>
      </c>
      <c r="R155" s="8"/>
      <c r="S155" s="8"/>
      <c r="T155" s="4" t="s">
        <v>3276</v>
      </c>
      <c r="U155" s="36" t="s">
        <v>35</v>
      </c>
      <c r="V155" s="38"/>
      <c r="W155" s="36"/>
      <c r="X155" s="36"/>
      <c r="Y155" s="36"/>
      <c r="Z155" s="41"/>
      <c r="AA155" s="42" t="e">
        <f>_xlfn.XLOOKUP(C155,#REF!,#REF!,"",0,1)</f>
        <v>#REF!</v>
      </c>
      <c r="AB155" s="43">
        <f t="shared" si="6"/>
        <v>0</v>
      </c>
    </row>
    <row r="156" spans="1:28" ht="143.5" thickBot="1" x14ac:dyDescent="0.3">
      <c r="A156" s="36">
        <v>155</v>
      </c>
      <c r="B156" s="36" t="s">
        <v>24</v>
      </c>
      <c r="C156" s="36" t="s">
        <v>263</v>
      </c>
      <c r="D156" s="37">
        <v>44770</v>
      </c>
      <c r="E156" s="36" t="s">
        <v>533</v>
      </c>
      <c r="F156" s="36" t="s">
        <v>534</v>
      </c>
      <c r="G156" s="36" t="s">
        <v>55</v>
      </c>
      <c r="H156" s="36" t="s">
        <v>543</v>
      </c>
      <c r="I156" s="36" t="s">
        <v>74</v>
      </c>
      <c r="J156" s="36" t="str">
        <f t="shared" si="4"/>
        <v>GAD (Govt. Transport, Gov. Secretariat, Sahyadri)Government Transport Service EstablishmentCClerk Cum TypistS6 (19900 - 63200)</v>
      </c>
      <c r="K156" s="36" t="s">
        <v>75</v>
      </c>
      <c r="L156" s="36" t="s">
        <v>228</v>
      </c>
      <c r="M156" s="38" t="s">
        <v>544</v>
      </c>
      <c r="N156" s="36" t="s">
        <v>70</v>
      </c>
      <c r="O156" s="6" t="s">
        <v>33</v>
      </c>
      <c r="P156" s="7">
        <v>2</v>
      </c>
      <c r="Q156" s="7" t="s">
        <v>34</v>
      </c>
      <c r="R156" s="8"/>
      <c r="S156" s="8"/>
      <c r="T156" s="7" t="s">
        <v>35</v>
      </c>
      <c r="U156" s="36" t="s">
        <v>35</v>
      </c>
      <c r="V156" s="38" t="s">
        <v>125</v>
      </c>
      <c r="W156" s="36"/>
      <c r="X156" s="36" t="s">
        <v>77</v>
      </c>
      <c r="Y156" s="36" t="s">
        <v>78</v>
      </c>
      <c r="Z156" s="41"/>
      <c r="AA156" s="42" t="e">
        <f>_xlfn.XLOOKUP(C156,#REF!,#REF!,"",0,1)</f>
        <v>#REF!</v>
      </c>
      <c r="AB156" s="43">
        <f t="shared" si="6"/>
        <v>0</v>
      </c>
    </row>
    <row r="157" spans="1:28" ht="156.5" thickBot="1" x14ac:dyDescent="0.3">
      <c r="A157" s="36">
        <v>156</v>
      </c>
      <c r="B157" s="36" t="s">
        <v>24</v>
      </c>
      <c r="C157" s="36" t="s">
        <v>263</v>
      </c>
      <c r="D157" s="37">
        <v>44770</v>
      </c>
      <c r="E157" s="36" t="s">
        <v>533</v>
      </c>
      <c r="F157" s="36" t="s">
        <v>534</v>
      </c>
      <c r="G157" s="36" t="s">
        <v>55</v>
      </c>
      <c r="H157" s="36" t="s">
        <v>545</v>
      </c>
      <c r="I157" s="36" t="s">
        <v>74</v>
      </c>
      <c r="J157" s="36" t="str">
        <f t="shared" si="4"/>
        <v>GAD (Govt. Transport, Gov. Secretariat, Sahyadri)Government Transport Service EstablishmentCRegistration Clerk / Booking ClerkS6 (19900 - 63200)</v>
      </c>
      <c r="K157" s="36" t="s">
        <v>75</v>
      </c>
      <c r="L157" s="36" t="s">
        <v>228</v>
      </c>
      <c r="M157" s="38" t="s">
        <v>546</v>
      </c>
      <c r="N157" s="36" t="s">
        <v>70</v>
      </c>
      <c r="O157" s="6" t="s">
        <v>33</v>
      </c>
      <c r="P157" s="7">
        <v>4</v>
      </c>
      <c r="Q157" s="7" t="s">
        <v>34</v>
      </c>
      <c r="R157" s="8"/>
      <c r="S157" s="8"/>
      <c r="T157" s="7" t="s">
        <v>35</v>
      </c>
      <c r="U157" s="36" t="s">
        <v>35</v>
      </c>
      <c r="V157" s="38" t="s">
        <v>547</v>
      </c>
      <c r="W157" s="36"/>
      <c r="X157" s="36" t="s">
        <v>548</v>
      </c>
      <c r="Y157" s="36" t="s">
        <v>549</v>
      </c>
      <c r="Z157" s="41"/>
      <c r="AA157" s="42" t="e">
        <f>_xlfn.XLOOKUP(C157,#REF!,#REF!,"",0,1)</f>
        <v>#REF!</v>
      </c>
      <c r="AB157" s="43">
        <f t="shared" si="6"/>
        <v>0</v>
      </c>
    </row>
    <row r="158" spans="1:28" ht="143.5" thickBot="1" x14ac:dyDescent="0.3">
      <c r="A158" s="36">
        <v>157</v>
      </c>
      <c r="B158" s="36" t="s">
        <v>24</v>
      </c>
      <c r="C158" s="36" t="s">
        <v>263</v>
      </c>
      <c r="D158" s="37">
        <v>44770</v>
      </c>
      <c r="E158" s="36" t="s">
        <v>533</v>
      </c>
      <c r="F158" s="36" t="s">
        <v>534</v>
      </c>
      <c r="G158" s="36" t="s">
        <v>55</v>
      </c>
      <c r="H158" s="36" t="s">
        <v>550</v>
      </c>
      <c r="I158" s="36" t="s">
        <v>74</v>
      </c>
      <c r="J158" s="36" t="str">
        <f t="shared" si="4"/>
        <v>GAD (Govt. Transport, Gov. Secretariat, Sahyadri)Government Transport Service EstablishmentCStore AssistantS6 (19900 - 63200)</v>
      </c>
      <c r="K158" s="36" t="s">
        <v>288</v>
      </c>
      <c r="L158" s="36" t="s">
        <v>228</v>
      </c>
      <c r="M158" s="38" t="s">
        <v>551</v>
      </c>
      <c r="N158" s="36" t="s">
        <v>199</v>
      </c>
      <c r="O158" s="6" t="s">
        <v>33</v>
      </c>
      <c r="P158" s="7">
        <v>1</v>
      </c>
      <c r="Q158" s="7" t="s">
        <v>34</v>
      </c>
      <c r="R158" s="8"/>
      <c r="S158" s="8"/>
      <c r="T158" s="7" t="s">
        <v>2395</v>
      </c>
      <c r="U158" s="36" t="s">
        <v>35</v>
      </c>
      <c r="V158" s="38" t="s">
        <v>552</v>
      </c>
      <c r="W158" s="36"/>
      <c r="X158" s="36" t="s">
        <v>553</v>
      </c>
      <c r="Y158" s="36" t="s">
        <v>554</v>
      </c>
      <c r="Z158" s="41"/>
      <c r="AA158" s="42" t="e">
        <f>_xlfn.XLOOKUP(C158,#REF!,#REF!,"",0,1)</f>
        <v>#REF!</v>
      </c>
      <c r="AB158" s="43">
        <f t="shared" si="6"/>
        <v>0</v>
      </c>
    </row>
    <row r="159" spans="1:28" ht="156.5" thickBot="1" x14ac:dyDescent="0.3">
      <c r="A159" s="36">
        <v>158</v>
      </c>
      <c r="B159" s="36" t="s">
        <v>24</v>
      </c>
      <c r="C159" s="36" t="s">
        <v>263</v>
      </c>
      <c r="D159" s="37">
        <v>44770</v>
      </c>
      <c r="E159" s="36" t="s">
        <v>533</v>
      </c>
      <c r="F159" s="36" t="s">
        <v>534</v>
      </c>
      <c r="G159" s="36" t="s">
        <v>55</v>
      </c>
      <c r="H159" s="36" t="s">
        <v>555</v>
      </c>
      <c r="I159" s="36" t="s">
        <v>74</v>
      </c>
      <c r="J159" s="36" t="str">
        <f t="shared" si="4"/>
        <v>GAD (Govt. Transport, Gov. Secretariat, Sahyadri)Government Transport Service EstablishmentCAssistant MechanicS6 (19900 - 63200)</v>
      </c>
      <c r="K159" s="36" t="s">
        <v>127</v>
      </c>
      <c r="L159" s="36" t="s">
        <v>225</v>
      </c>
      <c r="M159" s="38" t="s">
        <v>556</v>
      </c>
      <c r="N159" s="36" t="s">
        <v>129</v>
      </c>
      <c r="O159" s="6" t="s">
        <v>33</v>
      </c>
      <c r="P159" s="7">
        <v>2</v>
      </c>
      <c r="Q159" s="7" t="s">
        <v>34</v>
      </c>
      <c r="R159" s="8"/>
      <c r="S159" s="8"/>
      <c r="T159" s="7" t="s">
        <v>35</v>
      </c>
      <c r="U159" s="36" t="s">
        <v>35</v>
      </c>
      <c r="V159" s="38" t="s">
        <v>557</v>
      </c>
      <c r="W159" s="36"/>
      <c r="X159" s="36" t="s">
        <v>558</v>
      </c>
      <c r="Y159" s="36" t="s">
        <v>559</v>
      </c>
      <c r="Z159" s="41"/>
      <c r="AA159" s="42" t="e">
        <f>_xlfn.XLOOKUP(C159,#REF!,#REF!,"",0,1)</f>
        <v>#REF!</v>
      </c>
      <c r="AB159" s="43">
        <f t="shared" si="6"/>
        <v>0</v>
      </c>
    </row>
    <row r="160" spans="1:28" ht="156.5" thickBot="1" x14ac:dyDescent="0.3">
      <c r="A160" s="36">
        <v>159</v>
      </c>
      <c r="B160" s="36" t="s">
        <v>24</v>
      </c>
      <c r="C160" s="36" t="s">
        <v>263</v>
      </c>
      <c r="D160" s="37">
        <v>44770</v>
      </c>
      <c r="E160" s="36" t="s">
        <v>533</v>
      </c>
      <c r="F160" s="36" t="s">
        <v>534</v>
      </c>
      <c r="G160" s="36" t="s">
        <v>55</v>
      </c>
      <c r="H160" s="36" t="s">
        <v>560</v>
      </c>
      <c r="I160" s="36" t="s">
        <v>74</v>
      </c>
      <c r="J160" s="36" t="str">
        <f t="shared" si="4"/>
        <v>GAD (Govt. Transport, Gov. Secretariat, Sahyadri)Government Transport Service EstablishmentCElectric and airconditioned/S6 (19900 - 63200)</v>
      </c>
      <c r="K160" s="36" t="s">
        <v>127</v>
      </c>
      <c r="L160" s="36" t="s">
        <v>225</v>
      </c>
      <c r="M160" s="38" t="s">
        <v>561</v>
      </c>
      <c r="N160" s="36" t="s">
        <v>129</v>
      </c>
      <c r="O160" s="6" t="s">
        <v>33</v>
      </c>
      <c r="P160" s="7">
        <v>2</v>
      </c>
      <c r="Q160" s="7" t="s">
        <v>34</v>
      </c>
      <c r="R160" s="8"/>
      <c r="S160" s="8"/>
      <c r="T160" s="7" t="s">
        <v>35</v>
      </c>
      <c r="U160" s="36" t="s">
        <v>35</v>
      </c>
      <c r="V160" s="38" t="s">
        <v>562</v>
      </c>
      <c r="W160" s="36"/>
      <c r="X160" s="36" t="s">
        <v>553</v>
      </c>
      <c r="Y160" s="36" t="s">
        <v>563</v>
      </c>
      <c r="Z160" s="41"/>
      <c r="AA160" s="42" t="e">
        <f>_xlfn.XLOOKUP(C160,#REF!,#REF!,"",0,1)</f>
        <v>#REF!</v>
      </c>
      <c r="AB160" s="43">
        <f t="shared" si="6"/>
        <v>0</v>
      </c>
    </row>
    <row r="161" spans="1:28" ht="143.5" thickBot="1" x14ac:dyDescent="0.3">
      <c r="A161" s="36">
        <v>160</v>
      </c>
      <c r="B161" s="36" t="s">
        <v>24</v>
      </c>
      <c r="C161" s="36" t="s">
        <v>263</v>
      </c>
      <c r="D161" s="37">
        <v>44770</v>
      </c>
      <c r="E161" s="36" t="s">
        <v>533</v>
      </c>
      <c r="F161" s="36" t="s">
        <v>534</v>
      </c>
      <c r="G161" s="36" t="s">
        <v>55</v>
      </c>
      <c r="H161" s="36" t="s">
        <v>564</v>
      </c>
      <c r="I161" s="36" t="s">
        <v>74</v>
      </c>
      <c r="J161" s="36" t="str">
        <f t="shared" si="4"/>
        <v>GAD (Govt. Transport, Gov. Secretariat, Sahyadri)Government Transport Service EstablishmentCCarpentercumbody repairerS6 (19900 - 63200)</v>
      </c>
      <c r="K161" s="36" t="s">
        <v>127</v>
      </c>
      <c r="L161" s="36" t="s">
        <v>225</v>
      </c>
      <c r="M161" s="38" t="s">
        <v>565</v>
      </c>
      <c r="N161" s="36" t="s">
        <v>129</v>
      </c>
      <c r="O161" s="6" t="s">
        <v>33</v>
      </c>
      <c r="P161" s="7">
        <v>1</v>
      </c>
      <c r="Q161" s="7" t="s">
        <v>34</v>
      </c>
      <c r="R161" s="8"/>
      <c r="S161" s="8"/>
      <c r="T161" s="7" t="s">
        <v>2395</v>
      </c>
      <c r="U161" s="36" t="s">
        <v>35</v>
      </c>
      <c r="V161" s="38" t="s">
        <v>566</v>
      </c>
      <c r="W161" s="36"/>
      <c r="X161" s="36" t="s">
        <v>553</v>
      </c>
      <c r="Y161" s="36" t="s">
        <v>567</v>
      </c>
      <c r="Z161" s="41"/>
      <c r="AA161" s="42" t="e">
        <f>_xlfn.XLOOKUP(C161,#REF!,#REF!,"",0,1)</f>
        <v>#REF!</v>
      </c>
      <c r="AB161" s="43">
        <f t="shared" si="6"/>
        <v>0</v>
      </c>
    </row>
    <row r="162" spans="1:28" ht="143.5" thickBot="1" x14ac:dyDescent="0.3">
      <c r="A162" s="36">
        <v>161</v>
      </c>
      <c r="B162" s="36" t="s">
        <v>24</v>
      </c>
      <c r="C162" s="36" t="s">
        <v>263</v>
      </c>
      <c r="D162" s="37">
        <v>44770</v>
      </c>
      <c r="E162" s="36" t="s">
        <v>533</v>
      </c>
      <c r="F162" s="36" t="s">
        <v>534</v>
      </c>
      <c r="G162" s="36" t="s">
        <v>55</v>
      </c>
      <c r="H162" s="36" t="s">
        <v>568</v>
      </c>
      <c r="I162" s="36" t="s">
        <v>74</v>
      </c>
      <c r="J162" s="36" t="str">
        <f t="shared" si="4"/>
        <v>GAD (Govt. Transport, Gov. Secretariat, Sahyadri)Government Transport Service EstablishmentCAssistant TinsmithS6 (19900 - 63200)</v>
      </c>
      <c r="K162" s="36" t="s">
        <v>127</v>
      </c>
      <c r="L162" s="36" t="s">
        <v>225</v>
      </c>
      <c r="M162" s="38" t="s">
        <v>569</v>
      </c>
      <c r="N162" s="36" t="s">
        <v>129</v>
      </c>
      <c r="O162" s="6" t="s">
        <v>33</v>
      </c>
      <c r="P162" s="7">
        <v>1</v>
      </c>
      <c r="Q162" s="7" t="s">
        <v>34</v>
      </c>
      <c r="R162" s="8"/>
      <c r="S162" s="8"/>
      <c r="T162" s="7" t="s">
        <v>2395</v>
      </c>
      <c r="U162" s="36" t="s">
        <v>35</v>
      </c>
      <c r="V162" s="38" t="s">
        <v>570</v>
      </c>
      <c r="W162" s="36"/>
      <c r="X162" s="36" t="s">
        <v>571</v>
      </c>
      <c r="Y162" s="36" t="s">
        <v>567</v>
      </c>
      <c r="Z162" s="41"/>
      <c r="AA162" s="42" t="e">
        <f>_xlfn.XLOOKUP(C162,#REF!,#REF!,"",0,1)</f>
        <v>#REF!</v>
      </c>
      <c r="AB162" s="43">
        <f t="shared" si="6"/>
        <v>0</v>
      </c>
    </row>
    <row r="163" spans="1:28" ht="130.5" thickBot="1" x14ac:dyDescent="0.3">
      <c r="A163" s="44">
        <v>162</v>
      </c>
      <c r="B163" s="44" t="s">
        <v>24</v>
      </c>
      <c r="C163" s="36" t="s">
        <v>263</v>
      </c>
      <c r="D163" s="37">
        <v>44770</v>
      </c>
      <c r="E163" s="44" t="s">
        <v>533</v>
      </c>
      <c r="F163" s="44" t="s">
        <v>534</v>
      </c>
      <c r="G163" s="44" t="s">
        <v>55</v>
      </c>
      <c r="H163" s="44" t="s">
        <v>572</v>
      </c>
      <c r="I163" s="44" t="s">
        <v>74</v>
      </c>
      <c r="J163" s="44" t="str">
        <f t="shared" si="4"/>
        <v>GAD (Govt. Transport, Gov. Secretariat, Sahyadri)Government Transport Service EstablishmentCTime KeeperS6 (19900 - 63200)</v>
      </c>
      <c r="K163" s="44"/>
      <c r="L163" s="44" t="s">
        <v>261</v>
      </c>
      <c r="M163" s="45" t="s">
        <v>573</v>
      </c>
      <c r="N163" s="44" t="s">
        <v>113</v>
      </c>
      <c r="O163" s="11" t="s">
        <v>33</v>
      </c>
      <c r="P163" s="13"/>
      <c r="Q163" s="12" t="s">
        <v>34</v>
      </c>
      <c r="R163" s="13"/>
      <c r="S163" s="13"/>
      <c r="T163" s="4" t="s">
        <v>3276</v>
      </c>
      <c r="U163" s="44" t="s">
        <v>35</v>
      </c>
      <c r="V163" s="45"/>
      <c r="W163" s="44"/>
      <c r="X163" s="44"/>
      <c r="Y163" s="44"/>
      <c r="Z163" s="41"/>
      <c r="AA163" s="42" t="e">
        <f>_xlfn.XLOOKUP(C163,#REF!,#REF!,"",0,1)</f>
        <v>#REF!</v>
      </c>
      <c r="AB163" s="43">
        <f t="shared" si="6"/>
        <v>0</v>
      </c>
    </row>
    <row r="164" spans="1:28" ht="143.5" thickBot="1" x14ac:dyDescent="0.3">
      <c r="A164" s="36">
        <v>163</v>
      </c>
      <c r="B164" s="36" t="s">
        <v>24</v>
      </c>
      <c r="C164" s="36" t="s">
        <v>263</v>
      </c>
      <c r="D164" s="37">
        <v>44770</v>
      </c>
      <c r="E164" s="36" t="s">
        <v>533</v>
      </c>
      <c r="F164" s="36" t="s">
        <v>534</v>
      </c>
      <c r="G164" s="36" t="s">
        <v>55</v>
      </c>
      <c r="H164" s="36" t="s">
        <v>574</v>
      </c>
      <c r="I164" s="36" t="s">
        <v>169</v>
      </c>
      <c r="J164" s="36" t="str">
        <f t="shared" si="4"/>
        <v>GAD (Govt. Transport, Gov. Secretariat, Sahyadri)Government Transport Service EstablishmentCBhandarpal/ Store KeeperS7 (21700 - 69100)</v>
      </c>
      <c r="K164" s="36" t="s">
        <v>288</v>
      </c>
      <c r="L164" s="36" t="s">
        <v>228</v>
      </c>
      <c r="M164" s="38" t="s">
        <v>575</v>
      </c>
      <c r="N164" s="36" t="s">
        <v>199</v>
      </c>
      <c r="O164" s="6" t="s">
        <v>83</v>
      </c>
      <c r="P164" s="7">
        <v>1</v>
      </c>
      <c r="Q164" s="7" t="s">
        <v>34</v>
      </c>
      <c r="R164" s="8"/>
      <c r="S164" s="8"/>
      <c r="T164" s="7" t="s">
        <v>2395</v>
      </c>
      <c r="U164" s="36" t="s">
        <v>35</v>
      </c>
      <c r="V164" s="38" t="s">
        <v>576</v>
      </c>
      <c r="W164" s="36"/>
      <c r="X164" s="36" t="s">
        <v>553</v>
      </c>
      <c r="Y164" s="36" t="s">
        <v>563</v>
      </c>
      <c r="Z164" s="41"/>
      <c r="AA164" s="42" t="e">
        <f>_xlfn.XLOOKUP(C164,#REF!,#REF!,"",0,1)</f>
        <v>#REF!</v>
      </c>
      <c r="AB164" s="43">
        <f t="shared" si="6"/>
        <v>0</v>
      </c>
    </row>
    <row r="165" spans="1:28" ht="156.5" thickBot="1" x14ac:dyDescent="0.3">
      <c r="A165" s="36">
        <v>164</v>
      </c>
      <c r="B165" s="36" t="s">
        <v>24</v>
      </c>
      <c r="C165" s="36" t="s">
        <v>263</v>
      </c>
      <c r="D165" s="37">
        <v>44770</v>
      </c>
      <c r="E165" s="36" t="s">
        <v>533</v>
      </c>
      <c r="F165" s="36" t="s">
        <v>534</v>
      </c>
      <c r="G165" s="36" t="s">
        <v>55</v>
      </c>
      <c r="H165" s="36" t="s">
        <v>577</v>
      </c>
      <c r="I165" s="36" t="s">
        <v>80</v>
      </c>
      <c r="J165" s="36" t="str">
        <f t="shared" si="4"/>
        <v>GAD (Govt. Transport, Gov. Secretariat, Sahyadri)Government Transport Service EstablishmentCHead Mechanic / Head MechanicS8 (25500 - 81100)</v>
      </c>
      <c r="K165" s="36" t="s">
        <v>127</v>
      </c>
      <c r="L165" s="36" t="s">
        <v>225</v>
      </c>
      <c r="M165" s="38" t="s">
        <v>578</v>
      </c>
      <c r="N165" s="36" t="s">
        <v>129</v>
      </c>
      <c r="O165" s="6" t="s">
        <v>83</v>
      </c>
      <c r="P165" s="7">
        <v>1</v>
      </c>
      <c r="Q165" s="7" t="s">
        <v>34</v>
      </c>
      <c r="R165" s="8"/>
      <c r="S165" s="8"/>
      <c r="T165" s="7" t="s">
        <v>2395</v>
      </c>
      <c r="U165" s="36" t="s">
        <v>35</v>
      </c>
      <c r="V165" s="38" t="s">
        <v>579</v>
      </c>
      <c r="W165" s="36"/>
      <c r="X165" s="36" t="s">
        <v>580</v>
      </c>
      <c r="Y165" s="36" t="s">
        <v>559</v>
      </c>
      <c r="Z165" s="41"/>
      <c r="AA165" s="42" t="e">
        <f>_xlfn.XLOOKUP(C165,#REF!,#REF!,"",0,1)</f>
        <v>#REF!</v>
      </c>
      <c r="AB165" s="43">
        <f t="shared" si="6"/>
        <v>0</v>
      </c>
    </row>
    <row r="166" spans="1:28" ht="130.5" thickBot="1" x14ac:dyDescent="0.3">
      <c r="A166" s="36">
        <v>165</v>
      </c>
      <c r="B166" s="36" t="s">
        <v>24</v>
      </c>
      <c r="C166" s="36" t="s">
        <v>263</v>
      </c>
      <c r="D166" s="37">
        <v>44770</v>
      </c>
      <c r="E166" s="36" t="s">
        <v>533</v>
      </c>
      <c r="F166" s="36" t="s">
        <v>534</v>
      </c>
      <c r="G166" s="36" t="s">
        <v>55</v>
      </c>
      <c r="H166" s="36" t="s">
        <v>581</v>
      </c>
      <c r="I166" s="36" t="s">
        <v>80</v>
      </c>
      <c r="J166" s="36" t="str">
        <f t="shared" si="4"/>
        <v>GAD (Govt. Transport, Gov. Secretariat, Sahyadri)Government Transport Service EstablishmentCJoinerS8 (25500 - 81100)</v>
      </c>
      <c r="K166" s="36" t="s">
        <v>127</v>
      </c>
      <c r="L166" s="36" t="s">
        <v>225</v>
      </c>
      <c r="M166" s="38" t="s">
        <v>582</v>
      </c>
      <c r="N166" s="36" t="s">
        <v>129</v>
      </c>
      <c r="O166" s="6" t="s">
        <v>33</v>
      </c>
      <c r="P166" s="7">
        <v>1</v>
      </c>
      <c r="Q166" s="7" t="s">
        <v>34</v>
      </c>
      <c r="R166" s="8"/>
      <c r="S166" s="8"/>
      <c r="T166" s="7" t="s">
        <v>2395</v>
      </c>
      <c r="U166" s="36" t="s">
        <v>35</v>
      </c>
      <c r="V166" s="38" t="s">
        <v>583</v>
      </c>
      <c r="W166" s="36"/>
      <c r="X166" s="36" t="s">
        <v>553</v>
      </c>
      <c r="Y166" s="36" t="s">
        <v>567</v>
      </c>
      <c r="Z166" s="41"/>
      <c r="AA166" s="42" t="e">
        <f>_xlfn.XLOOKUP(C166,#REF!,#REF!,"",0,1)</f>
        <v>#REF!</v>
      </c>
      <c r="AB166" s="43">
        <f t="shared" si="6"/>
        <v>0</v>
      </c>
    </row>
    <row r="167" spans="1:28" ht="130.5" thickBot="1" x14ac:dyDescent="0.3">
      <c r="A167" s="36">
        <v>166</v>
      </c>
      <c r="B167" s="36" t="s">
        <v>584</v>
      </c>
      <c r="C167" s="36" t="s">
        <v>263</v>
      </c>
      <c r="D167" s="37">
        <v>44770</v>
      </c>
      <c r="E167" s="36" t="s">
        <v>533</v>
      </c>
      <c r="F167" s="36" t="s">
        <v>534</v>
      </c>
      <c r="G167" s="36" t="s">
        <v>55</v>
      </c>
      <c r="H167" s="36" t="s">
        <v>585</v>
      </c>
      <c r="I167" s="36" t="s">
        <v>80</v>
      </c>
      <c r="J167" s="36" t="str">
        <f t="shared" si="4"/>
        <v>GAD (Govt. Transport, Gov. Secretariat, Sahyadri)Government Transport Service EstablishmentCTinsmithS8 (25500 - 81100)</v>
      </c>
      <c r="K167" s="36" t="s">
        <v>586</v>
      </c>
      <c r="L167" s="36" t="s">
        <v>225</v>
      </c>
      <c r="M167" s="38" t="s">
        <v>587</v>
      </c>
      <c r="N167" s="36" t="s">
        <v>129</v>
      </c>
      <c r="O167" s="6" t="s">
        <v>33</v>
      </c>
      <c r="P167" s="7">
        <v>1</v>
      </c>
      <c r="Q167" s="7" t="s">
        <v>34</v>
      </c>
      <c r="R167" s="8"/>
      <c r="S167" s="8"/>
      <c r="T167" s="7" t="s">
        <v>2395</v>
      </c>
      <c r="U167" s="36" t="s">
        <v>35</v>
      </c>
      <c r="V167" s="38" t="s">
        <v>588</v>
      </c>
      <c r="W167" s="36"/>
      <c r="X167" s="36" t="s">
        <v>589</v>
      </c>
      <c r="Y167" s="36" t="s">
        <v>567</v>
      </c>
      <c r="Z167" s="41"/>
      <c r="AA167" s="42" t="e">
        <f>_xlfn.XLOOKUP(C167,#REF!,#REF!,"",0,1)</f>
        <v>#REF!</v>
      </c>
      <c r="AB167" s="43">
        <f t="shared" si="6"/>
        <v>0</v>
      </c>
    </row>
    <row r="168" spans="1:28" ht="130.5" thickBot="1" x14ac:dyDescent="0.3">
      <c r="A168" s="44">
        <v>167</v>
      </c>
      <c r="B168" s="44" t="s">
        <v>24</v>
      </c>
      <c r="C168" s="36" t="s">
        <v>263</v>
      </c>
      <c r="D168" s="37">
        <v>44770</v>
      </c>
      <c r="E168" s="44" t="s">
        <v>533</v>
      </c>
      <c r="F168" s="44" t="s">
        <v>534</v>
      </c>
      <c r="G168" s="44" t="s">
        <v>55</v>
      </c>
      <c r="H168" s="44" t="s">
        <v>590</v>
      </c>
      <c r="I168" s="44" t="s">
        <v>80</v>
      </c>
      <c r="J168" s="44" t="str">
        <f t="shared" si="4"/>
        <v>GAD (Govt. Transport, Gov. Secretariat, Sahyadri)Government Transport Service EstablishmentCUpholsterS8 (25500 - 81100)</v>
      </c>
      <c r="K168" s="44"/>
      <c r="L168" s="44" t="s">
        <v>261</v>
      </c>
      <c r="M168" s="45" t="s">
        <v>591</v>
      </c>
      <c r="N168" s="44" t="s">
        <v>113</v>
      </c>
      <c r="O168" s="11" t="s">
        <v>33</v>
      </c>
      <c r="P168" s="12">
        <v>0</v>
      </c>
      <c r="Q168" s="12" t="s">
        <v>34</v>
      </c>
      <c r="R168" s="13"/>
      <c r="S168" s="13"/>
      <c r="T168" s="4" t="s">
        <v>3276</v>
      </c>
      <c r="U168" s="44" t="s">
        <v>35</v>
      </c>
      <c r="V168" s="45"/>
      <c r="W168" s="44"/>
      <c r="X168" s="44"/>
      <c r="Y168" s="44"/>
      <c r="Z168" s="41"/>
      <c r="AA168" s="42" t="e">
        <f>_xlfn.XLOOKUP(C168,#REF!,#REF!,"",0,1)</f>
        <v>#REF!</v>
      </c>
      <c r="AB168" s="43">
        <f t="shared" si="6"/>
        <v>0</v>
      </c>
    </row>
    <row r="169" spans="1:28" ht="143.5" thickBot="1" x14ac:dyDescent="0.3">
      <c r="A169" s="36">
        <v>168</v>
      </c>
      <c r="B169" s="36" t="s">
        <v>24</v>
      </c>
      <c r="C169" s="36" t="s">
        <v>263</v>
      </c>
      <c r="D169" s="37">
        <v>45873</v>
      </c>
      <c r="E169" s="36" t="s">
        <v>533</v>
      </c>
      <c r="F169" s="36" t="s">
        <v>592</v>
      </c>
      <c r="G169" s="36" t="s">
        <v>28</v>
      </c>
      <c r="H169" s="36" t="s">
        <v>593</v>
      </c>
      <c r="I169" s="36" t="s">
        <v>242</v>
      </c>
      <c r="J169" s="36" t="str">
        <f t="shared" si="4"/>
        <v>GAD (Govt. Transport, Gov. Secretariat, Sahyadri)Governor's Secretariat EstablishmentAOfficer on special dutyS23 (67700 - 208700)</v>
      </c>
      <c r="K169" s="36"/>
      <c r="L169" s="48" t="s">
        <v>243</v>
      </c>
      <c r="M169" s="38" t="s">
        <v>594</v>
      </c>
      <c r="N169" s="36" t="s">
        <v>595</v>
      </c>
      <c r="O169" s="6" t="s">
        <v>33</v>
      </c>
      <c r="P169" s="7">
        <v>0</v>
      </c>
      <c r="Q169" s="7" t="s">
        <v>34</v>
      </c>
      <c r="R169" s="8"/>
      <c r="S169" s="8"/>
      <c r="T169" s="4" t="s">
        <v>3276</v>
      </c>
      <c r="U169" s="36" t="s">
        <v>596</v>
      </c>
      <c r="V169" s="38"/>
      <c r="W169" s="36"/>
      <c r="X169" s="36"/>
      <c r="Y169" s="36"/>
      <c r="Z169" s="41"/>
      <c r="AA169" s="42" t="e">
        <f>_xlfn.XLOOKUP(C169,#REF!,#REF!,"",0,1)</f>
        <v>#REF!</v>
      </c>
      <c r="AB169" s="43">
        <f t="shared" si="6"/>
        <v>0</v>
      </c>
    </row>
    <row r="170" spans="1:28" ht="182.5" thickBot="1" x14ac:dyDescent="0.3">
      <c r="A170" s="36">
        <v>169</v>
      </c>
      <c r="B170" s="36" t="s">
        <v>24</v>
      </c>
      <c r="C170" s="36" t="s">
        <v>263</v>
      </c>
      <c r="D170" s="37">
        <v>45873</v>
      </c>
      <c r="E170" s="36" t="s">
        <v>533</v>
      </c>
      <c r="F170" s="36" t="s">
        <v>592</v>
      </c>
      <c r="G170" s="36" t="s">
        <v>65</v>
      </c>
      <c r="H170" s="36" t="s">
        <v>597</v>
      </c>
      <c r="I170" s="36" t="s">
        <v>67</v>
      </c>
      <c r="J170" s="36" t="str">
        <f t="shared" si="4"/>
        <v>GAD (Govt. Transport, Gov. Secretariat, Sahyadri)Governor's Secretariat EstablishmentB (Non Gazetted)Assistant Section Officer (Secretariet)S14 (38600 - 122800)</v>
      </c>
      <c r="K170" s="36" t="s">
        <v>197</v>
      </c>
      <c r="L170" s="36" t="s">
        <v>228</v>
      </c>
      <c r="M170" s="38" t="s">
        <v>598</v>
      </c>
      <c r="N170" s="36" t="s">
        <v>60</v>
      </c>
      <c r="O170" s="6" t="s">
        <v>33</v>
      </c>
      <c r="P170" s="7">
        <v>5</v>
      </c>
      <c r="Q170" s="7" t="s">
        <v>34</v>
      </c>
      <c r="R170" s="8"/>
      <c r="S170" s="8"/>
      <c r="T170" s="7" t="s">
        <v>61</v>
      </c>
      <c r="U170" s="36" t="s">
        <v>35</v>
      </c>
      <c r="V170" s="38" t="s">
        <v>599</v>
      </c>
      <c r="W170" s="36"/>
      <c r="X170" s="36" t="s">
        <v>600</v>
      </c>
      <c r="Y170" s="36" t="s">
        <v>601</v>
      </c>
      <c r="Z170" s="41"/>
      <c r="AA170" s="42" t="e">
        <f>_xlfn.XLOOKUP(C170,#REF!,#REF!,"",0,1)</f>
        <v>#REF!</v>
      </c>
      <c r="AB170" s="43">
        <f t="shared" si="6"/>
        <v>0</v>
      </c>
    </row>
    <row r="171" spans="1:28" ht="182.5" thickBot="1" x14ac:dyDescent="0.3">
      <c r="A171" s="36">
        <v>170</v>
      </c>
      <c r="B171" s="36" t="s">
        <v>24</v>
      </c>
      <c r="C171" s="36" t="s">
        <v>263</v>
      </c>
      <c r="D171" s="37">
        <v>45873</v>
      </c>
      <c r="E171" s="36" t="s">
        <v>533</v>
      </c>
      <c r="F171" s="36" t="s">
        <v>592</v>
      </c>
      <c r="G171" s="36" t="s">
        <v>65</v>
      </c>
      <c r="H171" s="36" t="s">
        <v>602</v>
      </c>
      <c r="I171" s="36" t="s">
        <v>67</v>
      </c>
      <c r="J171" s="36" t="str">
        <f t="shared" si="4"/>
        <v>GAD (Govt. Transport, Gov. Secretariat, Sahyadri)Governor's Secretariat EstablishmentB (Non Gazetted)Assistant Section Officer Controller)S14 (38600 - 122800)</v>
      </c>
      <c r="K171" s="36" t="s">
        <v>197</v>
      </c>
      <c r="L171" s="36" t="s">
        <v>228</v>
      </c>
      <c r="M171" s="38" t="s">
        <v>603</v>
      </c>
      <c r="N171" s="36" t="s">
        <v>60</v>
      </c>
      <c r="O171" s="6" t="s">
        <v>33</v>
      </c>
      <c r="P171" s="7">
        <v>2</v>
      </c>
      <c r="Q171" s="7" t="s">
        <v>34</v>
      </c>
      <c r="R171" s="8"/>
      <c r="S171" s="8"/>
      <c r="T171" s="7" t="s">
        <v>61</v>
      </c>
      <c r="U171" s="36" t="s">
        <v>35</v>
      </c>
      <c r="V171" s="38" t="s">
        <v>599</v>
      </c>
      <c r="W171" s="36"/>
      <c r="X171" s="36" t="s">
        <v>600</v>
      </c>
      <c r="Y171" s="36" t="s">
        <v>604</v>
      </c>
      <c r="Z171" s="41"/>
      <c r="AA171" s="42" t="e">
        <f>_xlfn.XLOOKUP(C171,#REF!,#REF!,"",0,1)</f>
        <v>#REF!</v>
      </c>
      <c r="AB171" s="43">
        <f t="shared" si="6"/>
        <v>0</v>
      </c>
    </row>
    <row r="172" spans="1:28" ht="169.5" thickBot="1" x14ac:dyDescent="0.3">
      <c r="A172" s="36">
        <v>171</v>
      </c>
      <c r="B172" s="36" t="s">
        <v>24</v>
      </c>
      <c r="C172" s="36" t="s">
        <v>263</v>
      </c>
      <c r="D172" s="37">
        <v>45873</v>
      </c>
      <c r="E172" s="36" t="s">
        <v>533</v>
      </c>
      <c r="F172" s="36" t="s">
        <v>592</v>
      </c>
      <c r="G172" s="36" t="s">
        <v>65</v>
      </c>
      <c r="H172" s="36" t="s">
        <v>66</v>
      </c>
      <c r="I172" s="36" t="s">
        <v>44</v>
      </c>
      <c r="J172" s="36" t="str">
        <f t="shared" si="4"/>
        <v>GAD (Govt. Transport, Gov. Secretariat, Sahyadri)Governor's Secretariat EstablishmentB (Non Gazetted)Stenographer (Lower Grade)S15 (41800 - 132300)</v>
      </c>
      <c r="K172" s="36" t="s">
        <v>68</v>
      </c>
      <c r="L172" s="36" t="s">
        <v>231</v>
      </c>
      <c r="M172" s="38" t="s">
        <v>605</v>
      </c>
      <c r="N172" s="36" t="s">
        <v>70</v>
      </c>
      <c r="O172" s="6" t="s">
        <v>33</v>
      </c>
      <c r="P172" s="7">
        <v>1</v>
      </c>
      <c r="Q172" s="7" t="s">
        <v>100</v>
      </c>
      <c r="R172" s="8"/>
      <c r="S172" s="8"/>
      <c r="T172" s="4" t="s">
        <v>3276</v>
      </c>
      <c r="U172" s="36" t="s">
        <v>596</v>
      </c>
      <c r="V172" s="38"/>
      <c r="W172" s="36"/>
      <c r="X172" s="36"/>
      <c r="Y172" s="36"/>
      <c r="Z172" s="41"/>
      <c r="AA172" s="42" t="e">
        <f>_xlfn.XLOOKUP(C172,#REF!,#REF!,"",0,1)</f>
        <v>#REF!</v>
      </c>
      <c r="AB172" s="43">
        <f t="shared" si="6"/>
        <v>0</v>
      </c>
    </row>
    <row r="173" spans="1:28" ht="169.5" thickBot="1" x14ac:dyDescent="0.3">
      <c r="A173" s="36">
        <v>172</v>
      </c>
      <c r="B173" s="36" t="s">
        <v>24</v>
      </c>
      <c r="C173" s="36" t="s">
        <v>263</v>
      </c>
      <c r="D173" s="37">
        <v>45873</v>
      </c>
      <c r="E173" s="36" t="s">
        <v>533</v>
      </c>
      <c r="F173" s="36" t="s">
        <v>592</v>
      </c>
      <c r="G173" s="36" t="s">
        <v>65</v>
      </c>
      <c r="H173" s="36" t="s">
        <v>71</v>
      </c>
      <c r="I173" s="36" t="s">
        <v>54</v>
      </c>
      <c r="J173" s="36" t="str">
        <f t="shared" si="4"/>
        <v>GAD (Govt. Transport, Gov. Secretariat, Sahyadri)Governor's Secretariat EstablishmentB (Non Gazetted)Stenographer (Higher Grade)S16 (44900 - 142400)</v>
      </c>
      <c r="K173" s="36" t="s">
        <v>68</v>
      </c>
      <c r="L173" s="36" t="s">
        <v>231</v>
      </c>
      <c r="M173" s="38" t="s">
        <v>606</v>
      </c>
      <c r="N173" s="36" t="s">
        <v>70</v>
      </c>
      <c r="O173" s="6" t="s">
        <v>33</v>
      </c>
      <c r="P173" s="7">
        <v>1</v>
      </c>
      <c r="Q173" s="7" t="s">
        <v>100</v>
      </c>
      <c r="R173" s="8"/>
      <c r="S173" s="8"/>
      <c r="T173" s="4" t="s">
        <v>3276</v>
      </c>
      <c r="U173" s="36" t="s">
        <v>596</v>
      </c>
      <c r="V173" s="38"/>
      <c r="W173" s="36"/>
      <c r="X173" s="36"/>
      <c r="Y173" s="36"/>
      <c r="Z173" s="41"/>
      <c r="AA173" s="42" t="e">
        <f>_xlfn.XLOOKUP(C173,#REF!,#REF!,"",0,1)</f>
        <v>#REF!</v>
      </c>
      <c r="AB173" s="43">
        <f t="shared" si="6"/>
        <v>0</v>
      </c>
    </row>
    <row r="174" spans="1:28" ht="130.5" thickBot="1" x14ac:dyDescent="0.3">
      <c r="A174" s="36">
        <v>173</v>
      </c>
      <c r="B174" s="36" t="s">
        <v>24</v>
      </c>
      <c r="C174" s="36" t="s">
        <v>263</v>
      </c>
      <c r="D174" s="37">
        <v>45873</v>
      </c>
      <c r="E174" s="36" t="s">
        <v>533</v>
      </c>
      <c r="F174" s="36" t="s">
        <v>592</v>
      </c>
      <c r="G174" s="36" t="s">
        <v>55</v>
      </c>
      <c r="H174" s="36" t="s">
        <v>607</v>
      </c>
      <c r="I174" s="36" t="s">
        <v>74</v>
      </c>
      <c r="J174" s="36" t="str">
        <f t="shared" si="4"/>
        <v>GAD (Govt. Transport, Gov. Secretariat, Sahyadri)Governor's Secretariat EstablishmentCClerkTypist (Secretariet)S6 (19900 - 63200)</v>
      </c>
      <c r="K174" s="36" t="s">
        <v>75</v>
      </c>
      <c r="L174" s="36" t="s">
        <v>228</v>
      </c>
      <c r="M174" s="38" t="s">
        <v>608</v>
      </c>
      <c r="N174" s="36" t="s">
        <v>70</v>
      </c>
      <c r="O174" s="6" t="s">
        <v>33</v>
      </c>
      <c r="P174" s="7">
        <v>9</v>
      </c>
      <c r="Q174" s="7" t="s">
        <v>34</v>
      </c>
      <c r="R174" s="8"/>
      <c r="S174" s="8"/>
      <c r="T174" s="7" t="s">
        <v>61</v>
      </c>
      <c r="U174" s="36" t="s">
        <v>35</v>
      </c>
      <c r="V174" s="38" t="s">
        <v>125</v>
      </c>
      <c r="W174" s="36"/>
      <c r="X174" s="36" t="s">
        <v>77</v>
      </c>
      <c r="Y174" s="36" t="s">
        <v>78</v>
      </c>
      <c r="Z174" s="41"/>
      <c r="AA174" s="42" t="e">
        <f>_xlfn.XLOOKUP(C174,#REF!,#REF!,"",0,1)</f>
        <v>#REF!</v>
      </c>
      <c r="AB174" s="43">
        <f t="shared" si="6"/>
        <v>0</v>
      </c>
    </row>
    <row r="175" spans="1:28" ht="130.5" thickBot="1" x14ac:dyDescent="0.3">
      <c r="A175" s="36">
        <v>174</v>
      </c>
      <c r="B175" s="36" t="s">
        <v>24</v>
      </c>
      <c r="C175" s="36" t="s">
        <v>263</v>
      </c>
      <c r="D175" s="37">
        <v>45873</v>
      </c>
      <c r="E175" s="36" t="s">
        <v>533</v>
      </c>
      <c r="F175" s="36" t="s">
        <v>592</v>
      </c>
      <c r="G175" s="36" t="s">
        <v>55</v>
      </c>
      <c r="H175" s="36" t="s">
        <v>609</v>
      </c>
      <c r="I175" s="36" t="s">
        <v>74</v>
      </c>
      <c r="J175" s="36" t="str">
        <f t="shared" si="4"/>
        <v>GAD (Govt. Transport, Gov. Secretariat, Sahyadri)Governor's Secretariat EstablishmentCClerkTypist (Controller)S6 (19900 - 63200)</v>
      </c>
      <c r="K175" s="36" t="s">
        <v>75</v>
      </c>
      <c r="L175" s="36" t="s">
        <v>228</v>
      </c>
      <c r="M175" s="38" t="s">
        <v>610</v>
      </c>
      <c r="N175" s="36" t="s">
        <v>70</v>
      </c>
      <c r="O175" s="6" t="s">
        <v>33</v>
      </c>
      <c r="P175" s="7">
        <v>1</v>
      </c>
      <c r="Q175" s="7" t="s">
        <v>34</v>
      </c>
      <c r="R175" s="8"/>
      <c r="S175" s="8"/>
      <c r="T175" s="7" t="s">
        <v>2395</v>
      </c>
      <c r="U175" s="36" t="s">
        <v>35</v>
      </c>
      <c r="V175" s="38" t="s">
        <v>125</v>
      </c>
      <c r="W175" s="36"/>
      <c r="X175" s="36" t="s">
        <v>77</v>
      </c>
      <c r="Y175" s="36" t="s">
        <v>78</v>
      </c>
      <c r="Z175" s="41"/>
      <c r="AA175" s="42" t="e">
        <f>_xlfn.XLOOKUP(C175,#REF!,#REF!,"",0,1)</f>
        <v>#REF!</v>
      </c>
      <c r="AB175" s="43">
        <f t="shared" si="6"/>
        <v>0</v>
      </c>
    </row>
    <row r="176" spans="1:28" ht="130.5" thickBot="1" x14ac:dyDescent="0.3">
      <c r="A176" s="36">
        <v>175</v>
      </c>
      <c r="B176" s="36" t="s">
        <v>24</v>
      </c>
      <c r="C176" s="36" t="s">
        <v>263</v>
      </c>
      <c r="D176" s="37">
        <v>45873</v>
      </c>
      <c r="E176" s="36" t="s">
        <v>533</v>
      </c>
      <c r="F176" s="36" t="s">
        <v>592</v>
      </c>
      <c r="G176" s="36" t="s">
        <v>55</v>
      </c>
      <c r="H176" s="36" t="s">
        <v>362</v>
      </c>
      <c r="I176" s="36" t="s">
        <v>169</v>
      </c>
      <c r="J176" s="36" t="str">
        <f t="shared" si="4"/>
        <v>GAD (Govt. Transport, Gov. Secretariat, Sahyadri)Governor's Secretariat EstablishmentCTelephone OperatorS7 (21700 - 69100)</v>
      </c>
      <c r="K176" s="36" t="s">
        <v>611</v>
      </c>
      <c r="L176" s="36" t="s">
        <v>225</v>
      </c>
      <c r="M176" s="38" t="s">
        <v>608</v>
      </c>
      <c r="N176" s="36" t="s">
        <v>199</v>
      </c>
      <c r="O176" s="6" t="s">
        <v>33</v>
      </c>
      <c r="P176" s="7">
        <v>1</v>
      </c>
      <c r="Q176" s="7" t="s">
        <v>34</v>
      </c>
      <c r="R176" s="8"/>
      <c r="S176" s="8"/>
      <c r="T176" s="7" t="s">
        <v>2395</v>
      </c>
      <c r="U176" s="36" t="s">
        <v>35</v>
      </c>
      <c r="V176" s="38" t="s">
        <v>612</v>
      </c>
      <c r="W176" s="36"/>
      <c r="X176" s="36" t="s">
        <v>613</v>
      </c>
      <c r="Y176" s="46">
        <v>31324</v>
      </c>
      <c r="Z176" s="41"/>
      <c r="AA176" s="42" t="e">
        <f>_xlfn.XLOOKUP(C176,#REF!,#REF!,"",0,1)</f>
        <v>#REF!</v>
      </c>
      <c r="AB176" s="43">
        <f t="shared" si="6"/>
        <v>0</v>
      </c>
    </row>
    <row r="177" spans="1:28" ht="130.5" thickBot="1" x14ac:dyDescent="0.3">
      <c r="A177" s="36">
        <v>176</v>
      </c>
      <c r="B177" s="36" t="s">
        <v>24</v>
      </c>
      <c r="C177" s="36" t="s">
        <v>263</v>
      </c>
      <c r="D177" s="37">
        <v>45873</v>
      </c>
      <c r="E177" s="36" t="s">
        <v>533</v>
      </c>
      <c r="F177" s="36" t="s">
        <v>592</v>
      </c>
      <c r="G177" s="36" t="s">
        <v>55</v>
      </c>
      <c r="H177" s="36" t="s">
        <v>614</v>
      </c>
      <c r="I177" s="36" t="s">
        <v>80</v>
      </c>
      <c r="J177" s="36" t="str">
        <f t="shared" si="4"/>
        <v>GAD (Govt. Transport, Gov. Secretariat, Sahyadri)Governor's Secretariat EstablishmentCStenoTypist Secretariet)S8 (25500 - 81100)</v>
      </c>
      <c r="K177" s="36" t="s">
        <v>68</v>
      </c>
      <c r="L177" s="36" t="s">
        <v>231</v>
      </c>
      <c r="M177" s="38" t="s">
        <v>615</v>
      </c>
      <c r="N177" s="36" t="s">
        <v>70</v>
      </c>
      <c r="O177" s="6" t="s">
        <v>33</v>
      </c>
      <c r="P177" s="7">
        <v>1</v>
      </c>
      <c r="Q177" s="7" t="s">
        <v>100</v>
      </c>
      <c r="R177" s="8"/>
      <c r="S177" s="8"/>
      <c r="T177" s="4" t="s">
        <v>3276</v>
      </c>
      <c r="U177" s="36" t="s">
        <v>596</v>
      </c>
      <c r="V177" s="38"/>
      <c r="W177" s="36"/>
      <c r="X177" s="36"/>
      <c r="Y177" s="36"/>
      <c r="Z177" s="41"/>
      <c r="AA177" s="42" t="e">
        <f>_xlfn.XLOOKUP(C177,#REF!,#REF!,"",0,1)</f>
        <v>#REF!</v>
      </c>
      <c r="AB177" s="43">
        <f t="shared" si="6"/>
        <v>0</v>
      </c>
    </row>
    <row r="178" spans="1:28" ht="130.5" thickBot="1" x14ac:dyDescent="0.3">
      <c r="A178" s="36">
        <v>177</v>
      </c>
      <c r="B178" s="36" t="s">
        <v>24</v>
      </c>
      <c r="C178" s="36" t="s">
        <v>263</v>
      </c>
      <c r="D178" s="37">
        <v>45873</v>
      </c>
      <c r="E178" s="36" t="s">
        <v>533</v>
      </c>
      <c r="F178" s="36" t="s">
        <v>592</v>
      </c>
      <c r="G178" s="36" t="s">
        <v>55</v>
      </c>
      <c r="H178" s="36" t="s">
        <v>616</v>
      </c>
      <c r="I178" s="36" t="s">
        <v>80</v>
      </c>
      <c r="J178" s="36" t="str">
        <f t="shared" si="4"/>
        <v>GAD (Govt. Transport, Gov. Secretariat, Sahyadri)Governor's Secretariat EstablishmentCStenoTypist (Controller)S8 (25500 - 81100)</v>
      </c>
      <c r="K178" s="36" t="s">
        <v>68</v>
      </c>
      <c r="L178" s="36" t="s">
        <v>231</v>
      </c>
      <c r="M178" s="38" t="s">
        <v>617</v>
      </c>
      <c r="N178" s="36" t="s">
        <v>70</v>
      </c>
      <c r="O178" s="6" t="s">
        <v>33</v>
      </c>
      <c r="P178" s="7">
        <v>1</v>
      </c>
      <c r="Q178" s="7" t="s">
        <v>100</v>
      </c>
      <c r="R178" s="8"/>
      <c r="S178" s="8"/>
      <c r="T178" s="4" t="s">
        <v>3276</v>
      </c>
      <c r="U178" s="36" t="s">
        <v>596</v>
      </c>
      <c r="V178" s="38"/>
      <c r="W178" s="36"/>
      <c r="X178" s="36"/>
      <c r="Y178" s="36"/>
      <c r="Z178" s="41"/>
      <c r="AA178" s="42" t="e">
        <f>_xlfn.XLOOKUP(C178,#REF!,#REF!,"",0,1)</f>
        <v>#REF!</v>
      </c>
      <c r="AB178" s="43">
        <f t="shared" si="6"/>
        <v>0</v>
      </c>
    </row>
    <row r="179" spans="1:28" ht="143.5" thickBot="1" x14ac:dyDescent="0.3">
      <c r="A179" s="36">
        <v>178</v>
      </c>
      <c r="B179" s="36" t="s">
        <v>24</v>
      </c>
      <c r="C179" s="36" t="s">
        <v>263</v>
      </c>
      <c r="D179" s="37">
        <v>45873</v>
      </c>
      <c r="E179" s="36" t="s">
        <v>533</v>
      </c>
      <c r="F179" s="36" t="s">
        <v>592</v>
      </c>
      <c r="G179" s="36" t="s">
        <v>55</v>
      </c>
      <c r="H179" s="36" t="s">
        <v>618</v>
      </c>
      <c r="I179" s="36" t="s">
        <v>619</v>
      </c>
      <c r="J179" s="36" t="str">
        <f t="shared" si="4"/>
        <v>GAD (Govt. Transport, Gov. Secretariat, Sahyadri)Governor's Secretariat EstablishmentCAssistant Garden SupervisorS9 (26400 - 83600)</v>
      </c>
      <c r="K179" s="36" t="s">
        <v>620</v>
      </c>
      <c r="L179" s="36" t="s">
        <v>225</v>
      </c>
      <c r="M179" s="38" t="s">
        <v>621</v>
      </c>
      <c r="N179" s="36" t="s">
        <v>622</v>
      </c>
      <c r="O179" s="6" t="s">
        <v>83</v>
      </c>
      <c r="P179" s="7">
        <v>1</v>
      </c>
      <c r="Q179" s="7" t="s">
        <v>34</v>
      </c>
      <c r="R179" s="8"/>
      <c r="S179" s="8"/>
      <c r="T179" s="7" t="s">
        <v>2395</v>
      </c>
      <c r="U179" s="36" t="s">
        <v>596</v>
      </c>
      <c r="V179" s="38" t="s">
        <v>623</v>
      </c>
      <c r="W179" s="36"/>
      <c r="X179" s="36" t="s">
        <v>624</v>
      </c>
      <c r="Y179" s="36" t="s">
        <v>502</v>
      </c>
      <c r="Z179" s="41"/>
      <c r="AA179" s="42" t="e">
        <f>_xlfn.XLOOKUP(C179,#REF!,#REF!,"",0,1)</f>
        <v>#REF!</v>
      </c>
      <c r="AB179" s="43">
        <f t="shared" si="6"/>
        <v>0</v>
      </c>
    </row>
    <row r="180" spans="1:28" ht="130.5" thickBot="1" x14ac:dyDescent="0.3">
      <c r="A180" s="36">
        <v>179</v>
      </c>
      <c r="B180" s="36" t="s">
        <v>24</v>
      </c>
      <c r="C180" s="36" t="s">
        <v>263</v>
      </c>
      <c r="D180" s="37">
        <v>45873</v>
      </c>
      <c r="E180" s="36" t="s">
        <v>533</v>
      </c>
      <c r="F180" s="36" t="s">
        <v>592</v>
      </c>
      <c r="G180" s="36" t="s">
        <v>55</v>
      </c>
      <c r="H180" s="36" t="s">
        <v>625</v>
      </c>
      <c r="I180" s="36" t="s">
        <v>619</v>
      </c>
      <c r="J180" s="36" t="str">
        <f t="shared" si="4"/>
        <v>GAD (Govt. Transport, Gov. Secretariat, Sahyadri)Governor's Secretariat EstablishmentCHousekeeperS9 (26400 - 83600)</v>
      </c>
      <c r="K180" s="36"/>
      <c r="L180" s="36" t="s">
        <v>238</v>
      </c>
      <c r="M180" s="38" t="s">
        <v>626</v>
      </c>
      <c r="N180" s="36" t="s">
        <v>283</v>
      </c>
      <c r="O180" s="6" t="s">
        <v>33</v>
      </c>
      <c r="P180" s="7">
        <v>0</v>
      </c>
      <c r="Q180" s="7" t="s">
        <v>34</v>
      </c>
      <c r="R180" s="8"/>
      <c r="S180" s="8"/>
      <c r="T180" s="7" t="s">
        <v>2395</v>
      </c>
      <c r="U180" s="36" t="s">
        <v>596</v>
      </c>
      <c r="V180" s="38"/>
      <c r="W180" s="36"/>
      <c r="X180" s="36"/>
      <c r="Y180" s="36"/>
      <c r="Z180" s="41"/>
      <c r="AA180" s="42" t="e">
        <f>_xlfn.XLOOKUP(C180,#REF!,#REF!,"",0,1)</f>
        <v>#REF!</v>
      </c>
      <c r="AB180" s="43">
        <f t="shared" si="6"/>
        <v>0</v>
      </c>
    </row>
    <row r="181" spans="1:28" ht="143.5" thickBot="1" x14ac:dyDescent="0.3">
      <c r="A181" s="36">
        <v>180</v>
      </c>
      <c r="B181" s="36" t="s">
        <v>24</v>
      </c>
      <c r="C181" s="36" t="s">
        <v>263</v>
      </c>
      <c r="D181" s="37">
        <v>45873</v>
      </c>
      <c r="E181" s="36" t="s">
        <v>533</v>
      </c>
      <c r="F181" s="36" t="s">
        <v>592</v>
      </c>
      <c r="G181" s="36" t="s">
        <v>55</v>
      </c>
      <c r="H181" s="36" t="s">
        <v>627</v>
      </c>
      <c r="I181" s="36" t="s">
        <v>619</v>
      </c>
      <c r="J181" s="36" t="str">
        <f t="shared" si="4"/>
        <v>GAD (Govt. Transport, Gov. Secretariat, Sahyadri)Governor's Secretariat EstablishmentCSwimming CoachcumLife 
  GuardS9 (26400 - 83600)</v>
      </c>
      <c r="K181" s="36"/>
      <c r="L181" s="36" t="s">
        <v>238</v>
      </c>
      <c r="M181" s="38" t="s">
        <v>628</v>
      </c>
      <c r="N181" s="36" t="s">
        <v>283</v>
      </c>
      <c r="O181" s="6" t="s">
        <v>33</v>
      </c>
      <c r="P181" s="7">
        <v>1</v>
      </c>
      <c r="Q181" s="7" t="s">
        <v>34</v>
      </c>
      <c r="R181" s="8"/>
      <c r="S181" s="8"/>
      <c r="T181" s="7" t="s">
        <v>2395</v>
      </c>
      <c r="U181" s="36" t="s">
        <v>596</v>
      </c>
      <c r="V181" s="38"/>
      <c r="W181" s="36"/>
      <c r="X181" s="36"/>
      <c r="Y181" s="36"/>
      <c r="Z181" s="41"/>
      <c r="AA181" s="42" t="e">
        <f>_xlfn.XLOOKUP(C181,#REF!,#REF!,"",0,1)</f>
        <v>#REF!</v>
      </c>
      <c r="AB181" s="43">
        <f t="shared" si="6"/>
        <v>0</v>
      </c>
    </row>
    <row r="182" spans="1:28" ht="117.5" thickBot="1" x14ac:dyDescent="0.3">
      <c r="A182" s="36">
        <v>181</v>
      </c>
      <c r="B182" s="36" t="s">
        <v>24</v>
      </c>
      <c r="C182" s="36" t="s">
        <v>263</v>
      </c>
      <c r="D182" s="37">
        <v>44264</v>
      </c>
      <c r="E182" s="36" t="s">
        <v>533</v>
      </c>
      <c r="F182" s="36" t="s">
        <v>629</v>
      </c>
      <c r="G182" s="36" t="s">
        <v>55</v>
      </c>
      <c r="H182" s="36" t="s">
        <v>630</v>
      </c>
      <c r="I182" s="36" t="s">
        <v>74</v>
      </c>
      <c r="J182" s="36" t="str">
        <f t="shared" si="4"/>
        <v>GAD (Govt. Transport, Gov. Secretariat, Sahyadri)Sahyadri Guest House EstablishmentCClerkTypistS6 (19900 - 63200)</v>
      </c>
      <c r="K182" s="36" t="s">
        <v>75</v>
      </c>
      <c r="L182" s="36" t="s">
        <v>228</v>
      </c>
      <c r="M182" s="38" t="s">
        <v>631</v>
      </c>
      <c r="N182" s="36" t="s">
        <v>70</v>
      </c>
      <c r="O182" s="6" t="s">
        <v>33</v>
      </c>
      <c r="P182" s="7">
        <v>3</v>
      </c>
      <c r="Q182" s="7" t="s">
        <v>34</v>
      </c>
      <c r="R182" s="8"/>
      <c r="S182" s="8"/>
      <c r="T182" s="7" t="s">
        <v>61</v>
      </c>
      <c r="U182" s="36" t="s">
        <v>61</v>
      </c>
      <c r="V182" s="38" t="s">
        <v>125</v>
      </c>
      <c r="W182" s="36"/>
      <c r="X182" s="36" t="s">
        <v>77</v>
      </c>
      <c r="Y182" s="36" t="s">
        <v>78</v>
      </c>
      <c r="Z182" s="41"/>
      <c r="AA182" s="42" t="e">
        <f>_xlfn.XLOOKUP(C182,#REF!,#REF!,"",0,1)</f>
        <v>#REF!</v>
      </c>
      <c r="AB182" s="43">
        <f t="shared" si="6"/>
        <v>0</v>
      </c>
    </row>
    <row r="183" spans="1:28" ht="117.5" thickBot="1" x14ac:dyDescent="0.3">
      <c r="A183" s="36">
        <v>182</v>
      </c>
      <c r="B183" s="36" t="s">
        <v>24</v>
      </c>
      <c r="C183" s="36" t="s">
        <v>263</v>
      </c>
      <c r="D183" s="37">
        <v>44264</v>
      </c>
      <c r="E183" s="36" t="s">
        <v>533</v>
      </c>
      <c r="F183" s="36" t="s">
        <v>629</v>
      </c>
      <c r="G183" s="36" t="s">
        <v>55</v>
      </c>
      <c r="H183" s="36" t="s">
        <v>632</v>
      </c>
      <c r="I183" s="36" t="s">
        <v>74</v>
      </c>
      <c r="J183" s="36" t="str">
        <f t="shared" si="4"/>
        <v>GAD (Govt. Transport, Gov. Secretariat, Sahyadri)Sahyadri Guest House EstablishmentCHead ButlerS6 (19900 - 63200)</v>
      </c>
      <c r="K183" s="36"/>
      <c r="L183" s="36" t="s">
        <v>238</v>
      </c>
      <c r="M183" s="38" t="s">
        <v>633</v>
      </c>
      <c r="N183" s="36" t="s">
        <v>283</v>
      </c>
      <c r="O183" s="6" t="s">
        <v>83</v>
      </c>
      <c r="P183" s="7">
        <v>3</v>
      </c>
      <c r="Q183" s="7" t="s">
        <v>34</v>
      </c>
      <c r="R183" s="8"/>
      <c r="S183" s="8"/>
      <c r="T183" s="7" t="s">
        <v>61</v>
      </c>
      <c r="U183" s="36" t="s">
        <v>61</v>
      </c>
      <c r="V183" s="38"/>
      <c r="W183" s="36"/>
      <c r="X183" s="36"/>
      <c r="Y183" s="36"/>
      <c r="Z183" s="41"/>
      <c r="AA183" s="42" t="e">
        <f>_xlfn.XLOOKUP(C183,#REF!,#REF!,"",0,1)</f>
        <v>#REF!</v>
      </c>
      <c r="AB183" s="43">
        <f t="shared" si="6"/>
        <v>0</v>
      </c>
    </row>
    <row r="184" spans="1:28" ht="156.5" thickBot="1" x14ac:dyDescent="0.3">
      <c r="A184" s="36">
        <v>183</v>
      </c>
      <c r="B184" s="36" t="s">
        <v>24</v>
      </c>
      <c r="C184" s="36" t="s">
        <v>263</v>
      </c>
      <c r="D184" s="37">
        <v>44760</v>
      </c>
      <c r="E184" s="36" t="s">
        <v>634</v>
      </c>
      <c r="F184" s="36" t="s">
        <v>635</v>
      </c>
      <c r="G184" s="36" t="s">
        <v>28</v>
      </c>
      <c r="H184" s="36" t="s">
        <v>636</v>
      </c>
      <c r="I184" s="36" t="s">
        <v>30</v>
      </c>
      <c r="J184" s="36" t="str">
        <f t="shared" si="4"/>
        <v>GAD (Information and Public Relations)Information and Public Relations EstablishmentAResearch OfficerS18 (49100 - 155800)</v>
      </c>
      <c r="K184" s="36"/>
      <c r="L184" s="44" t="s">
        <v>111</v>
      </c>
      <c r="M184" s="38" t="s">
        <v>637</v>
      </c>
      <c r="N184" s="44" t="s">
        <v>638</v>
      </c>
      <c r="O184" s="6" t="s">
        <v>33</v>
      </c>
      <c r="P184" s="7">
        <v>1</v>
      </c>
      <c r="Q184" s="7" t="s">
        <v>34</v>
      </c>
      <c r="R184" s="8"/>
      <c r="S184" s="8"/>
      <c r="T184" s="4" t="s">
        <v>3276</v>
      </c>
      <c r="U184" s="36" t="s">
        <v>596</v>
      </c>
      <c r="V184" s="38"/>
      <c r="W184" s="36"/>
      <c r="X184" s="36"/>
      <c r="Y184" s="36"/>
      <c r="Z184" s="41"/>
      <c r="AA184" s="42" t="e">
        <f>_xlfn.XLOOKUP(C184,#REF!,#REF!,"",0,1)</f>
        <v>#REF!</v>
      </c>
      <c r="AB184" s="43">
        <f t="shared" si="6"/>
        <v>0</v>
      </c>
    </row>
    <row r="185" spans="1:28" ht="299.5" thickBot="1" x14ac:dyDescent="0.3">
      <c r="A185" s="36">
        <v>184</v>
      </c>
      <c r="B185" s="36" t="s">
        <v>24</v>
      </c>
      <c r="C185" s="36" t="s">
        <v>263</v>
      </c>
      <c r="D185" s="37">
        <v>44760</v>
      </c>
      <c r="E185" s="36" t="s">
        <v>634</v>
      </c>
      <c r="F185" s="36" t="s">
        <v>635</v>
      </c>
      <c r="G185" s="36" t="s">
        <v>28</v>
      </c>
      <c r="H185" s="36" t="s">
        <v>639</v>
      </c>
      <c r="I185" s="36" t="s">
        <v>38</v>
      </c>
      <c r="J185" s="36" t="str">
        <f t="shared" si="4"/>
        <v>GAD (Information and Public Relations)Information and Public Relations EstablishmentADistrict Information Officer (36 Posts) / Public Relations Officer (1 Post) / Senior Deputy Editor / (5 Posts) / Senior Assistant Director (Information) (7 Posts)S20 (56100 - 177500)</v>
      </c>
      <c r="K185" s="36" t="s">
        <v>640</v>
      </c>
      <c r="L185" s="36" t="s">
        <v>247</v>
      </c>
      <c r="M185" s="38" t="s">
        <v>641</v>
      </c>
      <c r="N185" s="36" t="s">
        <v>642</v>
      </c>
      <c r="O185" s="6" t="s">
        <v>33</v>
      </c>
      <c r="P185" s="7">
        <v>1</v>
      </c>
      <c r="Q185" s="7" t="s">
        <v>34</v>
      </c>
      <c r="R185" s="8"/>
      <c r="S185" s="8"/>
      <c r="T185" s="7" t="s">
        <v>2395</v>
      </c>
      <c r="U185" s="36" t="s">
        <v>61</v>
      </c>
      <c r="V185" s="38"/>
      <c r="W185" s="36"/>
      <c r="X185" s="36"/>
      <c r="Y185" s="36"/>
      <c r="Z185" s="41"/>
      <c r="AA185" s="42" t="e">
        <f>_xlfn.XLOOKUP(C185,#REF!,#REF!,"",0,1)</f>
        <v>#REF!</v>
      </c>
      <c r="AB185" s="43">
        <f t="shared" si="6"/>
        <v>0</v>
      </c>
    </row>
    <row r="186" spans="1:28" ht="169.5" thickBot="1" x14ac:dyDescent="0.3">
      <c r="A186" s="44">
        <v>185</v>
      </c>
      <c r="B186" s="44" t="s">
        <v>24</v>
      </c>
      <c r="C186" s="36" t="s">
        <v>263</v>
      </c>
      <c r="D186" s="37">
        <v>44760</v>
      </c>
      <c r="E186" s="44" t="s">
        <v>634</v>
      </c>
      <c r="F186" s="44" t="s">
        <v>635</v>
      </c>
      <c r="G186" s="44" t="s">
        <v>28</v>
      </c>
      <c r="H186" s="44" t="s">
        <v>643</v>
      </c>
      <c r="I186" s="44" t="s">
        <v>242</v>
      </c>
      <c r="J186" s="44" t="str">
        <f t="shared" si="4"/>
        <v>GAD (Information and Public Relations)Information and Public Relations EstablishmentADeputy Director (Exhibitions)S23 (67700 - 208700)</v>
      </c>
      <c r="K186" s="44"/>
      <c r="L186" s="44" t="s">
        <v>111</v>
      </c>
      <c r="M186" s="45" t="s">
        <v>644</v>
      </c>
      <c r="N186" s="44" t="s">
        <v>645</v>
      </c>
      <c r="O186" s="11" t="s">
        <v>33</v>
      </c>
      <c r="P186" s="12">
        <v>1</v>
      </c>
      <c r="Q186" s="12" t="s">
        <v>34</v>
      </c>
      <c r="R186" s="13"/>
      <c r="S186" s="13"/>
      <c r="T186" s="4" t="s">
        <v>3276</v>
      </c>
      <c r="U186" s="44" t="s">
        <v>596</v>
      </c>
      <c r="V186" s="45"/>
      <c r="W186" s="44"/>
      <c r="X186" s="44"/>
      <c r="Y186" s="44"/>
      <c r="Z186" s="41"/>
      <c r="AA186" s="42" t="e">
        <f>_xlfn.XLOOKUP(C186,#REF!,#REF!,"",0,1)</f>
        <v>#REF!</v>
      </c>
      <c r="AB186" s="43">
        <f t="shared" si="6"/>
        <v>0</v>
      </c>
    </row>
    <row r="187" spans="1:28" ht="169.5" thickBot="1" x14ac:dyDescent="0.3">
      <c r="A187" s="36">
        <v>186</v>
      </c>
      <c r="B187" s="36" t="s">
        <v>24</v>
      </c>
      <c r="C187" s="36" t="s">
        <v>263</v>
      </c>
      <c r="D187" s="37">
        <v>44760</v>
      </c>
      <c r="E187" s="36" t="s">
        <v>634</v>
      </c>
      <c r="F187" s="36" t="s">
        <v>635</v>
      </c>
      <c r="G187" s="36" t="s">
        <v>28</v>
      </c>
      <c r="H187" s="36" t="s">
        <v>646</v>
      </c>
      <c r="I187" s="36" t="s">
        <v>242</v>
      </c>
      <c r="J187" s="36" t="str">
        <f t="shared" si="4"/>
        <v>GAD (Information and Public Relations)Information and Public Relations EstablishmentADeputy Director (Information)S23 (67700 - 208700)</v>
      </c>
      <c r="K187" s="36" t="s">
        <v>640</v>
      </c>
      <c r="L187" s="36" t="s">
        <v>247</v>
      </c>
      <c r="M187" s="38" t="s">
        <v>641</v>
      </c>
      <c r="N187" s="36" t="s">
        <v>642</v>
      </c>
      <c r="O187" s="6" t="s">
        <v>33</v>
      </c>
      <c r="P187" s="7">
        <v>0</v>
      </c>
      <c r="Q187" s="7" t="s">
        <v>34</v>
      </c>
      <c r="R187" s="8"/>
      <c r="S187" s="8"/>
      <c r="T187" s="7" t="s">
        <v>2395</v>
      </c>
      <c r="U187" s="36" t="s">
        <v>61</v>
      </c>
      <c r="V187" s="38"/>
      <c r="W187" s="36"/>
      <c r="X187" s="36"/>
      <c r="Y187" s="36"/>
      <c r="Z187" s="41"/>
      <c r="AA187" s="42" t="e">
        <f>_xlfn.XLOOKUP(C187,#REF!,#REF!,"",0,1)</f>
        <v>#REF!</v>
      </c>
      <c r="AB187" s="43">
        <f t="shared" si="6"/>
        <v>0</v>
      </c>
    </row>
    <row r="188" spans="1:28" ht="156.5" thickBot="1" x14ac:dyDescent="0.3">
      <c r="A188" s="36">
        <v>187</v>
      </c>
      <c r="B188" s="36" t="s">
        <v>24</v>
      </c>
      <c r="C188" s="36" t="s">
        <v>263</v>
      </c>
      <c r="D188" s="37">
        <v>44760</v>
      </c>
      <c r="E188" s="36" t="s">
        <v>634</v>
      </c>
      <c r="F188" s="36" t="s">
        <v>635</v>
      </c>
      <c r="G188" s="36" t="s">
        <v>28</v>
      </c>
      <c r="H188" s="36" t="s">
        <v>647</v>
      </c>
      <c r="I188" s="36" t="s">
        <v>513</v>
      </c>
      <c r="J188" s="36" t="str">
        <f t="shared" si="4"/>
        <v>GAD (Information and Public Relations)Information and Public Relations EstablishmentADirector (Information)S25 (78800 - 209200)</v>
      </c>
      <c r="K188" s="36"/>
      <c r="L188" s="36" t="s">
        <v>243</v>
      </c>
      <c r="M188" s="38" t="s">
        <v>648</v>
      </c>
      <c r="N188" s="36" t="s">
        <v>32</v>
      </c>
      <c r="O188" s="6" t="s">
        <v>33</v>
      </c>
      <c r="P188" s="7">
        <v>0</v>
      </c>
      <c r="Q188" s="7" t="s">
        <v>34</v>
      </c>
      <c r="R188" s="8"/>
      <c r="S188" s="8"/>
      <c r="T188" s="4" t="s">
        <v>3276</v>
      </c>
      <c r="U188" s="36" t="s">
        <v>35</v>
      </c>
      <c r="V188" s="38"/>
      <c r="W188" s="36"/>
      <c r="X188" s="36"/>
      <c r="Y188" s="36"/>
      <c r="Z188" s="41"/>
      <c r="AA188" s="42" t="e">
        <f>_xlfn.XLOOKUP(C188,#REF!,#REF!,"",0,1)</f>
        <v>#REF!</v>
      </c>
      <c r="AB188" s="43">
        <f t="shared" si="6"/>
        <v>0</v>
      </c>
    </row>
    <row r="189" spans="1:28" ht="286.5" thickBot="1" x14ac:dyDescent="0.3">
      <c r="A189" s="36">
        <v>188</v>
      </c>
      <c r="B189" s="36" t="s">
        <v>24</v>
      </c>
      <c r="C189" s="36" t="s">
        <v>263</v>
      </c>
      <c r="D189" s="37">
        <v>44760</v>
      </c>
      <c r="E189" s="36" t="s">
        <v>634</v>
      </c>
      <c r="F189" s="36" t="s">
        <v>635</v>
      </c>
      <c r="G189" s="36" t="s">
        <v>42</v>
      </c>
      <c r="H189" s="36" t="s">
        <v>649</v>
      </c>
      <c r="I189" s="36" t="s">
        <v>372</v>
      </c>
      <c r="J189" s="36" t="str">
        <f t="shared" si="4"/>
        <v>GAD (Information and Public Relations)Information and Public Relations EstablishmentB (Gazetted)Assistant Director (Information) (31 Posts), Information Officer (23 Posts), Auditor, Books &amp; Publications, Mumbai (1 Post)S17 (47600 - 151100)</v>
      </c>
      <c r="K189" s="36" t="s">
        <v>640</v>
      </c>
      <c r="L189" s="36" t="s">
        <v>247</v>
      </c>
      <c r="M189" s="38" t="s">
        <v>650</v>
      </c>
      <c r="N189" s="36" t="s">
        <v>642</v>
      </c>
      <c r="O189" s="6" t="s">
        <v>33</v>
      </c>
      <c r="P189" s="7">
        <v>1</v>
      </c>
      <c r="Q189" s="7" t="s">
        <v>34</v>
      </c>
      <c r="R189" s="8"/>
      <c r="S189" s="8"/>
      <c r="T189" s="7" t="s">
        <v>2395</v>
      </c>
      <c r="U189" s="36" t="s">
        <v>61</v>
      </c>
      <c r="V189" s="38"/>
      <c r="W189" s="36"/>
      <c r="X189" s="36"/>
      <c r="Y189" s="36"/>
      <c r="Z189" s="41"/>
      <c r="AA189" s="42" t="e">
        <f>_xlfn.XLOOKUP(C189,#REF!,#REF!,"",0,1)</f>
        <v>#REF!</v>
      </c>
      <c r="AB189" s="43">
        <f t="shared" si="6"/>
        <v>0</v>
      </c>
    </row>
    <row r="190" spans="1:28" ht="156.5" thickBot="1" x14ac:dyDescent="0.3">
      <c r="A190" s="36">
        <v>189</v>
      </c>
      <c r="B190" s="36" t="s">
        <v>24</v>
      </c>
      <c r="C190" s="36" t="s">
        <v>263</v>
      </c>
      <c r="D190" s="37">
        <v>44760</v>
      </c>
      <c r="E190" s="36" t="s">
        <v>634</v>
      </c>
      <c r="F190" s="36" t="s">
        <v>635</v>
      </c>
      <c r="G190" s="36" t="s">
        <v>55</v>
      </c>
      <c r="H190" s="36" t="s">
        <v>651</v>
      </c>
      <c r="I190" s="36" t="s">
        <v>276</v>
      </c>
      <c r="J190" s="36" t="str">
        <f t="shared" si="4"/>
        <v>GAD (Information and Public Relations)Information and Public Relations EstablishmentCLibrarian Cum Reference List AssistantS10 (29200 - 92300)</v>
      </c>
      <c r="K190" s="36" t="s">
        <v>170</v>
      </c>
      <c r="L190" s="36" t="s">
        <v>228</v>
      </c>
      <c r="M190" s="38" t="s">
        <v>652</v>
      </c>
      <c r="N190" s="36" t="s">
        <v>172</v>
      </c>
      <c r="O190" s="6" t="s">
        <v>33</v>
      </c>
      <c r="P190" s="7">
        <v>1</v>
      </c>
      <c r="Q190" s="7" t="s">
        <v>34</v>
      </c>
      <c r="R190" s="8"/>
      <c r="S190" s="8"/>
      <c r="T190" s="7" t="s">
        <v>2395</v>
      </c>
      <c r="U190" s="36" t="s">
        <v>35</v>
      </c>
      <c r="V190" s="38" t="s">
        <v>653</v>
      </c>
      <c r="W190" s="36"/>
      <c r="X190" s="36" t="s">
        <v>654</v>
      </c>
      <c r="Y190" s="36" t="s">
        <v>655</v>
      </c>
      <c r="Z190" s="41"/>
      <c r="AA190" s="42" t="e">
        <f>_xlfn.XLOOKUP(C190,#REF!,#REF!,"",0,1)</f>
        <v>#REF!</v>
      </c>
      <c r="AB190" s="43">
        <f t="shared" si="6"/>
        <v>0</v>
      </c>
    </row>
    <row r="191" spans="1:28" ht="156.5" thickBot="1" x14ac:dyDescent="0.3">
      <c r="A191" s="36">
        <v>190</v>
      </c>
      <c r="B191" s="36" t="s">
        <v>24</v>
      </c>
      <c r="C191" s="36" t="s">
        <v>263</v>
      </c>
      <c r="D191" s="37">
        <v>44760</v>
      </c>
      <c r="E191" s="36" t="s">
        <v>634</v>
      </c>
      <c r="F191" s="36" t="s">
        <v>635</v>
      </c>
      <c r="G191" s="36" t="s">
        <v>55</v>
      </c>
      <c r="H191" s="36" t="s">
        <v>656</v>
      </c>
      <c r="I191" s="36" t="s">
        <v>276</v>
      </c>
      <c r="J191" s="36" t="str">
        <f t="shared" si="4"/>
        <v>GAD (Information and Public Relations)Information and Public Relations EstablishmentCAssistant T.V. CameramanS10 (29200 - 92300)</v>
      </c>
      <c r="K191" s="36" t="s">
        <v>657</v>
      </c>
      <c r="L191" s="36" t="s">
        <v>225</v>
      </c>
      <c r="M191" s="38" t="s">
        <v>658</v>
      </c>
      <c r="N191" s="36" t="s">
        <v>659</v>
      </c>
      <c r="O191" s="6" t="s">
        <v>33</v>
      </c>
      <c r="P191" s="7">
        <v>3</v>
      </c>
      <c r="Q191" s="7" t="s">
        <v>34</v>
      </c>
      <c r="R191" s="8"/>
      <c r="S191" s="8"/>
      <c r="T191" s="7" t="s">
        <v>35</v>
      </c>
      <c r="U191" s="36" t="s">
        <v>61</v>
      </c>
      <c r="V191" s="38" t="s">
        <v>660</v>
      </c>
      <c r="W191" s="36"/>
      <c r="X191" s="36" t="s">
        <v>661</v>
      </c>
      <c r="Y191" s="36" t="s">
        <v>662</v>
      </c>
      <c r="Z191" s="41"/>
      <c r="AA191" s="42" t="e">
        <f>_xlfn.XLOOKUP(C191,#REF!,#REF!,"",0,1)</f>
        <v>#REF!</v>
      </c>
      <c r="AB191" s="43">
        <f t="shared" si="6"/>
        <v>0</v>
      </c>
    </row>
    <row r="192" spans="1:28" ht="169.5" thickBot="1" x14ac:dyDescent="0.3">
      <c r="A192" s="36">
        <v>191</v>
      </c>
      <c r="B192" s="44" t="s">
        <v>24</v>
      </c>
      <c r="C192" s="36" t="s">
        <v>263</v>
      </c>
      <c r="D192" s="37">
        <v>44760</v>
      </c>
      <c r="E192" s="44" t="s">
        <v>634</v>
      </c>
      <c r="F192" s="44" t="s">
        <v>635</v>
      </c>
      <c r="G192" s="44" t="s">
        <v>55</v>
      </c>
      <c r="H192" s="44" t="s">
        <v>663</v>
      </c>
      <c r="I192" s="44" t="s">
        <v>276</v>
      </c>
      <c r="J192" s="44" t="str">
        <f t="shared" si="4"/>
        <v>GAD (Information and Public Relations)Information and Public Relations EstablishmentCAssistant Television Picture EditorS10 (29200 - 92300)</v>
      </c>
      <c r="K192" s="44"/>
      <c r="L192" s="44" t="s">
        <v>111</v>
      </c>
      <c r="M192" s="44" t="s">
        <v>658</v>
      </c>
      <c r="N192" s="44" t="s">
        <v>664</v>
      </c>
      <c r="O192" s="11" t="s">
        <v>33</v>
      </c>
      <c r="P192" s="13"/>
      <c r="Q192" s="12" t="s">
        <v>34</v>
      </c>
      <c r="R192" s="13"/>
      <c r="S192" s="13"/>
      <c r="T192" s="4" t="s">
        <v>3276</v>
      </c>
      <c r="U192" s="44" t="s">
        <v>596</v>
      </c>
      <c r="V192" s="44" t="s">
        <v>658</v>
      </c>
      <c r="W192" s="44"/>
      <c r="X192" s="44" t="s">
        <v>150</v>
      </c>
      <c r="Y192" s="44" t="s">
        <v>150</v>
      </c>
      <c r="Z192" s="41"/>
      <c r="AA192" s="42" t="e">
        <f>_xlfn.XLOOKUP(C192,#REF!,#REF!,"",0,1)</f>
        <v>#REF!</v>
      </c>
      <c r="AB192" s="43">
        <f t="shared" si="6"/>
        <v>0</v>
      </c>
    </row>
    <row r="193" spans="1:28" ht="130.5" thickBot="1" x14ac:dyDescent="0.3">
      <c r="A193" s="36">
        <v>192</v>
      </c>
      <c r="B193" s="36" t="s">
        <v>24</v>
      </c>
      <c r="C193" s="36" t="s">
        <v>263</v>
      </c>
      <c r="D193" s="37">
        <v>44760</v>
      </c>
      <c r="E193" s="36" t="s">
        <v>634</v>
      </c>
      <c r="F193" s="36" t="s">
        <v>635</v>
      </c>
      <c r="G193" s="36" t="s">
        <v>55</v>
      </c>
      <c r="H193" s="36" t="s">
        <v>665</v>
      </c>
      <c r="I193" s="36" t="s">
        <v>276</v>
      </c>
      <c r="J193" s="36" t="str">
        <f t="shared" si="4"/>
        <v>GAD (Information and Public Relations)Information and Public Relations EstablishmentCArtistS10 (29200 - 92300)</v>
      </c>
      <c r="K193" s="36"/>
      <c r="L193" s="36" t="s">
        <v>238</v>
      </c>
      <c r="M193" s="38" t="s">
        <v>666</v>
      </c>
      <c r="N193" s="36" t="s">
        <v>283</v>
      </c>
      <c r="O193" s="6" t="s">
        <v>33</v>
      </c>
      <c r="P193" s="7">
        <v>2</v>
      </c>
      <c r="Q193" s="7" t="s">
        <v>34</v>
      </c>
      <c r="R193" s="8"/>
      <c r="S193" s="8"/>
      <c r="T193" s="7" t="s">
        <v>35</v>
      </c>
      <c r="U193" s="36" t="s">
        <v>35</v>
      </c>
      <c r="V193" s="38"/>
      <c r="W193" s="36"/>
      <c r="X193" s="36"/>
      <c r="Y193" s="36"/>
      <c r="Z193" s="41"/>
      <c r="AA193" s="42" t="e">
        <f>_xlfn.XLOOKUP(C193,#REF!,#REF!,"",0,1)</f>
        <v>#REF!</v>
      </c>
      <c r="AB193" s="43">
        <f t="shared" si="6"/>
        <v>0</v>
      </c>
    </row>
    <row r="194" spans="1:28" ht="143.5" thickBot="1" x14ac:dyDescent="0.3">
      <c r="A194" s="36">
        <v>193</v>
      </c>
      <c r="B194" s="36" t="s">
        <v>24</v>
      </c>
      <c r="C194" s="36" t="s">
        <v>263</v>
      </c>
      <c r="D194" s="37">
        <v>44760</v>
      </c>
      <c r="E194" s="36" t="s">
        <v>634</v>
      </c>
      <c r="F194" s="36" t="s">
        <v>635</v>
      </c>
      <c r="G194" s="36" t="s">
        <v>55</v>
      </c>
      <c r="H194" s="36" t="s">
        <v>667</v>
      </c>
      <c r="I194" s="36" t="s">
        <v>668</v>
      </c>
      <c r="J194" s="36" t="str">
        <f t="shared" ref="J194:J257" si="7">_xlfn.CONCAT(E194:I194)</f>
        <v>GAD (Information and Public Relations)Information and Public Relations EstablishmentCPhotographerS12 (32000 - 101600)</v>
      </c>
      <c r="K194" s="36" t="s">
        <v>657</v>
      </c>
      <c r="L194" s="36" t="s">
        <v>225</v>
      </c>
      <c r="M194" s="38" t="s">
        <v>669</v>
      </c>
      <c r="N194" s="36" t="s">
        <v>659</v>
      </c>
      <c r="O194" s="6" t="s">
        <v>33</v>
      </c>
      <c r="P194" s="7">
        <v>6</v>
      </c>
      <c r="Q194" s="7" t="s">
        <v>34</v>
      </c>
      <c r="R194" s="8"/>
      <c r="S194" s="8"/>
      <c r="T194" s="7" t="s">
        <v>35</v>
      </c>
      <c r="U194" s="36" t="s">
        <v>35</v>
      </c>
      <c r="V194" s="38" t="s">
        <v>670</v>
      </c>
      <c r="W194" s="36"/>
      <c r="X194" s="36" t="s">
        <v>150</v>
      </c>
      <c r="Y194" s="36" t="s">
        <v>150</v>
      </c>
      <c r="Z194" s="41"/>
      <c r="AA194" s="42" t="e">
        <f>_xlfn.XLOOKUP(C194,#REF!,#REF!,"",0,1)</f>
        <v>#REF!</v>
      </c>
      <c r="AB194" s="43">
        <f t="shared" ref="AB194:AB195" si="8">IFERROR(FLOOR(P194*AA194,1),0)</f>
        <v>0</v>
      </c>
    </row>
    <row r="195" spans="1:28" ht="143.5" thickBot="1" x14ac:dyDescent="0.3">
      <c r="A195" s="36">
        <v>194</v>
      </c>
      <c r="B195" s="36" t="s">
        <v>24</v>
      </c>
      <c r="C195" s="36" t="s">
        <v>263</v>
      </c>
      <c r="D195" s="37">
        <v>44760</v>
      </c>
      <c r="E195" s="36" t="s">
        <v>634</v>
      </c>
      <c r="F195" s="36" t="s">
        <v>635</v>
      </c>
      <c r="G195" s="36" t="s">
        <v>55</v>
      </c>
      <c r="H195" s="36" t="s">
        <v>671</v>
      </c>
      <c r="I195" s="36" t="s">
        <v>668</v>
      </c>
      <c r="J195" s="36" t="str">
        <f t="shared" si="7"/>
        <v>GAD (Information and Public Relations)Information and Public Relations EstablishmentCTranslatorS12 (32000 - 101600)</v>
      </c>
      <c r="K195" s="36" t="s">
        <v>672</v>
      </c>
      <c r="L195" s="36" t="s">
        <v>228</v>
      </c>
      <c r="M195" s="38" t="s">
        <v>673</v>
      </c>
      <c r="N195" s="36" t="s">
        <v>642</v>
      </c>
      <c r="O195" s="6" t="s">
        <v>33</v>
      </c>
      <c r="P195" s="7">
        <v>14</v>
      </c>
      <c r="Q195" s="7" t="s">
        <v>34</v>
      </c>
      <c r="R195" s="8"/>
      <c r="S195" s="8"/>
      <c r="T195" s="7" t="s">
        <v>61</v>
      </c>
      <c r="U195" s="36" t="s">
        <v>35</v>
      </c>
      <c r="V195" s="38" t="s">
        <v>673</v>
      </c>
      <c r="W195" s="36"/>
      <c r="X195" s="36" t="s">
        <v>150</v>
      </c>
      <c r="Y195" s="36" t="s">
        <v>150</v>
      </c>
      <c r="Z195" s="41"/>
      <c r="AA195" s="42" t="e">
        <f>_xlfn.XLOOKUP(C195,#REF!,#REF!,"",0,1)</f>
        <v>#REF!</v>
      </c>
      <c r="AB195" s="43">
        <f t="shared" si="8"/>
        <v>0</v>
      </c>
    </row>
    <row r="196" spans="1:28" ht="156.5" thickBot="1" x14ac:dyDescent="0.3">
      <c r="A196" s="36">
        <v>195</v>
      </c>
      <c r="B196" s="36" t="s">
        <v>584</v>
      </c>
      <c r="C196" s="36" t="s">
        <v>263</v>
      </c>
      <c r="D196" s="37">
        <v>44760</v>
      </c>
      <c r="E196" s="36" t="s">
        <v>634</v>
      </c>
      <c r="F196" s="36" t="s">
        <v>635</v>
      </c>
      <c r="G196" s="36" t="s">
        <v>55</v>
      </c>
      <c r="H196" s="36" t="s">
        <v>56</v>
      </c>
      <c r="I196" s="36" t="s">
        <v>57</v>
      </c>
      <c r="J196" s="36" t="str">
        <f t="shared" si="7"/>
        <v>GAD (Information and Public Relations)Information and Public Relations EstablishmentCAssistant SuperintendentS13 (35400 - 112400)</v>
      </c>
      <c r="K196" s="36" t="s">
        <v>58</v>
      </c>
      <c r="L196" s="36" t="s">
        <v>228</v>
      </c>
      <c r="M196" s="38" t="s">
        <v>674</v>
      </c>
      <c r="N196" s="36" t="s">
        <v>60</v>
      </c>
      <c r="O196" s="6" t="s">
        <v>33</v>
      </c>
      <c r="P196" s="8"/>
      <c r="Q196" s="7" t="s">
        <v>34</v>
      </c>
      <c r="R196" s="8"/>
      <c r="S196" s="8"/>
      <c r="T196" s="7" t="s">
        <v>35</v>
      </c>
      <c r="U196" s="36" t="s">
        <v>61</v>
      </c>
      <c r="V196" s="38" t="s">
        <v>675</v>
      </c>
      <c r="W196" s="36"/>
      <c r="X196" s="36" t="s">
        <v>676</v>
      </c>
      <c r="Y196" s="36" t="s">
        <v>677</v>
      </c>
      <c r="Z196" s="41"/>
      <c r="AA196" s="42" t="e">
        <f>_xlfn.XLOOKUP(C196,#REF!,#REF!,"",0,1)</f>
        <v>#REF!</v>
      </c>
      <c r="AB196" s="43">
        <f t="shared" ref="AB196:AB257" si="9">IFERROR(FLOOR(P196*AA196,1),0)</f>
        <v>0</v>
      </c>
    </row>
    <row r="197" spans="1:28" ht="156.5" thickBot="1" x14ac:dyDescent="0.3">
      <c r="A197" s="36">
        <v>196</v>
      </c>
      <c r="B197" s="36" t="s">
        <v>584</v>
      </c>
      <c r="C197" s="36" t="s">
        <v>263</v>
      </c>
      <c r="D197" s="37">
        <v>44760</v>
      </c>
      <c r="E197" s="36" t="s">
        <v>634</v>
      </c>
      <c r="F197" s="36" t="s">
        <v>635</v>
      </c>
      <c r="G197" s="36" t="s">
        <v>55</v>
      </c>
      <c r="H197" s="36" t="s">
        <v>678</v>
      </c>
      <c r="I197" s="36" t="s">
        <v>57</v>
      </c>
      <c r="J197" s="36" t="str">
        <f t="shared" si="7"/>
        <v>GAD (Information and Public Relations)Information and Public Relations EstablishmentCExhibition AssistantS13 (35400 - 112400)</v>
      </c>
      <c r="K197" s="36"/>
      <c r="L197" s="36" t="s">
        <v>238</v>
      </c>
      <c r="M197" s="38" t="s">
        <v>666</v>
      </c>
      <c r="N197" s="36" t="s">
        <v>283</v>
      </c>
      <c r="O197" s="6" t="s">
        <v>33</v>
      </c>
      <c r="P197" s="8"/>
      <c r="Q197" s="7" t="s">
        <v>34</v>
      </c>
      <c r="R197" s="8"/>
      <c r="S197" s="8"/>
      <c r="T197" s="7" t="s">
        <v>35</v>
      </c>
      <c r="U197" s="36" t="s">
        <v>596</v>
      </c>
      <c r="V197" s="38"/>
      <c r="W197" s="36"/>
      <c r="X197" s="36"/>
      <c r="Y197" s="36"/>
      <c r="Z197" s="41"/>
      <c r="AA197" s="42" t="e">
        <f>_xlfn.XLOOKUP(C197,#REF!,#REF!,"",0,1)</f>
        <v>#REF!</v>
      </c>
      <c r="AB197" s="43">
        <f t="shared" si="9"/>
        <v>0</v>
      </c>
    </row>
    <row r="198" spans="1:28" ht="169.5" thickBot="1" x14ac:dyDescent="0.3">
      <c r="A198" s="36">
        <v>197</v>
      </c>
      <c r="B198" s="36" t="s">
        <v>24</v>
      </c>
      <c r="C198" s="36" t="s">
        <v>263</v>
      </c>
      <c r="D198" s="37">
        <v>44760</v>
      </c>
      <c r="E198" s="36" t="s">
        <v>634</v>
      </c>
      <c r="F198" s="36" t="s">
        <v>635</v>
      </c>
      <c r="G198" s="36" t="s">
        <v>55</v>
      </c>
      <c r="H198" s="36" t="s">
        <v>679</v>
      </c>
      <c r="I198" s="36" t="s">
        <v>67</v>
      </c>
      <c r="J198" s="36" t="str">
        <f t="shared" si="7"/>
        <v>GAD (Information and Public Relations)Information and Public Relations EstablishmentCDeputy Librarian 1 (Alternate)S14 (38600 - 122800)</v>
      </c>
      <c r="K198" s="36" t="s">
        <v>170</v>
      </c>
      <c r="L198" s="36" t="s">
        <v>228</v>
      </c>
      <c r="M198" s="38" t="s">
        <v>680</v>
      </c>
      <c r="N198" s="36" t="s">
        <v>172</v>
      </c>
      <c r="O198" s="6" t="s">
        <v>83</v>
      </c>
      <c r="P198" s="7">
        <v>0</v>
      </c>
      <c r="Q198" s="7" t="s">
        <v>34</v>
      </c>
      <c r="R198" s="8"/>
      <c r="S198" s="8"/>
      <c r="T198" s="7" t="s">
        <v>2395</v>
      </c>
      <c r="U198" s="36" t="s">
        <v>596</v>
      </c>
      <c r="V198" s="38" t="s">
        <v>681</v>
      </c>
      <c r="W198" s="36"/>
      <c r="X198" s="36" t="s">
        <v>654</v>
      </c>
      <c r="Y198" s="36" t="s">
        <v>655</v>
      </c>
      <c r="Z198" s="41"/>
      <c r="AA198" s="42" t="e">
        <f>_xlfn.XLOOKUP(C198,#REF!,#REF!,"",0,1)</f>
        <v>#REF!</v>
      </c>
      <c r="AB198" s="43">
        <f t="shared" si="9"/>
        <v>0</v>
      </c>
    </row>
    <row r="199" spans="1:28" ht="182.5" thickBot="1" x14ac:dyDescent="0.3">
      <c r="A199" s="36">
        <v>198</v>
      </c>
      <c r="B199" s="36" t="s">
        <v>24</v>
      </c>
      <c r="C199" s="36" t="s">
        <v>263</v>
      </c>
      <c r="D199" s="37">
        <v>44760</v>
      </c>
      <c r="E199" s="36" t="s">
        <v>634</v>
      </c>
      <c r="F199" s="36" t="s">
        <v>635</v>
      </c>
      <c r="G199" s="36" t="s">
        <v>42</v>
      </c>
      <c r="H199" s="36" t="s">
        <v>682</v>
      </c>
      <c r="I199" s="36" t="s">
        <v>44</v>
      </c>
      <c r="J199" s="36" t="str">
        <f t="shared" si="7"/>
        <v>GAD (Information and Public Relations)Information and Public Relations EstablishmentB (Gazetted)Librarian, Mumbai 1 (Alternate)S15 (41800 - 132300)</v>
      </c>
      <c r="K199" s="36"/>
      <c r="L199" s="48" t="s">
        <v>243</v>
      </c>
      <c r="M199" s="38" t="s">
        <v>680</v>
      </c>
      <c r="N199" s="36" t="s">
        <v>683</v>
      </c>
      <c r="O199" s="6" t="s">
        <v>33</v>
      </c>
      <c r="P199" s="7">
        <v>0</v>
      </c>
      <c r="Q199" s="7" t="s">
        <v>34</v>
      </c>
      <c r="R199" s="8"/>
      <c r="S199" s="8"/>
      <c r="T199" s="4" t="s">
        <v>3276</v>
      </c>
      <c r="U199" s="36" t="s">
        <v>596</v>
      </c>
      <c r="V199" s="38"/>
      <c r="W199" s="36"/>
      <c r="X199" s="36"/>
      <c r="Y199" s="36"/>
      <c r="Z199" s="41"/>
      <c r="AA199" s="42" t="e">
        <f>_xlfn.XLOOKUP(C199,#REF!,#REF!,"",0,1)</f>
        <v>#REF!</v>
      </c>
      <c r="AB199" s="43">
        <f t="shared" si="9"/>
        <v>0</v>
      </c>
    </row>
    <row r="200" spans="1:28" ht="156.5" thickBot="1" x14ac:dyDescent="0.3">
      <c r="A200" s="36">
        <v>199</v>
      </c>
      <c r="B200" s="36" t="s">
        <v>24</v>
      </c>
      <c r="C200" s="36" t="s">
        <v>263</v>
      </c>
      <c r="D200" s="37">
        <v>44760</v>
      </c>
      <c r="E200" s="36" t="s">
        <v>634</v>
      </c>
      <c r="F200" s="36" t="s">
        <v>635</v>
      </c>
      <c r="G200" s="36" t="s">
        <v>55</v>
      </c>
      <c r="H200" s="36" t="s">
        <v>684</v>
      </c>
      <c r="I200" s="36" t="s">
        <v>44</v>
      </c>
      <c r="J200" s="36" t="str">
        <f t="shared" si="7"/>
        <v>GAD (Information and Public Relations)Information and Public Relations EstablishmentCStenographer (HG)S15 (41800 - 132300)</v>
      </c>
      <c r="K200" s="36" t="s">
        <v>68</v>
      </c>
      <c r="L200" s="36" t="s">
        <v>231</v>
      </c>
      <c r="M200" s="38" t="s">
        <v>685</v>
      </c>
      <c r="N200" s="36" t="s">
        <v>70</v>
      </c>
      <c r="O200" s="6" t="s">
        <v>33</v>
      </c>
      <c r="P200" s="7">
        <v>1</v>
      </c>
      <c r="Q200" s="7" t="s">
        <v>34</v>
      </c>
      <c r="R200" s="8"/>
      <c r="S200" s="8"/>
      <c r="T200" s="4" t="s">
        <v>3276</v>
      </c>
      <c r="U200" s="36" t="s">
        <v>61</v>
      </c>
      <c r="V200" s="38"/>
      <c r="W200" s="36"/>
      <c r="X200" s="36"/>
      <c r="Y200" s="36"/>
      <c r="Z200" s="41"/>
      <c r="AA200" s="42" t="e">
        <f>_xlfn.XLOOKUP(C200,#REF!,#REF!,"",0,1)</f>
        <v>#REF!</v>
      </c>
      <c r="AB200" s="43">
        <f t="shared" si="9"/>
        <v>0</v>
      </c>
    </row>
    <row r="201" spans="1:28" ht="156.5" thickBot="1" x14ac:dyDescent="0.3">
      <c r="A201" s="44">
        <v>200</v>
      </c>
      <c r="B201" s="44" t="s">
        <v>24</v>
      </c>
      <c r="C201" s="36" t="s">
        <v>263</v>
      </c>
      <c r="D201" s="37">
        <v>44760</v>
      </c>
      <c r="E201" s="44" t="s">
        <v>634</v>
      </c>
      <c r="F201" s="44" t="s">
        <v>635</v>
      </c>
      <c r="G201" s="44" t="s">
        <v>55</v>
      </c>
      <c r="H201" s="44" t="s">
        <v>686</v>
      </c>
      <c r="I201" s="44" t="s">
        <v>44</v>
      </c>
      <c r="J201" s="44" t="str">
        <f t="shared" si="7"/>
        <v>GAD (Information and Public Relations)Information and Public Relations EstablishmentCTV Film EditorS15 (41800 - 132300)</v>
      </c>
      <c r="K201" s="44"/>
      <c r="L201" s="44" t="s">
        <v>111</v>
      </c>
      <c r="M201" s="45" t="s">
        <v>687</v>
      </c>
      <c r="N201" s="44" t="s">
        <v>283</v>
      </c>
      <c r="O201" s="11" t="s">
        <v>33</v>
      </c>
      <c r="P201" s="12">
        <v>1</v>
      </c>
      <c r="Q201" s="12" t="s">
        <v>34</v>
      </c>
      <c r="R201" s="13"/>
      <c r="S201" s="13"/>
      <c r="T201" s="4" t="s">
        <v>3276</v>
      </c>
      <c r="U201" s="44" t="s">
        <v>596</v>
      </c>
      <c r="V201" s="45"/>
      <c r="W201" s="44"/>
      <c r="X201" s="44"/>
      <c r="Y201" s="44"/>
      <c r="Z201" s="41"/>
      <c r="AA201" s="42" t="e">
        <f>_xlfn.XLOOKUP(C201,#REF!,#REF!,"",0,1)</f>
        <v>#REF!</v>
      </c>
      <c r="AB201" s="43">
        <f t="shared" si="9"/>
        <v>0</v>
      </c>
    </row>
    <row r="202" spans="1:28" ht="156.5" thickBot="1" x14ac:dyDescent="0.3">
      <c r="A202" s="36">
        <v>201</v>
      </c>
      <c r="B202" s="36" t="s">
        <v>24</v>
      </c>
      <c r="C202" s="36" t="s">
        <v>263</v>
      </c>
      <c r="D202" s="37">
        <v>44760</v>
      </c>
      <c r="E202" s="36" t="s">
        <v>634</v>
      </c>
      <c r="F202" s="36" t="s">
        <v>635</v>
      </c>
      <c r="G202" s="36" t="s">
        <v>55</v>
      </c>
      <c r="H202" s="36" t="s">
        <v>330</v>
      </c>
      <c r="I202" s="36" t="s">
        <v>44</v>
      </c>
      <c r="J202" s="36" t="str">
        <f t="shared" si="7"/>
        <v>GAD (Information and Public Relations)Information and Public Relations EstablishmentCTechnical AssistantS15 (41800 - 132300)</v>
      </c>
      <c r="K202" s="36"/>
      <c r="L202" s="36" t="s">
        <v>238</v>
      </c>
      <c r="M202" s="38" t="s">
        <v>688</v>
      </c>
      <c r="N202" s="36" t="s">
        <v>283</v>
      </c>
      <c r="O202" s="6" t="s">
        <v>33</v>
      </c>
      <c r="P202" s="7">
        <v>6</v>
      </c>
      <c r="Q202" s="7" t="s">
        <v>34</v>
      </c>
      <c r="R202" s="8"/>
      <c r="S202" s="8"/>
      <c r="T202" s="7" t="s">
        <v>35</v>
      </c>
      <c r="U202" s="36" t="s">
        <v>61</v>
      </c>
      <c r="V202" s="38"/>
      <c r="W202" s="36"/>
      <c r="X202" s="36"/>
      <c r="Y202" s="36"/>
      <c r="Z202" s="41"/>
      <c r="AA202" s="42" t="e">
        <f>_xlfn.XLOOKUP(C202,#REF!,#REF!,"",0,1)</f>
        <v>#REF!</v>
      </c>
      <c r="AB202" s="43">
        <f t="shared" si="9"/>
        <v>0</v>
      </c>
    </row>
    <row r="203" spans="1:28" ht="143.5" thickBot="1" x14ac:dyDescent="0.3">
      <c r="A203" s="36">
        <v>202</v>
      </c>
      <c r="B203" s="36" t="s">
        <v>24</v>
      </c>
      <c r="C203" s="36" t="s">
        <v>263</v>
      </c>
      <c r="D203" s="37">
        <v>44760</v>
      </c>
      <c r="E203" s="36" t="s">
        <v>634</v>
      </c>
      <c r="F203" s="36" t="s">
        <v>635</v>
      </c>
      <c r="G203" s="36" t="s">
        <v>55</v>
      </c>
      <c r="H203" s="36" t="s">
        <v>689</v>
      </c>
      <c r="I203" s="36" t="s">
        <v>54</v>
      </c>
      <c r="J203" s="36" t="str">
        <f t="shared" si="7"/>
        <v>GAD (Information and Public Relations)Information and Public Relations EstablishmentCSub EditorS16 (44900 - 142400)</v>
      </c>
      <c r="K203" s="36" t="s">
        <v>672</v>
      </c>
      <c r="L203" s="36" t="s">
        <v>228</v>
      </c>
      <c r="M203" s="38" t="s">
        <v>690</v>
      </c>
      <c r="N203" s="36" t="s">
        <v>691</v>
      </c>
      <c r="O203" s="6" t="s">
        <v>33</v>
      </c>
      <c r="P203" s="7">
        <v>27</v>
      </c>
      <c r="Q203" s="7" t="s">
        <v>34</v>
      </c>
      <c r="R203" s="8"/>
      <c r="S203" s="8"/>
      <c r="T203" s="7" t="s">
        <v>61</v>
      </c>
      <c r="U203" s="36" t="s">
        <v>61</v>
      </c>
      <c r="V203" s="38" t="s">
        <v>692</v>
      </c>
      <c r="W203" s="36"/>
      <c r="X203" s="36" t="s">
        <v>693</v>
      </c>
      <c r="Y203" s="36" t="s">
        <v>694</v>
      </c>
      <c r="Z203" s="41"/>
      <c r="AA203" s="42" t="e">
        <f>_xlfn.XLOOKUP(C203,#REF!,#REF!,"",0,1)</f>
        <v>#REF!</v>
      </c>
      <c r="AB203" s="43">
        <f t="shared" si="9"/>
        <v>0</v>
      </c>
    </row>
    <row r="204" spans="1:28" ht="156.5" thickBot="1" x14ac:dyDescent="0.3">
      <c r="A204" s="36">
        <v>203</v>
      </c>
      <c r="B204" s="36" t="s">
        <v>24</v>
      </c>
      <c r="C204" s="36" t="s">
        <v>263</v>
      </c>
      <c r="D204" s="37">
        <v>44760</v>
      </c>
      <c r="E204" s="36" t="s">
        <v>634</v>
      </c>
      <c r="F204" s="36" t="s">
        <v>635</v>
      </c>
      <c r="G204" s="36" t="s">
        <v>55</v>
      </c>
      <c r="H204" s="36" t="s">
        <v>695</v>
      </c>
      <c r="I204" s="36" t="s">
        <v>372</v>
      </c>
      <c r="J204" s="36" t="str">
        <f t="shared" si="7"/>
        <v>GAD (Information and Public Relations)Information and Public Relations EstablishmentCT.V. CameramanS17 (47600 - 151100)</v>
      </c>
      <c r="K204" s="36" t="s">
        <v>657</v>
      </c>
      <c r="L204" s="36" t="s">
        <v>225</v>
      </c>
      <c r="M204" s="38" t="s">
        <v>669</v>
      </c>
      <c r="N204" s="36" t="s">
        <v>659</v>
      </c>
      <c r="O204" s="6" t="s">
        <v>33</v>
      </c>
      <c r="P204" s="7">
        <v>8</v>
      </c>
      <c r="Q204" s="7" t="s">
        <v>34</v>
      </c>
      <c r="R204" s="8"/>
      <c r="S204" s="8"/>
      <c r="T204" s="7" t="s">
        <v>35</v>
      </c>
      <c r="U204" s="36" t="s">
        <v>35</v>
      </c>
      <c r="V204" s="38" t="s">
        <v>696</v>
      </c>
      <c r="W204" s="36"/>
      <c r="X204" s="36" t="s">
        <v>697</v>
      </c>
      <c r="Y204" s="36" t="s">
        <v>698</v>
      </c>
      <c r="Z204" s="41"/>
      <c r="AA204" s="42" t="e">
        <f>_xlfn.XLOOKUP(C204,#REF!,#REF!,"",0,1)</f>
        <v>#REF!</v>
      </c>
      <c r="AB204" s="43">
        <f t="shared" si="9"/>
        <v>0</v>
      </c>
    </row>
    <row r="205" spans="1:28" ht="143.5" thickBot="1" x14ac:dyDescent="0.3">
      <c r="A205" s="36">
        <v>204</v>
      </c>
      <c r="B205" s="36" t="s">
        <v>24</v>
      </c>
      <c r="C205" s="36" t="s">
        <v>263</v>
      </c>
      <c r="D205" s="37">
        <v>44760</v>
      </c>
      <c r="E205" s="36" t="s">
        <v>634</v>
      </c>
      <c r="F205" s="36" t="s">
        <v>635</v>
      </c>
      <c r="G205" s="36" t="s">
        <v>55</v>
      </c>
      <c r="H205" s="36" t="s">
        <v>699</v>
      </c>
      <c r="I205" s="36" t="s">
        <v>700</v>
      </c>
      <c r="J205" s="36" t="str">
        <f t="shared" si="7"/>
        <v>GAD (Information and Public Relations)Information and Public Relations EstablishmentCCamera AssistantS3 (16600 - 52400)</v>
      </c>
      <c r="K205" s="36" t="s">
        <v>657</v>
      </c>
      <c r="L205" s="36" t="s">
        <v>225</v>
      </c>
      <c r="M205" s="38" t="s">
        <v>701</v>
      </c>
      <c r="N205" s="36"/>
      <c r="O205" s="6" t="s">
        <v>33</v>
      </c>
      <c r="P205" s="7">
        <v>3</v>
      </c>
      <c r="Q205" s="7" t="s">
        <v>34</v>
      </c>
      <c r="R205" s="8"/>
      <c r="S205" s="8"/>
      <c r="T205" s="7" t="s">
        <v>35</v>
      </c>
      <c r="U205" s="36" t="s">
        <v>35</v>
      </c>
      <c r="V205" s="38" t="s">
        <v>701</v>
      </c>
      <c r="W205" s="36"/>
      <c r="X205" s="36" t="s">
        <v>150</v>
      </c>
      <c r="Y205" s="36" t="s">
        <v>150</v>
      </c>
      <c r="Z205" s="41"/>
      <c r="AA205" s="42" t="e">
        <f>_xlfn.XLOOKUP(C205,#REF!,#REF!,"",0,1)</f>
        <v>#REF!</v>
      </c>
      <c r="AB205" s="43">
        <f t="shared" si="9"/>
        <v>0</v>
      </c>
    </row>
    <row r="206" spans="1:28" ht="130.5" thickBot="1" x14ac:dyDescent="0.3">
      <c r="A206" s="36">
        <v>205</v>
      </c>
      <c r="B206" s="36" t="s">
        <v>24</v>
      </c>
      <c r="C206" s="36" t="s">
        <v>263</v>
      </c>
      <c r="D206" s="37">
        <v>44760</v>
      </c>
      <c r="E206" s="36" t="s">
        <v>634</v>
      </c>
      <c r="F206" s="36" t="s">
        <v>635</v>
      </c>
      <c r="G206" s="36" t="s">
        <v>55</v>
      </c>
      <c r="H206" s="36" t="s">
        <v>702</v>
      </c>
      <c r="I206" s="36" t="s">
        <v>74</v>
      </c>
      <c r="J206" s="36" t="str">
        <f t="shared" si="7"/>
        <v>GAD (Information and Public Relations)Information and Public Relations EstablishmentCClerktypistS6 (19900 - 63200)</v>
      </c>
      <c r="K206" s="36" t="s">
        <v>75</v>
      </c>
      <c r="L206" s="36" t="s">
        <v>228</v>
      </c>
      <c r="M206" s="38" t="s">
        <v>703</v>
      </c>
      <c r="N206" s="36" t="s">
        <v>70</v>
      </c>
      <c r="O206" s="6" t="s">
        <v>33</v>
      </c>
      <c r="P206" s="7">
        <v>54</v>
      </c>
      <c r="Q206" s="7" t="s">
        <v>100</v>
      </c>
      <c r="R206" s="8"/>
      <c r="S206" s="8"/>
      <c r="T206" s="7" t="s">
        <v>35</v>
      </c>
      <c r="U206" s="36" t="s">
        <v>61</v>
      </c>
      <c r="V206" s="38" t="s">
        <v>125</v>
      </c>
      <c r="W206" s="36"/>
      <c r="X206" s="36" t="s">
        <v>77</v>
      </c>
      <c r="Y206" s="36" t="s">
        <v>78</v>
      </c>
      <c r="Z206" s="41"/>
      <c r="AA206" s="42" t="e">
        <f>_xlfn.XLOOKUP(C206,#REF!,#REF!,"",0,1)</f>
        <v>#REF!</v>
      </c>
      <c r="AB206" s="43">
        <f t="shared" si="9"/>
        <v>0</v>
      </c>
    </row>
    <row r="207" spans="1:28" ht="143.5" thickBot="1" x14ac:dyDescent="0.3">
      <c r="A207" s="36">
        <v>206</v>
      </c>
      <c r="B207" s="44" t="s">
        <v>24</v>
      </c>
      <c r="C207" s="36" t="s">
        <v>263</v>
      </c>
      <c r="D207" s="37">
        <v>44760</v>
      </c>
      <c r="E207" s="44" t="s">
        <v>634</v>
      </c>
      <c r="F207" s="44" t="s">
        <v>635</v>
      </c>
      <c r="G207" s="44" t="s">
        <v>55</v>
      </c>
      <c r="H207" s="44" t="s">
        <v>704</v>
      </c>
      <c r="I207" s="44" t="s">
        <v>74</v>
      </c>
      <c r="J207" s="44" t="str">
        <f t="shared" si="7"/>
        <v>GAD (Information and Public Relations)Information and Public Relations EstablishmentCAudio Visual AssistantS6 (19900 - 63200)</v>
      </c>
      <c r="K207" s="44"/>
      <c r="L207" s="44" t="s">
        <v>111</v>
      </c>
      <c r="M207" s="44" t="s">
        <v>705</v>
      </c>
      <c r="N207" s="44" t="s">
        <v>283</v>
      </c>
      <c r="O207" s="11" t="s">
        <v>33</v>
      </c>
      <c r="P207" s="13"/>
      <c r="Q207" s="12" t="s">
        <v>34</v>
      </c>
      <c r="R207" s="13"/>
      <c r="S207" s="13"/>
      <c r="T207" s="4" t="s">
        <v>3276</v>
      </c>
      <c r="U207" s="44" t="s">
        <v>596</v>
      </c>
      <c r="V207" s="44"/>
      <c r="W207" s="44"/>
      <c r="X207" s="44"/>
      <c r="Y207" s="44"/>
      <c r="Z207" s="41"/>
      <c r="AA207" s="42" t="e">
        <f>_xlfn.XLOOKUP(C207,#REF!,#REF!,"",0,1)</f>
        <v>#REF!</v>
      </c>
      <c r="AB207" s="43">
        <f t="shared" si="9"/>
        <v>0</v>
      </c>
    </row>
    <row r="208" spans="1:28" ht="143.5" thickBot="1" x14ac:dyDescent="0.3">
      <c r="A208" s="36">
        <v>207</v>
      </c>
      <c r="B208" s="36" t="s">
        <v>24</v>
      </c>
      <c r="C208" s="36" t="s">
        <v>263</v>
      </c>
      <c r="D208" s="37">
        <v>44760</v>
      </c>
      <c r="E208" s="36" t="s">
        <v>634</v>
      </c>
      <c r="F208" s="36" t="s">
        <v>635</v>
      </c>
      <c r="G208" s="36" t="s">
        <v>55</v>
      </c>
      <c r="H208" s="36" t="s">
        <v>706</v>
      </c>
      <c r="I208" s="36" t="s">
        <v>169</v>
      </c>
      <c r="J208" s="36" t="str">
        <f t="shared" si="7"/>
        <v>GAD (Information and Public Relations)Information and Public Relations EstablishmentCAssistant LibrarianS7 (21700 - 69100)</v>
      </c>
      <c r="K208" s="36" t="s">
        <v>170</v>
      </c>
      <c r="L208" s="36" t="s">
        <v>228</v>
      </c>
      <c r="M208" s="38" t="s">
        <v>707</v>
      </c>
      <c r="N208" s="36" t="s">
        <v>172</v>
      </c>
      <c r="O208" s="6" t="s">
        <v>33</v>
      </c>
      <c r="P208" s="7">
        <v>0</v>
      </c>
      <c r="Q208" s="7" t="s">
        <v>34</v>
      </c>
      <c r="R208" s="8"/>
      <c r="S208" s="8"/>
      <c r="T208" s="7" t="s">
        <v>2395</v>
      </c>
      <c r="U208" s="36" t="s">
        <v>35</v>
      </c>
      <c r="V208" s="38" t="s">
        <v>708</v>
      </c>
      <c r="W208" s="36"/>
      <c r="X208" s="36" t="s">
        <v>150</v>
      </c>
      <c r="Y208" s="36" t="s">
        <v>150</v>
      </c>
      <c r="Z208" s="41"/>
      <c r="AA208" s="42" t="e">
        <f>_xlfn.XLOOKUP(C208,#REF!,#REF!,"",0,1)</f>
        <v>#REF!</v>
      </c>
      <c r="AB208" s="43">
        <f t="shared" si="9"/>
        <v>0</v>
      </c>
    </row>
    <row r="209" spans="1:28" ht="143.5" thickBot="1" x14ac:dyDescent="0.3">
      <c r="A209" s="44">
        <v>208</v>
      </c>
      <c r="B209" s="44" t="s">
        <v>24</v>
      </c>
      <c r="C209" s="36" t="s">
        <v>263</v>
      </c>
      <c r="D209" s="37">
        <v>44760</v>
      </c>
      <c r="E209" s="44" t="s">
        <v>634</v>
      </c>
      <c r="F209" s="44" t="s">
        <v>635</v>
      </c>
      <c r="G209" s="44" t="s">
        <v>55</v>
      </c>
      <c r="H209" s="44" t="s">
        <v>709</v>
      </c>
      <c r="I209" s="44" t="s">
        <v>169</v>
      </c>
      <c r="J209" s="44" t="str">
        <f t="shared" si="7"/>
        <v>GAD (Information and Public Relations)Information and Public Relations EstablishmentCLibrarian 1 (Alternate)S7 (21700 - 69100)</v>
      </c>
      <c r="K209" s="44"/>
      <c r="L209" s="44" t="s">
        <v>111</v>
      </c>
      <c r="M209" s="45" t="s">
        <v>710</v>
      </c>
      <c r="N209" s="44" t="s">
        <v>113</v>
      </c>
      <c r="O209" s="11" t="s">
        <v>33</v>
      </c>
      <c r="P209" s="12">
        <v>0</v>
      </c>
      <c r="Q209" s="12" t="s">
        <v>34</v>
      </c>
      <c r="R209" s="13"/>
      <c r="S209" s="13"/>
      <c r="T209" s="4" t="s">
        <v>3276</v>
      </c>
      <c r="U209" s="44" t="s">
        <v>596</v>
      </c>
      <c r="V209" s="45"/>
      <c r="W209" s="44"/>
      <c r="X209" s="44"/>
      <c r="Y209" s="44"/>
      <c r="Z209" s="41"/>
      <c r="AA209" s="42" t="e">
        <f>_xlfn.XLOOKUP(C209,#REF!,#REF!,"",0,1)</f>
        <v>#REF!</v>
      </c>
      <c r="AB209" s="43">
        <f t="shared" si="9"/>
        <v>0</v>
      </c>
    </row>
    <row r="210" spans="1:28" ht="130.5" thickBot="1" x14ac:dyDescent="0.3">
      <c r="A210" s="36">
        <v>209</v>
      </c>
      <c r="B210" s="36" t="s">
        <v>24</v>
      </c>
      <c r="C210" s="36" t="s">
        <v>263</v>
      </c>
      <c r="D210" s="37">
        <v>44760</v>
      </c>
      <c r="E210" s="36" t="s">
        <v>634</v>
      </c>
      <c r="F210" s="36" t="s">
        <v>635</v>
      </c>
      <c r="G210" s="36" t="s">
        <v>55</v>
      </c>
      <c r="H210" s="36" t="s">
        <v>711</v>
      </c>
      <c r="I210" s="36" t="s">
        <v>169</v>
      </c>
      <c r="J210" s="36" t="str">
        <f t="shared" si="7"/>
        <v>GAD (Information and Public Relations)Information and Public Relations EstablishmentCCalligraphistS7 (21700 - 69100)</v>
      </c>
      <c r="K210" s="36"/>
      <c r="L210" s="36" t="s">
        <v>238</v>
      </c>
      <c r="M210" s="38" t="s">
        <v>712</v>
      </c>
      <c r="N210" s="36" t="s">
        <v>283</v>
      </c>
      <c r="O210" s="6" t="s">
        <v>33</v>
      </c>
      <c r="P210" s="7">
        <v>1</v>
      </c>
      <c r="Q210" s="7" t="s">
        <v>34</v>
      </c>
      <c r="R210" s="8"/>
      <c r="S210" s="8"/>
      <c r="T210" s="7" t="s">
        <v>2395</v>
      </c>
      <c r="U210" s="36" t="s">
        <v>596</v>
      </c>
      <c r="V210" s="38"/>
      <c r="W210" s="36"/>
      <c r="X210" s="36"/>
      <c r="Y210" s="36"/>
      <c r="Z210" s="41"/>
      <c r="AA210" s="42" t="e">
        <f>_xlfn.XLOOKUP(C210,#REF!,#REF!,"",0,1)</f>
        <v>#REF!</v>
      </c>
      <c r="AB210" s="43">
        <f t="shared" si="9"/>
        <v>0</v>
      </c>
    </row>
    <row r="211" spans="1:28" ht="143.5" thickBot="1" x14ac:dyDescent="0.3">
      <c r="A211" s="36">
        <v>210</v>
      </c>
      <c r="B211" s="36" t="s">
        <v>24</v>
      </c>
      <c r="C211" s="36" t="s">
        <v>263</v>
      </c>
      <c r="D211" s="37">
        <v>44760</v>
      </c>
      <c r="E211" s="36" t="s">
        <v>634</v>
      </c>
      <c r="F211" s="36" t="s">
        <v>635</v>
      </c>
      <c r="G211" s="36" t="s">
        <v>55</v>
      </c>
      <c r="H211" s="36" t="s">
        <v>713</v>
      </c>
      <c r="I211" s="36" t="s">
        <v>169</v>
      </c>
      <c r="J211" s="36" t="str">
        <f t="shared" si="7"/>
        <v>GAD (Information and Public Relations)Information and Public Relations EstablishmentCSub audiovisual compilerS7 (21700 - 69100)</v>
      </c>
      <c r="K211" s="36"/>
      <c r="L211" s="36" t="s">
        <v>238</v>
      </c>
      <c r="M211" s="38" t="s">
        <v>714</v>
      </c>
      <c r="N211" s="36" t="s">
        <v>283</v>
      </c>
      <c r="O211" s="6" t="s">
        <v>33</v>
      </c>
      <c r="P211" s="7">
        <v>0</v>
      </c>
      <c r="Q211" s="7" t="s">
        <v>34</v>
      </c>
      <c r="R211" s="8"/>
      <c r="S211" s="8"/>
      <c r="T211" s="7" t="s">
        <v>2395</v>
      </c>
      <c r="U211" s="36" t="s">
        <v>596</v>
      </c>
      <c r="V211" s="38"/>
      <c r="W211" s="36"/>
      <c r="X211" s="36"/>
      <c r="Y211" s="36"/>
      <c r="Z211" s="41"/>
      <c r="AA211" s="42" t="e">
        <f>_xlfn.XLOOKUP(C211,#REF!,#REF!,"",0,1)</f>
        <v>#REF!</v>
      </c>
      <c r="AB211" s="43">
        <f t="shared" si="9"/>
        <v>0</v>
      </c>
    </row>
    <row r="212" spans="1:28" ht="130.5" thickBot="1" x14ac:dyDescent="0.3">
      <c r="A212" s="36">
        <v>211</v>
      </c>
      <c r="B212" s="36" t="s">
        <v>24</v>
      </c>
      <c r="C212" s="36" t="s">
        <v>263</v>
      </c>
      <c r="D212" s="37">
        <v>44760</v>
      </c>
      <c r="E212" s="36" t="s">
        <v>634</v>
      </c>
      <c r="F212" s="36" t="s">
        <v>635</v>
      </c>
      <c r="G212" s="36" t="s">
        <v>55</v>
      </c>
      <c r="H212" s="36" t="s">
        <v>364</v>
      </c>
      <c r="I212" s="36" t="s">
        <v>80</v>
      </c>
      <c r="J212" s="36" t="str">
        <f t="shared" si="7"/>
        <v>GAD (Information and Public Relations)Information and Public Relations EstablishmentCStenotypistS8 (25500 - 81100)</v>
      </c>
      <c r="K212" s="36" t="s">
        <v>68</v>
      </c>
      <c r="L212" s="36" t="s">
        <v>231</v>
      </c>
      <c r="M212" s="38" t="s">
        <v>715</v>
      </c>
      <c r="N212" s="36" t="s">
        <v>70</v>
      </c>
      <c r="O212" s="6" t="s">
        <v>33</v>
      </c>
      <c r="P212" s="7">
        <v>2</v>
      </c>
      <c r="Q212" s="7" t="s">
        <v>34</v>
      </c>
      <c r="R212" s="8"/>
      <c r="S212" s="8"/>
      <c r="T212" s="4" t="s">
        <v>3276</v>
      </c>
      <c r="U212" s="36" t="s">
        <v>35</v>
      </c>
      <c r="V212" s="38"/>
      <c r="W212" s="36"/>
      <c r="X212" s="36"/>
      <c r="Y212" s="36"/>
      <c r="Z212" s="41"/>
      <c r="AA212" s="42" t="e">
        <f>_xlfn.XLOOKUP(C212,#REF!,#REF!,"",0,1)</f>
        <v>#REF!</v>
      </c>
      <c r="AB212" s="43">
        <f t="shared" si="9"/>
        <v>0</v>
      </c>
    </row>
    <row r="213" spans="1:28" ht="143.5" thickBot="1" x14ac:dyDescent="0.3">
      <c r="A213" s="36">
        <v>212</v>
      </c>
      <c r="B213" s="44" t="s">
        <v>24</v>
      </c>
      <c r="C213" s="36" t="s">
        <v>263</v>
      </c>
      <c r="D213" s="37">
        <v>44760</v>
      </c>
      <c r="E213" s="44" t="s">
        <v>634</v>
      </c>
      <c r="F213" s="44" t="s">
        <v>635</v>
      </c>
      <c r="G213" s="44" t="s">
        <v>55</v>
      </c>
      <c r="H213" s="44" t="s">
        <v>716</v>
      </c>
      <c r="I213" s="44" t="s">
        <v>80</v>
      </c>
      <c r="J213" s="44" t="str">
        <f t="shared" si="7"/>
        <v>GAD (Information and Public Relations)Information and Public Relations EstablishmentCSenior MechanicalS8 (25500 - 81100)</v>
      </c>
      <c r="K213" s="44"/>
      <c r="L213" s="44" t="s">
        <v>111</v>
      </c>
      <c r="M213" s="44" t="s">
        <v>717</v>
      </c>
      <c r="N213" s="44" t="s">
        <v>505</v>
      </c>
      <c r="O213" s="11" t="s">
        <v>33</v>
      </c>
      <c r="P213" s="13"/>
      <c r="Q213" s="12" t="s">
        <v>34</v>
      </c>
      <c r="R213" s="13"/>
      <c r="S213" s="13"/>
      <c r="T213" s="4" t="s">
        <v>3276</v>
      </c>
      <c r="U213" s="44" t="s">
        <v>596</v>
      </c>
      <c r="V213" s="44" t="s">
        <v>717</v>
      </c>
      <c r="W213" s="44"/>
      <c r="X213" s="44" t="s">
        <v>150</v>
      </c>
      <c r="Y213" s="44" t="s">
        <v>150</v>
      </c>
      <c r="Z213" s="41"/>
      <c r="AA213" s="42" t="e">
        <f>_xlfn.XLOOKUP(C213,#REF!,#REF!,"",0,1)</f>
        <v>#REF!</v>
      </c>
      <c r="AB213" s="43">
        <f t="shared" si="9"/>
        <v>0</v>
      </c>
    </row>
    <row r="214" spans="1:28" ht="91.5" thickBot="1" x14ac:dyDescent="0.3">
      <c r="A214" s="36">
        <v>213</v>
      </c>
      <c r="B214" s="36" t="s">
        <v>24</v>
      </c>
      <c r="C214" s="36" t="s">
        <v>263</v>
      </c>
      <c r="D214" s="37">
        <v>44685</v>
      </c>
      <c r="E214" s="36" t="s">
        <v>718</v>
      </c>
      <c r="F214" s="36" t="s">
        <v>719</v>
      </c>
      <c r="G214" s="36" t="s">
        <v>55</v>
      </c>
      <c r="H214" s="36" t="s">
        <v>630</v>
      </c>
      <c r="I214" s="36" t="s">
        <v>74</v>
      </c>
      <c r="J214" s="36" t="str">
        <f t="shared" si="7"/>
        <v>GAD (Mantralaya Canteen)Mantralaya Canteen EstablishmentCClerkTypistS6 (19900 - 63200)</v>
      </c>
      <c r="K214" s="36" t="s">
        <v>75</v>
      </c>
      <c r="L214" s="36" t="s">
        <v>228</v>
      </c>
      <c r="M214" s="38" t="s">
        <v>720</v>
      </c>
      <c r="N214" s="36" t="s">
        <v>70</v>
      </c>
      <c r="O214" s="6" t="s">
        <v>33</v>
      </c>
      <c r="P214" s="7">
        <v>6</v>
      </c>
      <c r="Q214" s="7" t="s">
        <v>34</v>
      </c>
      <c r="R214" s="8"/>
      <c r="S214" s="8"/>
      <c r="T214" s="7" t="s">
        <v>35</v>
      </c>
      <c r="U214" s="36" t="s">
        <v>35</v>
      </c>
      <c r="V214" s="38" t="s">
        <v>125</v>
      </c>
      <c r="W214" s="36"/>
      <c r="X214" s="36" t="s">
        <v>77</v>
      </c>
      <c r="Y214" s="36" t="s">
        <v>78</v>
      </c>
      <c r="Z214" s="41"/>
      <c r="AA214" s="42" t="e">
        <f>_xlfn.XLOOKUP(C214,#REF!,#REF!,"",0,1)</f>
        <v>#REF!</v>
      </c>
      <c r="AB214" s="43">
        <f t="shared" si="9"/>
        <v>0</v>
      </c>
    </row>
    <row r="215" spans="1:28" ht="143.5" thickBot="1" x14ac:dyDescent="0.3">
      <c r="A215" s="36">
        <v>214</v>
      </c>
      <c r="B215" s="36" t="s">
        <v>24</v>
      </c>
      <c r="C215" s="36"/>
      <c r="D215" s="37" t="s">
        <v>721</v>
      </c>
      <c r="E215" s="36" t="s">
        <v>722</v>
      </c>
      <c r="F215" s="36" t="s">
        <v>723</v>
      </c>
      <c r="G215" s="36" t="s">
        <v>42</v>
      </c>
      <c r="H215" s="36" t="s">
        <v>724</v>
      </c>
      <c r="I215" s="36" t="s">
        <v>44</v>
      </c>
      <c r="J215" s="36" t="str">
        <f t="shared" si="7"/>
        <v>GAD (Proper)GAD Proper EstablishmentB (Gazetted)Section Officer (Direct recruitment)S15 (41800 - 132300)</v>
      </c>
      <c r="K215" s="36" t="s">
        <v>45</v>
      </c>
      <c r="L215" s="36" t="s">
        <v>247</v>
      </c>
      <c r="M215" s="38" t="s">
        <v>725</v>
      </c>
      <c r="N215" s="36" t="s">
        <v>41</v>
      </c>
      <c r="O215" s="6" t="s">
        <v>33</v>
      </c>
      <c r="P215" s="8">
        <v>32</v>
      </c>
      <c r="Q215" s="7" t="s">
        <v>34</v>
      </c>
      <c r="R215" s="8"/>
      <c r="S215" s="8"/>
      <c r="T215" s="7" t="s">
        <v>35</v>
      </c>
      <c r="U215" s="36" t="s">
        <v>35</v>
      </c>
      <c r="V215" s="38"/>
      <c r="W215" s="36"/>
      <c r="X215" s="36"/>
      <c r="Y215" s="36"/>
      <c r="Z215" s="41"/>
      <c r="AA215" s="42" t="e">
        <f>_xlfn.XLOOKUP(C215,#REF!,#REF!,"",0,1)</f>
        <v>#REF!</v>
      </c>
      <c r="AB215" s="43">
        <f t="shared" si="9"/>
        <v>0</v>
      </c>
    </row>
    <row r="216" spans="1:28" ht="130.5" thickBot="1" x14ac:dyDescent="0.3">
      <c r="A216" s="36">
        <v>215</v>
      </c>
      <c r="B216" s="36" t="s">
        <v>24</v>
      </c>
      <c r="C216" s="36"/>
      <c r="D216" s="37" t="s">
        <v>721</v>
      </c>
      <c r="E216" s="36" t="s">
        <v>722</v>
      </c>
      <c r="F216" s="36" t="s">
        <v>723</v>
      </c>
      <c r="G216" s="36" t="s">
        <v>65</v>
      </c>
      <c r="H216" s="36" t="s">
        <v>212</v>
      </c>
      <c r="I216" s="36" t="s">
        <v>44</v>
      </c>
      <c r="J216" s="36" t="str">
        <f t="shared" si="7"/>
        <v>GAD (Proper)GAD Proper EstablishmentB (Non Gazetted)Lower Grade StenographerS15 (41800 - 132300)</v>
      </c>
      <c r="K216" s="36" t="s">
        <v>68</v>
      </c>
      <c r="L216" s="36" t="s">
        <v>231</v>
      </c>
      <c r="M216" s="38" t="s">
        <v>726</v>
      </c>
      <c r="N216" s="36" t="s">
        <v>70</v>
      </c>
      <c r="O216" s="6" t="s">
        <v>33</v>
      </c>
      <c r="P216" s="8"/>
      <c r="Q216" s="7" t="s">
        <v>34</v>
      </c>
      <c r="R216" s="8"/>
      <c r="S216" s="8"/>
      <c r="T216" s="4" t="s">
        <v>3276</v>
      </c>
      <c r="U216" s="36" t="s">
        <v>35</v>
      </c>
      <c r="V216" s="38"/>
      <c r="W216" s="36"/>
      <c r="X216" s="36"/>
      <c r="Y216" s="36"/>
      <c r="Z216" s="41"/>
      <c r="AA216" s="42" t="e">
        <f>_xlfn.XLOOKUP(C216,#REF!,#REF!,"",0,1)</f>
        <v>#REF!</v>
      </c>
      <c r="AB216" s="43">
        <f t="shared" si="9"/>
        <v>0</v>
      </c>
    </row>
    <row r="217" spans="1:28" ht="130.5" thickBot="1" x14ac:dyDescent="0.3">
      <c r="A217" s="36">
        <v>216</v>
      </c>
      <c r="B217" s="36" t="s">
        <v>24</v>
      </c>
      <c r="C217" s="36"/>
      <c r="D217" s="37" t="s">
        <v>721</v>
      </c>
      <c r="E217" s="36" t="s">
        <v>722</v>
      </c>
      <c r="F217" s="36" t="s">
        <v>723</v>
      </c>
      <c r="G217" s="36" t="s">
        <v>65</v>
      </c>
      <c r="H217" s="36" t="s">
        <v>727</v>
      </c>
      <c r="I217" s="36" t="s">
        <v>54</v>
      </c>
      <c r="J217" s="36" t="str">
        <f t="shared" si="7"/>
        <v>GAD (Proper)GAD Proper EstablishmentB (Non Gazetted)Assistant Section OfficerS16 (44900 - 142400)</v>
      </c>
      <c r="K217" s="36" t="s">
        <v>197</v>
      </c>
      <c r="L217" s="36" t="s">
        <v>228</v>
      </c>
      <c r="M217" s="38" t="s">
        <v>728</v>
      </c>
      <c r="N217" s="36" t="s">
        <v>41</v>
      </c>
      <c r="O217" s="6" t="s">
        <v>33</v>
      </c>
      <c r="P217" s="8">
        <v>129</v>
      </c>
      <c r="Q217" s="7" t="s">
        <v>34</v>
      </c>
      <c r="R217" s="8"/>
      <c r="S217" s="8"/>
      <c r="T217" s="7" t="s">
        <v>35</v>
      </c>
      <c r="U217" s="36" t="s">
        <v>35</v>
      </c>
      <c r="V217" s="38" t="s">
        <v>728</v>
      </c>
      <c r="W217" s="36"/>
      <c r="X217" s="36" t="s">
        <v>729</v>
      </c>
      <c r="Y217" s="36" t="s">
        <v>730</v>
      </c>
      <c r="Z217" s="41"/>
      <c r="AA217" s="42" t="e">
        <f>_xlfn.XLOOKUP(C217,#REF!,#REF!,"",0,1)</f>
        <v>#REF!</v>
      </c>
      <c r="AB217" s="43">
        <f t="shared" si="9"/>
        <v>0</v>
      </c>
    </row>
    <row r="218" spans="1:28" ht="130.5" thickBot="1" x14ac:dyDescent="0.3">
      <c r="A218" s="36">
        <v>217</v>
      </c>
      <c r="B218" s="36" t="s">
        <v>24</v>
      </c>
      <c r="C218" s="36"/>
      <c r="D218" s="37" t="s">
        <v>721</v>
      </c>
      <c r="E218" s="36" t="s">
        <v>722</v>
      </c>
      <c r="F218" s="36" t="s">
        <v>723</v>
      </c>
      <c r="G218" s="36" t="s">
        <v>65</v>
      </c>
      <c r="H218" s="36" t="s">
        <v>214</v>
      </c>
      <c r="I218" s="36" t="s">
        <v>54</v>
      </c>
      <c r="J218" s="36" t="str">
        <f t="shared" si="7"/>
        <v>GAD (Proper)GAD Proper EstablishmentB (Non Gazetted)Higher Grade StenographerS16 (44900 - 142400)</v>
      </c>
      <c r="K218" s="36" t="s">
        <v>68</v>
      </c>
      <c r="L218" s="36" t="s">
        <v>231</v>
      </c>
      <c r="M218" s="38" t="s">
        <v>731</v>
      </c>
      <c r="N218" s="36" t="s">
        <v>70</v>
      </c>
      <c r="O218" s="6" t="s">
        <v>33</v>
      </c>
      <c r="P218" s="8"/>
      <c r="Q218" s="7" t="s">
        <v>34</v>
      </c>
      <c r="R218" s="8"/>
      <c r="S218" s="8"/>
      <c r="T218" s="4" t="s">
        <v>3276</v>
      </c>
      <c r="U218" s="36" t="s">
        <v>35</v>
      </c>
      <c r="V218" s="38"/>
      <c r="W218" s="36"/>
      <c r="X218" s="36"/>
      <c r="Y218" s="36"/>
      <c r="Z218" s="41"/>
      <c r="AA218" s="42" t="e">
        <f>_xlfn.XLOOKUP(C218,#REF!,#REF!,"",0,1)</f>
        <v>#REF!</v>
      </c>
      <c r="AB218" s="43">
        <f t="shared" si="9"/>
        <v>0</v>
      </c>
    </row>
    <row r="219" spans="1:28" ht="91.5" thickBot="1" x14ac:dyDescent="0.3">
      <c r="A219" s="36">
        <v>218</v>
      </c>
      <c r="B219" s="36" t="s">
        <v>24</v>
      </c>
      <c r="C219" s="36"/>
      <c r="D219" s="37" t="s">
        <v>721</v>
      </c>
      <c r="E219" s="36" t="s">
        <v>722</v>
      </c>
      <c r="F219" s="36" t="s">
        <v>723</v>
      </c>
      <c r="G219" s="36" t="s">
        <v>55</v>
      </c>
      <c r="H219" s="36" t="s">
        <v>73</v>
      </c>
      <c r="I219" s="36" t="s">
        <v>74</v>
      </c>
      <c r="J219" s="36" t="str">
        <f t="shared" si="7"/>
        <v>GAD (Proper)GAD Proper EstablishmentCClerk TypistS6 (19900 - 63200)</v>
      </c>
      <c r="K219" s="36" t="s">
        <v>75</v>
      </c>
      <c r="L219" s="36" t="s">
        <v>228</v>
      </c>
      <c r="M219" s="38" t="s">
        <v>732</v>
      </c>
      <c r="N219" s="36" t="s">
        <v>70</v>
      </c>
      <c r="O219" s="6" t="s">
        <v>33</v>
      </c>
      <c r="P219" s="8">
        <v>280</v>
      </c>
      <c r="Q219" s="7" t="s">
        <v>34</v>
      </c>
      <c r="R219" s="8"/>
      <c r="S219" s="8"/>
      <c r="T219" s="7" t="s">
        <v>35</v>
      </c>
      <c r="U219" s="36" t="s">
        <v>35</v>
      </c>
      <c r="V219" s="38" t="s">
        <v>125</v>
      </c>
      <c r="W219" s="36"/>
      <c r="X219" s="36" t="s">
        <v>77</v>
      </c>
      <c r="Y219" s="36" t="s">
        <v>78</v>
      </c>
      <c r="Z219" s="41"/>
      <c r="AA219" s="42" t="e">
        <f>_xlfn.XLOOKUP(C219,#REF!,#REF!,"",0,1)</f>
        <v>#REF!</v>
      </c>
      <c r="AB219" s="43">
        <f t="shared" si="9"/>
        <v>0</v>
      </c>
    </row>
    <row r="220" spans="1:28" ht="78.5" thickBot="1" x14ac:dyDescent="0.3">
      <c r="A220" s="36">
        <v>219</v>
      </c>
      <c r="B220" s="36" t="s">
        <v>24</v>
      </c>
      <c r="C220" s="36"/>
      <c r="D220" s="37" t="s">
        <v>721</v>
      </c>
      <c r="E220" s="36" t="s">
        <v>722</v>
      </c>
      <c r="F220" s="36" t="s">
        <v>723</v>
      </c>
      <c r="G220" s="36" t="s">
        <v>55</v>
      </c>
      <c r="H220" s="36" t="s">
        <v>92</v>
      </c>
      <c r="I220" s="36" t="s">
        <v>80</v>
      </c>
      <c r="J220" s="36" t="str">
        <f t="shared" si="7"/>
        <v>GAD (Proper)GAD Proper EstablishmentCSteno TypistS8 (25500 - 81100)</v>
      </c>
      <c r="K220" s="36" t="s">
        <v>68</v>
      </c>
      <c r="L220" s="36" t="s">
        <v>231</v>
      </c>
      <c r="M220" s="38" t="s">
        <v>733</v>
      </c>
      <c r="N220" s="36" t="s">
        <v>70</v>
      </c>
      <c r="O220" s="6" t="s">
        <v>33</v>
      </c>
      <c r="P220" s="8"/>
      <c r="Q220" s="7" t="s">
        <v>34</v>
      </c>
      <c r="R220" s="8"/>
      <c r="S220" s="8"/>
      <c r="T220" s="4" t="s">
        <v>3276</v>
      </c>
      <c r="U220" s="36" t="s">
        <v>35</v>
      </c>
      <c r="V220" s="38"/>
      <c r="W220" s="36"/>
      <c r="X220" s="36"/>
      <c r="Y220" s="36"/>
      <c r="Z220" s="41"/>
      <c r="AA220" s="42" t="e">
        <f>_xlfn.XLOOKUP(C220,#REF!,#REF!,"",0,1)</f>
        <v>#REF!</v>
      </c>
      <c r="AB220" s="43">
        <f t="shared" si="9"/>
        <v>0</v>
      </c>
    </row>
    <row r="221" spans="1:28" ht="117.5" thickBot="1" x14ac:dyDescent="0.3">
      <c r="A221" s="36">
        <v>220</v>
      </c>
      <c r="B221" s="36" t="s">
        <v>24</v>
      </c>
      <c r="C221" s="36" t="s">
        <v>263</v>
      </c>
      <c r="D221" s="37">
        <v>45875</v>
      </c>
      <c r="E221" s="36" t="s">
        <v>734</v>
      </c>
      <c r="F221" s="36" t="s">
        <v>735</v>
      </c>
      <c r="G221" s="36" t="s">
        <v>28</v>
      </c>
      <c r="H221" s="36" t="s">
        <v>736</v>
      </c>
      <c r="I221" s="36" t="s">
        <v>737</v>
      </c>
      <c r="J221" s="36" t="str">
        <f t="shared" si="7"/>
        <v>Higher &amp; Technical EducationArt Directorate EstablishmentAAssistant ProfessorAL 10 (57,700 - 1,82,400)</v>
      </c>
      <c r="K221" s="36" t="s">
        <v>738</v>
      </c>
      <c r="L221" s="36" t="s">
        <v>247</v>
      </c>
      <c r="M221" s="38" t="s">
        <v>739</v>
      </c>
      <c r="N221" s="36"/>
      <c r="O221" s="16" t="s">
        <v>83</v>
      </c>
      <c r="P221" s="7">
        <v>22</v>
      </c>
      <c r="Q221" s="7" t="s">
        <v>34</v>
      </c>
      <c r="R221" s="8"/>
      <c r="S221" s="8"/>
      <c r="T221" s="7" t="s">
        <v>61</v>
      </c>
      <c r="U221" s="36" t="s">
        <v>61</v>
      </c>
      <c r="V221" s="38"/>
      <c r="W221" s="36"/>
      <c r="X221" s="36"/>
      <c r="Y221" s="36"/>
      <c r="Z221" s="41"/>
      <c r="AA221" s="42" t="e">
        <f>_xlfn.XLOOKUP(C221,#REF!,#REF!,"",0,1)</f>
        <v>#REF!</v>
      </c>
      <c r="AB221" s="43">
        <f t="shared" si="9"/>
        <v>0</v>
      </c>
    </row>
    <row r="222" spans="1:28" ht="117.5" thickBot="1" x14ac:dyDescent="0.3">
      <c r="A222" s="36">
        <v>221</v>
      </c>
      <c r="B222" s="36" t="s">
        <v>24</v>
      </c>
      <c r="C222" s="36" t="s">
        <v>263</v>
      </c>
      <c r="D222" s="37">
        <v>45875</v>
      </c>
      <c r="E222" s="36" t="s">
        <v>734</v>
      </c>
      <c r="F222" s="36" t="s">
        <v>735</v>
      </c>
      <c r="G222" s="36" t="s">
        <v>28</v>
      </c>
      <c r="H222" s="36" t="s">
        <v>740</v>
      </c>
      <c r="I222" s="36" t="s">
        <v>741</v>
      </c>
      <c r="J222" s="36" t="str">
        <f t="shared" si="7"/>
        <v>Higher &amp; Technical EducationArt Directorate EstablishmentAHead of DepartmentAL 13A (1,31,400 - 2,17,100)</v>
      </c>
      <c r="K222" s="36" t="s">
        <v>742</v>
      </c>
      <c r="L222" s="36" t="s">
        <v>247</v>
      </c>
      <c r="M222" s="38" t="s">
        <v>743</v>
      </c>
      <c r="N222" s="36" t="s">
        <v>744</v>
      </c>
      <c r="O222" s="16" t="s">
        <v>83</v>
      </c>
      <c r="P222" s="7">
        <v>1</v>
      </c>
      <c r="Q222" s="7" t="s">
        <v>34</v>
      </c>
      <c r="R222" s="8"/>
      <c r="S222" s="8"/>
      <c r="T222" s="7" t="s">
        <v>2395</v>
      </c>
      <c r="U222" s="36" t="s">
        <v>61</v>
      </c>
      <c r="V222" s="38"/>
      <c r="W222" s="36"/>
      <c r="X222" s="36"/>
      <c r="Y222" s="36"/>
      <c r="Z222" s="41"/>
      <c r="AA222" s="42" t="e">
        <f>_xlfn.XLOOKUP(C222,#REF!,#REF!,"",0,1)</f>
        <v>#REF!</v>
      </c>
      <c r="AB222" s="43">
        <f t="shared" si="9"/>
        <v>0</v>
      </c>
    </row>
    <row r="223" spans="1:28" ht="117.5" thickBot="1" x14ac:dyDescent="0.3">
      <c r="A223" s="36">
        <v>222</v>
      </c>
      <c r="B223" s="36" t="s">
        <v>24</v>
      </c>
      <c r="C223" s="36" t="s">
        <v>263</v>
      </c>
      <c r="D223" s="37">
        <v>45875</v>
      </c>
      <c r="E223" s="36" t="s">
        <v>734</v>
      </c>
      <c r="F223" s="36" t="s">
        <v>735</v>
      </c>
      <c r="G223" s="36" t="s">
        <v>28</v>
      </c>
      <c r="H223" s="36" t="s">
        <v>745</v>
      </c>
      <c r="I223" s="36" t="s">
        <v>741</v>
      </c>
      <c r="J223" s="36" t="str">
        <f t="shared" si="7"/>
        <v>Higher &amp; Technical EducationArt Directorate EstablishmentAAssociate ProfessorAL 13A (1,31,400 - 2,17,100)</v>
      </c>
      <c r="K223" s="36" t="s">
        <v>738</v>
      </c>
      <c r="L223" s="36" t="s">
        <v>247</v>
      </c>
      <c r="M223" s="38" t="s">
        <v>746</v>
      </c>
      <c r="N223" s="36"/>
      <c r="O223" s="16" t="s">
        <v>83</v>
      </c>
      <c r="P223" s="7">
        <v>30</v>
      </c>
      <c r="Q223" s="7" t="s">
        <v>34</v>
      </c>
      <c r="R223" s="8"/>
      <c r="S223" s="8"/>
      <c r="T223" s="7" t="s">
        <v>61</v>
      </c>
      <c r="U223" s="36" t="s">
        <v>61</v>
      </c>
      <c r="V223" s="38"/>
      <c r="W223" s="36"/>
      <c r="X223" s="36"/>
      <c r="Y223" s="36"/>
      <c r="Z223" s="41"/>
      <c r="AA223" s="42" t="e">
        <f>_xlfn.XLOOKUP(C223,#REF!,#REF!,"",0,1)</f>
        <v>#REF!</v>
      </c>
      <c r="AB223" s="43">
        <f t="shared" si="9"/>
        <v>0</v>
      </c>
    </row>
    <row r="224" spans="1:28" ht="104.5" thickBot="1" x14ac:dyDescent="0.3">
      <c r="A224" s="36">
        <v>223</v>
      </c>
      <c r="B224" s="36" t="s">
        <v>24</v>
      </c>
      <c r="C224" s="36" t="s">
        <v>263</v>
      </c>
      <c r="D224" s="37">
        <v>45875</v>
      </c>
      <c r="E224" s="36" t="s">
        <v>734</v>
      </c>
      <c r="F224" s="36" t="s">
        <v>735</v>
      </c>
      <c r="G224" s="36" t="s">
        <v>28</v>
      </c>
      <c r="H224" s="36" t="s">
        <v>747</v>
      </c>
      <c r="I224" s="36" t="s">
        <v>748</v>
      </c>
      <c r="J224" s="36" t="str">
        <f t="shared" si="7"/>
        <v>Higher &amp; Technical EducationArt Directorate EstablishmentAProfessorAL 14 (1,44,200 - 2,05,500)</v>
      </c>
      <c r="K224" s="36" t="s">
        <v>738</v>
      </c>
      <c r="L224" s="36" t="s">
        <v>247</v>
      </c>
      <c r="M224" s="38" t="s">
        <v>749</v>
      </c>
      <c r="N224" s="36" t="s">
        <v>744</v>
      </c>
      <c r="O224" s="16" t="s">
        <v>83</v>
      </c>
      <c r="P224" s="7">
        <v>13</v>
      </c>
      <c r="Q224" s="7" t="s">
        <v>34</v>
      </c>
      <c r="R224" s="8"/>
      <c r="S224" s="8"/>
      <c r="T224" s="7" t="s">
        <v>61</v>
      </c>
      <c r="U224" s="36" t="s">
        <v>61</v>
      </c>
      <c r="V224" s="38"/>
      <c r="W224" s="36"/>
      <c r="X224" s="36"/>
      <c r="Y224" s="36"/>
      <c r="Z224" s="41"/>
      <c r="AA224" s="42" t="e">
        <f>_xlfn.XLOOKUP(C224,#REF!,#REF!,"",0,1)</f>
        <v>#REF!</v>
      </c>
      <c r="AB224" s="43">
        <f t="shared" si="9"/>
        <v>0</v>
      </c>
    </row>
    <row r="225" spans="1:28" ht="104.5" thickBot="1" x14ac:dyDescent="0.3">
      <c r="A225" s="36">
        <v>224</v>
      </c>
      <c r="B225" s="36" t="s">
        <v>24</v>
      </c>
      <c r="C225" s="36" t="s">
        <v>263</v>
      </c>
      <c r="D225" s="37">
        <v>45875</v>
      </c>
      <c r="E225" s="36" t="s">
        <v>734</v>
      </c>
      <c r="F225" s="36" t="s">
        <v>735</v>
      </c>
      <c r="G225" s="36" t="s">
        <v>28</v>
      </c>
      <c r="H225" s="36" t="s">
        <v>750</v>
      </c>
      <c r="I225" s="36" t="s">
        <v>751</v>
      </c>
      <c r="J225" s="36" t="str">
        <f t="shared" si="7"/>
        <v>Higher &amp; Technical EducationArt Directorate EstablishmentALecturerAL 9A (56,100 - 1,77,500)</v>
      </c>
      <c r="K225" s="36" t="s">
        <v>738</v>
      </c>
      <c r="L225" s="36" t="s">
        <v>247</v>
      </c>
      <c r="M225" s="38" t="s">
        <v>752</v>
      </c>
      <c r="N225" s="36"/>
      <c r="O225" s="16" t="s">
        <v>83</v>
      </c>
      <c r="P225" s="7">
        <v>2</v>
      </c>
      <c r="Q225" s="7" t="s">
        <v>34</v>
      </c>
      <c r="R225" s="8"/>
      <c r="S225" s="8"/>
      <c r="T225" s="7" t="s">
        <v>61</v>
      </c>
      <c r="U225" s="36" t="s">
        <v>61</v>
      </c>
      <c r="V225" s="38"/>
      <c r="W225" s="36"/>
      <c r="X225" s="36"/>
      <c r="Y225" s="36"/>
      <c r="Z225" s="41"/>
      <c r="AA225" s="42" t="e">
        <f>_xlfn.XLOOKUP(C225,#REF!,#REF!,"",0,1)</f>
        <v>#REF!</v>
      </c>
      <c r="AB225" s="43">
        <f t="shared" si="9"/>
        <v>0</v>
      </c>
    </row>
    <row r="226" spans="1:28" ht="104.5" thickBot="1" x14ac:dyDescent="0.3">
      <c r="A226" s="36">
        <v>225</v>
      </c>
      <c r="B226" s="36" t="s">
        <v>24</v>
      </c>
      <c r="C226" s="36" t="s">
        <v>263</v>
      </c>
      <c r="D226" s="37">
        <v>45875</v>
      </c>
      <c r="E226" s="36" t="s">
        <v>734</v>
      </c>
      <c r="F226" s="36" t="s">
        <v>735</v>
      </c>
      <c r="G226" s="36" t="s">
        <v>28</v>
      </c>
      <c r="H226" s="36" t="s">
        <v>753</v>
      </c>
      <c r="I226" s="36" t="s">
        <v>754</v>
      </c>
      <c r="J226" s="36" t="str">
        <f t="shared" si="7"/>
        <v>Higher &amp; Technical EducationArt Directorate EstablishmentADirector of ArtS27 (118500 - 214100)</v>
      </c>
      <c r="K226" s="36"/>
      <c r="L226" s="36" t="s">
        <v>238</v>
      </c>
      <c r="M226" s="38" t="s">
        <v>755</v>
      </c>
      <c r="N226" s="36" t="s">
        <v>744</v>
      </c>
      <c r="O226" s="16" t="s">
        <v>83</v>
      </c>
      <c r="P226" s="7"/>
      <c r="Q226" s="7" t="s">
        <v>34</v>
      </c>
      <c r="R226" s="8"/>
      <c r="S226" s="7" t="s">
        <v>3232</v>
      </c>
      <c r="T226" s="7" t="s">
        <v>35</v>
      </c>
      <c r="U226" s="36" t="s">
        <v>517</v>
      </c>
      <c r="V226" s="38"/>
      <c r="W226" s="36"/>
      <c r="X226" s="36"/>
      <c r="Y226" s="36"/>
      <c r="Z226" s="41"/>
      <c r="AA226" s="42" t="e">
        <f>_xlfn.XLOOKUP(C226,#REF!,#REF!,"",0,1)</f>
        <v>#REF!</v>
      </c>
      <c r="AB226" s="43">
        <f t="shared" si="9"/>
        <v>0</v>
      </c>
    </row>
    <row r="227" spans="1:28" ht="156.5" thickBot="1" x14ac:dyDescent="0.3">
      <c r="A227" s="36">
        <v>226</v>
      </c>
      <c r="B227" s="36" t="s">
        <v>24</v>
      </c>
      <c r="C227" s="36" t="s">
        <v>263</v>
      </c>
      <c r="D227" s="37">
        <v>45875</v>
      </c>
      <c r="E227" s="36" t="s">
        <v>734</v>
      </c>
      <c r="F227" s="36" t="s">
        <v>735</v>
      </c>
      <c r="G227" s="36" t="s">
        <v>42</v>
      </c>
      <c r="H227" s="36" t="s">
        <v>756</v>
      </c>
      <c r="I227" s="36" t="s">
        <v>44</v>
      </c>
      <c r="J227" s="36" t="str">
        <f t="shared" si="7"/>
        <v>Higher &amp; Technical EducationArt Directorate EstablishmentB (Gazetted)Assistant Inspector of Drawing and CraftsS15 (41800 - 132300)</v>
      </c>
      <c r="K227" s="36"/>
      <c r="L227" s="36" t="s">
        <v>238</v>
      </c>
      <c r="M227" s="38" t="s">
        <v>757</v>
      </c>
      <c r="N227" s="36"/>
      <c r="O227" s="16" t="s">
        <v>83</v>
      </c>
      <c r="P227" s="7">
        <v>3</v>
      </c>
      <c r="Q227" s="7" t="s">
        <v>34</v>
      </c>
      <c r="R227" s="8"/>
      <c r="S227" s="8"/>
      <c r="T227" s="7" t="s">
        <v>35</v>
      </c>
      <c r="U227" s="36" t="s">
        <v>35</v>
      </c>
      <c r="V227" s="38"/>
      <c r="W227" s="36"/>
      <c r="X227" s="36"/>
      <c r="Y227" s="36"/>
      <c r="Z227" s="41"/>
      <c r="AA227" s="42" t="e">
        <f>_xlfn.XLOOKUP(C227,#REF!,#REF!,"",0,1)</f>
        <v>#REF!</v>
      </c>
      <c r="AB227" s="43">
        <f t="shared" si="9"/>
        <v>0</v>
      </c>
    </row>
    <row r="228" spans="1:28" ht="117.5" thickBot="1" x14ac:dyDescent="0.3">
      <c r="A228" s="36">
        <v>227</v>
      </c>
      <c r="B228" s="36" t="s">
        <v>24</v>
      </c>
      <c r="C228" s="36" t="s">
        <v>263</v>
      </c>
      <c r="D228" s="37">
        <v>45875</v>
      </c>
      <c r="E228" s="36" t="s">
        <v>734</v>
      </c>
      <c r="F228" s="36" t="s">
        <v>735</v>
      </c>
      <c r="G228" s="36" t="s">
        <v>42</v>
      </c>
      <c r="H228" s="36" t="s">
        <v>407</v>
      </c>
      <c r="I228" s="36" t="s">
        <v>44</v>
      </c>
      <c r="J228" s="36" t="str">
        <f t="shared" si="7"/>
        <v>Higher &amp; Technical EducationArt Directorate EstablishmentB (Gazetted)RegistrarS15 (41800 - 132300)</v>
      </c>
      <c r="K228" s="36" t="s">
        <v>45</v>
      </c>
      <c r="L228" s="36" t="s">
        <v>247</v>
      </c>
      <c r="M228" s="38" t="s">
        <v>758</v>
      </c>
      <c r="N228" s="36" t="s">
        <v>47</v>
      </c>
      <c r="O228" s="6" t="s">
        <v>33</v>
      </c>
      <c r="P228" s="7">
        <v>2</v>
      </c>
      <c r="Q228" s="7" t="s">
        <v>34</v>
      </c>
      <c r="R228" s="8"/>
      <c r="S228" s="8"/>
      <c r="T228" s="7" t="s">
        <v>61</v>
      </c>
      <c r="U228" s="36" t="s">
        <v>61</v>
      </c>
      <c r="V228" s="38"/>
      <c r="W228" s="36"/>
      <c r="X228" s="36"/>
      <c r="Y228" s="36"/>
      <c r="Z228" s="41"/>
      <c r="AA228" s="42" t="e">
        <f>_xlfn.XLOOKUP(C228,#REF!,#REF!,"",0,1)</f>
        <v>#REF!</v>
      </c>
      <c r="AB228" s="43">
        <f t="shared" si="9"/>
        <v>0</v>
      </c>
    </row>
    <row r="229" spans="1:28" ht="130.5" thickBot="1" x14ac:dyDescent="0.3">
      <c r="A229" s="36">
        <v>228</v>
      </c>
      <c r="B229" s="36" t="s">
        <v>24</v>
      </c>
      <c r="C229" s="36" t="s">
        <v>263</v>
      </c>
      <c r="D229" s="37">
        <v>45875</v>
      </c>
      <c r="E229" s="36" t="s">
        <v>734</v>
      </c>
      <c r="F229" s="36" t="s">
        <v>735</v>
      </c>
      <c r="G229" s="36" t="s">
        <v>65</v>
      </c>
      <c r="H229" s="36" t="s">
        <v>759</v>
      </c>
      <c r="I229" s="36" t="s">
        <v>67</v>
      </c>
      <c r="J229" s="36" t="str">
        <f t="shared" si="7"/>
        <v>Higher &amp; Technical EducationArt Directorate EstablishmentB (Non Gazetted)ForemanS14 (38600 - 122800)</v>
      </c>
      <c r="K229" s="36"/>
      <c r="L229" s="36" t="s">
        <v>238</v>
      </c>
      <c r="M229" s="38" t="s">
        <v>760</v>
      </c>
      <c r="N229" s="36" t="s">
        <v>283</v>
      </c>
      <c r="O229" s="16" t="s">
        <v>3233</v>
      </c>
      <c r="P229" s="7">
        <v>1</v>
      </c>
      <c r="Q229" s="7" t="s">
        <v>34</v>
      </c>
      <c r="R229" s="8"/>
      <c r="S229" s="7" t="s">
        <v>3232</v>
      </c>
      <c r="T229" s="7" t="s">
        <v>2395</v>
      </c>
      <c r="U229" s="36" t="s">
        <v>517</v>
      </c>
      <c r="V229" s="38"/>
      <c r="W229" s="36"/>
      <c r="X229" s="36"/>
      <c r="Y229" s="36"/>
      <c r="Z229" s="41"/>
      <c r="AA229" s="42" t="e">
        <f>_xlfn.XLOOKUP(C229,#REF!,#REF!,"",0,1)</f>
        <v>#REF!</v>
      </c>
      <c r="AB229" s="43">
        <f t="shared" si="9"/>
        <v>0</v>
      </c>
    </row>
    <row r="230" spans="1:28" ht="117.5" thickBot="1" x14ac:dyDescent="0.3">
      <c r="A230" s="44">
        <v>229</v>
      </c>
      <c r="B230" s="44" t="s">
        <v>24</v>
      </c>
      <c r="C230" s="36" t="s">
        <v>263</v>
      </c>
      <c r="D230" s="37">
        <v>45875</v>
      </c>
      <c r="E230" s="44" t="s">
        <v>734</v>
      </c>
      <c r="F230" s="44" t="s">
        <v>735</v>
      </c>
      <c r="G230" s="44" t="s">
        <v>65</v>
      </c>
      <c r="H230" s="44" t="s">
        <v>168</v>
      </c>
      <c r="I230" s="44" t="s">
        <v>67</v>
      </c>
      <c r="J230" s="44" t="str">
        <f t="shared" si="7"/>
        <v>Higher &amp; Technical EducationArt Directorate EstablishmentB (Non Gazetted)LibrarianS14 (38600 - 122800)</v>
      </c>
      <c r="K230" s="44"/>
      <c r="L230" s="44" t="s">
        <v>261</v>
      </c>
      <c r="M230" s="45" t="s">
        <v>761</v>
      </c>
      <c r="N230" s="44" t="s">
        <v>113</v>
      </c>
      <c r="O230" s="11" t="s">
        <v>33</v>
      </c>
      <c r="P230" s="13"/>
      <c r="Q230" s="12" t="s">
        <v>34</v>
      </c>
      <c r="R230" s="13"/>
      <c r="S230" s="13"/>
      <c r="T230" s="4" t="s">
        <v>3276</v>
      </c>
      <c r="U230" s="44" t="s">
        <v>35</v>
      </c>
      <c r="V230" s="45"/>
      <c r="W230" s="44"/>
      <c r="X230" s="44"/>
      <c r="Y230" s="44"/>
      <c r="Z230" s="41"/>
      <c r="AA230" s="42" t="e">
        <f>_xlfn.XLOOKUP(C230,#REF!,#REF!,"",0,1)</f>
        <v>#REF!</v>
      </c>
      <c r="AB230" s="43">
        <f t="shared" si="9"/>
        <v>0</v>
      </c>
    </row>
    <row r="231" spans="1:28" ht="104.5" thickBot="1" x14ac:dyDescent="0.3">
      <c r="A231" s="36">
        <v>230</v>
      </c>
      <c r="B231" s="36" t="s">
        <v>24</v>
      </c>
      <c r="C231" s="36" t="s">
        <v>263</v>
      </c>
      <c r="D231" s="37">
        <v>45875</v>
      </c>
      <c r="E231" s="36" t="s">
        <v>734</v>
      </c>
      <c r="F231" s="36" t="s">
        <v>735</v>
      </c>
      <c r="G231" s="36" t="s">
        <v>55</v>
      </c>
      <c r="H231" s="36" t="s">
        <v>706</v>
      </c>
      <c r="I231" s="36" t="s">
        <v>276</v>
      </c>
      <c r="J231" s="36" t="str">
        <f t="shared" si="7"/>
        <v>Higher &amp; Technical EducationArt Directorate EstablishmentCAssistant LibrarianS10 (29200 - 92300)</v>
      </c>
      <c r="K231" s="36" t="s">
        <v>170</v>
      </c>
      <c r="L231" s="36" t="s">
        <v>228</v>
      </c>
      <c r="M231" s="38" t="s">
        <v>762</v>
      </c>
      <c r="N231" s="36" t="s">
        <v>172</v>
      </c>
      <c r="O231" s="16" t="s">
        <v>3233</v>
      </c>
      <c r="P231" s="7">
        <v>2</v>
      </c>
      <c r="Q231" s="7" t="s">
        <v>34</v>
      </c>
      <c r="R231" s="8"/>
      <c r="S231" s="8"/>
      <c r="T231" s="7" t="s">
        <v>35</v>
      </c>
      <c r="U231" s="36" t="s">
        <v>35</v>
      </c>
      <c r="V231" s="38" t="s">
        <v>763</v>
      </c>
      <c r="W231" s="36"/>
      <c r="X231" s="36" t="s">
        <v>764</v>
      </c>
      <c r="Y231" s="46">
        <v>23140</v>
      </c>
      <c r="Z231" s="41"/>
      <c r="AA231" s="42" t="e">
        <f>_xlfn.XLOOKUP(C231,#REF!,#REF!,"",0,1)</f>
        <v>#REF!</v>
      </c>
      <c r="AB231" s="43">
        <f t="shared" si="9"/>
        <v>0</v>
      </c>
    </row>
    <row r="232" spans="1:28" ht="104.5" thickBot="1" x14ac:dyDescent="0.3">
      <c r="A232" s="36">
        <v>231</v>
      </c>
      <c r="B232" s="36" t="s">
        <v>24</v>
      </c>
      <c r="C232" s="36" t="s">
        <v>263</v>
      </c>
      <c r="D232" s="37">
        <v>45875</v>
      </c>
      <c r="E232" s="36" t="s">
        <v>734</v>
      </c>
      <c r="F232" s="36" t="s">
        <v>735</v>
      </c>
      <c r="G232" s="36" t="s">
        <v>55</v>
      </c>
      <c r="H232" s="36" t="s">
        <v>765</v>
      </c>
      <c r="I232" s="36" t="s">
        <v>276</v>
      </c>
      <c r="J232" s="36" t="str">
        <f t="shared" si="7"/>
        <v>Higher &amp; Technical EducationArt Directorate EstablishmentCFoundry AssistantS10 (29200 - 92300)</v>
      </c>
      <c r="K232" s="36"/>
      <c r="L232" s="36" t="s">
        <v>238</v>
      </c>
      <c r="M232" s="38" t="s">
        <v>766</v>
      </c>
      <c r="N232" s="36" t="s">
        <v>283</v>
      </c>
      <c r="O232" s="6" t="s">
        <v>33</v>
      </c>
      <c r="P232" s="7"/>
      <c r="Q232" s="7" t="s">
        <v>34</v>
      </c>
      <c r="R232" s="8"/>
      <c r="S232" s="7" t="s">
        <v>3232</v>
      </c>
      <c r="T232" s="7" t="s">
        <v>35</v>
      </c>
      <c r="U232" s="36" t="s">
        <v>517</v>
      </c>
      <c r="V232" s="38"/>
      <c r="W232" s="36"/>
      <c r="X232" s="36"/>
      <c r="Y232" s="36"/>
      <c r="Z232" s="41"/>
      <c r="AA232" s="42" t="e">
        <f>_xlfn.XLOOKUP(C232,#REF!,#REF!,"",0,1)</f>
        <v>#REF!</v>
      </c>
      <c r="AB232" s="43">
        <f t="shared" si="9"/>
        <v>0</v>
      </c>
    </row>
    <row r="233" spans="1:28" ht="130.5" thickBot="1" x14ac:dyDescent="0.3">
      <c r="A233" s="36">
        <v>232</v>
      </c>
      <c r="B233" s="36" t="s">
        <v>24</v>
      </c>
      <c r="C233" s="36" t="s">
        <v>263</v>
      </c>
      <c r="D233" s="37">
        <v>45875</v>
      </c>
      <c r="E233" s="36" t="s">
        <v>734</v>
      </c>
      <c r="F233" s="36" t="s">
        <v>735</v>
      </c>
      <c r="G233" s="36" t="s">
        <v>55</v>
      </c>
      <c r="H233" s="36" t="s">
        <v>767</v>
      </c>
      <c r="I233" s="36" t="s">
        <v>276</v>
      </c>
      <c r="J233" s="36" t="str">
        <f t="shared" si="7"/>
        <v>Higher &amp; Technical EducationArt Directorate EstablishmentCTechnical Assistant
  (Ceramics)S10 (29200 - 92300)</v>
      </c>
      <c r="K233" s="36"/>
      <c r="L233" s="36" t="s">
        <v>238</v>
      </c>
      <c r="M233" s="38" t="s">
        <v>768</v>
      </c>
      <c r="N233" s="36" t="s">
        <v>283</v>
      </c>
      <c r="O233" s="6" t="s">
        <v>3233</v>
      </c>
      <c r="P233" s="7">
        <v>1</v>
      </c>
      <c r="Q233" s="7" t="s">
        <v>34</v>
      </c>
      <c r="R233" s="8"/>
      <c r="S233" s="7" t="s">
        <v>3232</v>
      </c>
      <c r="T233" s="7" t="s">
        <v>2395</v>
      </c>
      <c r="U233" s="36" t="s">
        <v>517</v>
      </c>
      <c r="V233" s="38"/>
      <c r="W233" s="36"/>
      <c r="X233" s="36"/>
      <c r="Y233" s="36"/>
      <c r="Z233" s="41"/>
      <c r="AA233" s="42" t="e">
        <f>_xlfn.XLOOKUP(C233,#REF!,#REF!,"",0,1)</f>
        <v>#REF!</v>
      </c>
      <c r="AB233" s="43">
        <f t="shared" si="9"/>
        <v>0</v>
      </c>
    </row>
    <row r="234" spans="1:28" ht="130.5" thickBot="1" x14ac:dyDescent="0.3">
      <c r="A234" s="36">
        <v>233</v>
      </c>
      <c r="B234" s="36" t="s">
        <v>24</v>
      </c>
      <c r="C234" s="36" t="s">
        <v>263</v>
      </c>
      <c r="D234" s="37">
        <v>45875</v>
      </c>
      <c r="E234" s="36" t="s">
        <v>734</v>
      </c>
      <c r="F234" s="36" t="s">
        <v>735</v>
      </c>
      <c r="G234" s="36" t="s">
        <v>55</v>
      </c>
      <c r="H234" s="36" t="s">
        <v>769</v>
      </c>
      <c r="I234" s="36" t="s">
        <v>276</v>
      </c>
      <c r="J234" s="36" t="str">
        <f t="shared" si="7"/>
        <v>Higher &amp; Technical EducationArt Directorate EstablishmentCTechnical Assistant (Drawing and Painting)S10 (29200 - 92300)</v>
      </c>
      <c r="K234" s="36"/>
      <c r="L234" s="36" t="s">
        <v>238</v>
      </c>
      <c r="M234" s="38" t="s">
        <v>770</v>
      </c>
      <c r="N234" s="36" t="s">
        <v>283</v>
      </c>
      <c r="O234" s="6" t="s">
        <v>3233</v>
      </c>
      <c r="P234" s="7">
        <v>1</v>
      </c>
      <c r="Q234" s="7" t="s">
        <v>34</v>
      </c>
      <c r="R234" s="8"/>
      <c r="S234" s="7" t="s">
        <v>3232</v>
      </c>
      <c r="T234" s="7" t="s">
        <v>2395</v>
      </c>
      <c r="U234" s="36" t="s">
        <v>517</v>
      </c>
      <c r="V234" s="38"/>
      <c r="W234" s="36"/>
      <c r="X234" s="36"/>
      <c r="Y234" s="36"/>
      <c r="Z234" s="41"/>
      <c r="AA234" s="42" t="e">
        <f>_xlfn.XLOOKUP(C234,#REF!,#REF!,"",0,1)</f>
        <v>#REF!</v>
      </c>
      <c r="AB234" s="43">
        <f t="shared" si="9"/>
        <v>0</v>
      </c>
    </row>
    <row r="235" spans="1:28" ht="143.5" thickBot="1" x14ac:dyDescent="0.3">
      <c r="A235" s="36">
        <v>234</v>
      </c>
      <c r="B235" s="36" t="s">
        <v>24</v>
      </c>
      <c r="C235" s="36" t="s">
        <v>263</v>
      </c>
      <c r="D235" s="37">
        <v>45875</v>
      </c>
      <c r="E235" s="36" t="s">
        <v>734</v>
      </c>
      <c r="F235" s="36" t="s">
        <v>735</v>
      </c>
      <c r="G235" s="36" t="s">
        <v>65</v>
      </c>
      <c r="H235" s="36" t="s">
        <v>771</v>
      </c>
      <c r="I235" s="36" t="s">
        <v>67</v>
      </c>
      <c r="J235" s="36" t="str">
        <f t="shared" si="7"/>
        <v>Higher &amp; Technical EducationArt Directorate EstablishmentB (Non Gazetted)Stenographer (L.G.)S14 (38600 - 122800)</v>
      </c>
      <c r="K235" s="36" t="s">
        <v>68</v>
      </c>
      <c r="L235" s="36" t="s">
        <v>231</v>
      </c>
      <c r="M235" s="38" t="s">
        <v>772</v>
      </c>
      <c r="N235" s="36" t="s">
        <v>70</v>
      </c>
      <c r="O235" s="6" t="s">
        <v>33</v>
      </c>
      <c r="P235" s="7">
        <v>2</v>
      </c>
      <c r="Q235" s="7" t="s">
        <v>34</v>
      </c>
      <c r="R235" s="8"/>
      <c r="S235" s="8"/>
      <c r="T235" s="4" t="s">
        <v>3276</v>
      </c>
      <c r="U235" s="36" t="s">
        <v>35</v>
      </c>
      <c r="V235" s="38"/>
      <c r="W235" s="36"/>
      <c r="X235" s="36"/>
      <c r="Y235" s="36"/>
      <c r="Z235" s="41"/>
      <c r="AA235" s="42" t="e">
        <f>_xlfn.XLOOKUP(C235,#REF!,#REF!,"",0,1)</f>
        <v>#REF!</v>
      </c>
      <c r="AB235" s="43">
        <f t="shared" si="9"/>
        <v>0</v>
      </c>
    </row>
    <row r="236" spans="1:28" ht="91.5" thickBot="1" x14ac:dyDescent="0.3">
      <c r="A236" s="36">
        <v>235</v>
      </c>
      <c r="B236" s="36" t="s">
        <v>24</v>
      </c>
      <c r="C236" s="36" t="s">
        <v>263</v>
      </c>
      <c r="D236" s="37">
        <v>45875</v>
      </c>
      <c r="E236" s="36" t="s">
        <v>734</v>
      </c>
      <c r="F236" s="36" t="s">
        <v>735</v>
      </c>
      <c r="G236" s="36" t="s">
        <v>55</v>
      </c>
      <c r="H236" s="36" t="s">
        <v>773</v>
      </c>
      <c r="I236" s="36" t="s">
        <v>74</v>
      </c>
      <c r="J236" s="36" t="str">
        <f t="shared" si="7"/>
        <v>Higher &amp; Technical EducationArt Directorate EstablishmentCClerk-TypistS6 (19900 - 63200)</v>
      </c>
      <c r="K236" s="36" t="s">
        <v>75</v>
      </c>
      <c r="L236" s="36" t="s">
        <v>228</v>
      </c>
      <c r="M236" s="38" t="s">
        <v>774</v>
      </c>
      <c r="N236" s="36" t="s">
        <v>70</v>
      </c>
      <c r="O236" s="6" t="s">
        <v>33</v>
      </c>
      <c r="P236" s="7">
        <v>17</v>
      </c>
      <c r="Q236" s="7" t="s">
        <v>34</v>
      </c>
      <c r="R236" s="8"/>
      <c r="S236" s="8"/>
      <c r="T236" s="7" t="s">
        <v>35</v>
      </c>
      <c r="U236" s="36" t="s">
        <v>35</v>
      </c>
      <c r="V236" s="38" t="s">
        <v>125</v>
      </c>
      <c r="W236" s="36"/>
      <c r="X236" s="36" t="s">
        <v>77</v>
      </c>
      <c r="Y236" s="36" t="s">
        <v>78</v>
      </c>
      <c r="Z236" s="41"/>
      <c r="AA236" s="42" t="e">
        <f>_xlfn.XLOOKUP(C236,#REF!,#REF!,"",0,1)</f>
        <v>#REF!</v>
      </c>
      <c r="AB236" s="43">
        <f t="shared" si="9"/>
        <v>0</v>
      </c>
    </row>
    <row r="237" spans="1:28" ht="91.5" thickBot="1" x14ac:dyDescent="0.3">
      <c r="A237" s="36">
        <v>236</v>
      </c>
      <c r="B237" s="36" t="s">
        <v>24</v>
      </c>
      <c r="C237" s="36" t="s">
        <v>263</v>
      </c>
      <c r="D237" s="37">
        <v>45875</v>
      </c>
      <c r="E237" s="36" t="s">
        <v>734</v>
      </c>
      <c r="F237" s="36" t="s">
        <v>735</v>
      </c>
      <c r="G237" s="36" t="s">
        <v>55</v>
      </c>
      <c r="H237" s="36" t="s">
        <v>775</v>
      </c>
      <c r="I237" s="36" t="s">
        <v>74</v>
      </c>
      <c r="J237" s="36" t="str">
        <f t="shared" si="7"/>
        <v>Higher &amp; Technical EducationArt Directorate EstablishmentCStore keeperS6 (19900 - 63200)</v>
      </c>
      <c r="K237" s="36" t="s">
        <v>288</v>
      </c>
      <c r="L237" s="36" t="s">
        <v>228</v>
      </c>
      <c r="M237" s="38" t="s">
        <v>776</v>
      </c>
      <c r="N237" s="36" t="s">
        <v>60</v>
      </c>
      <c r="O237" s="6" t="s">
        <v>33</v>
      </c>
      <c r="P237" s="7"/>
      <c r="Q237" s="7" t="s">
        <v>34</v>
      </c>
      <c r="R237" s="8"/>
      <c r="S237" s="7" t="s">
        <v>3232</v>
      </c>
      <c r="T237" s="7" t="s">
        <v>35</v>
      </c>
      <c r="U237" s="36" t="s">
        <v>517</v>
      </c>
      <c r="V237" s="38" t="s">
        <v>777</v>
      </c>
      <c r="W237" s="36"/>
      <c r="X237" s="36" t="s">
        <v>778</v>
      </c>
      <c r="Y237" s="50">
        <v>28075</v>
      </c>
      <c r="Z237" s="41"/>
      <c r="AA237" s="42" t="e">
        <f>_xlfn.XLOOKUP(C237,#REF!,#REF!,"",0,1)</f>
        <v>#REF!</v>
      </c>
      <c r="AB237" s="43">
        <f t="shared" si="9"/>
        <v>0</v>
      </c>
    </row>
    <row r="238" spans="1:28" ht="104.5" thickBot="1" x14ac:dyDescent="0.3">
      <c r="A238" s="36">
        <v>237</v>
      </c>
      <c r="B238" s="36" t="s">
        <v>24</v>
      </c>
      <c r="C238" s="36" t="s">
        <v>263</v>
      </c>
      <c r="D238" s="37">
        <v>45875</v>
      </c>
      <c r="E238" s="36" t="s">
        <v>734</v>
      </c>
      <c r="F238" s="36" t="s">
        <v>735</v>
      </c>
      <c r="G238" s="36" t="s">
        <v>55</v>
      </c>
      <c r="H238" s="36" t="s">
        <v>779</v>
      </c>
      <c r="I238" s="36" t="s">
        <v>74</v>
      </c>
      <c r="J238" s="36" t="str">
        <f t="shared" si="7"/>
        <v>Higher &amp; Technical EducationArt Directorate EstablishmentCMachine AttendantS6 (19900 - 63200)</v>
      </c>
      <c r="K238" s="36" t="s">
        <v>127</v>
      </c>
      <c r="L238" s="36" t="s">
        <v>225</v>
      </c>
      <c r="M238" s="38" t="s">
        <v>780</v>
      </c>
      <c r="N238" s="36" t="s">
        <v>505</v>
      </c>
      <c r="O238" s="6" t="s">
        <v>3233</v>
      </c>
      <c r="P238" s="7">
        <v>2</v>
      </c>
      <c r="Q238" s="7" t="s">
        <v>34</v>
      </c>
      <c r="R238" s="8"/>
      <c r="S238" s="8"/>
      <c r="T238" s="7" t="s">
        <v>35</v>
      </c>
      <c r="U238" s="36" t="s">
        <v>35</v>
      </c>
      <c r="V238" s="38" t="s">
        <v>780</v>
      </c>
      <c r="W238" s="36"/>
      <c r="X238" s="36" t="s">
        <v>150</v>
      </c>
      <c r="Y238" s="36" t="s">
        <v>150</v>
      </c>
      <c r="Z238" s="41"/>
      <c r="AA238" s="42" t="e">
        <f>_xlfn.XLOOKUP(C238,#REF!,#REF!,"",0,1)</f>
        <v>#REF!</v>
      </c>
      <c r="AB238" s="43">
        <f t="shared" si="9"/>
        <v>0</v>
      </c>
    </row>
    <row r="239" spans="1:28" ht="104.5" thickBot="1" x14ac:dyDescent="0.3">
      <c r="A239" s="36">
        <v>238</v>
      </c>
      <c r="B239" s="36" t="s">
        <v>24</v>
      </c>
      <c r="C239" s="36" t="s">
        <v>263</v>
      </c>
      <c r="D239" s="37">
        <v>45875</v>
      </c>
      <c r="E239" s="36" t="s">
        <v>734</v>
      </c>
      <c r="F239" s="36" t="s">
        <v>735</v>
      </c>
      <c r="G239" s="36" t="s">
        <v>55</v>
      </c>
      <c r="H239" s="36" t="s">
        <v>781</v>
      </c>
      <c r="I239" s="36" t="s">
        <v>74</v>
      </c>
      <c r="J239" s="36" t="str">
        <f t="shared" si="7"/>
        <v>Higher &amp; Technical EducationArt Directorate EstablishmentCGas Electric WelderS6 (19900 - 63200)</v>
      </c>
      <c r="K239" s="36" t="s">
        <v>127</v>
      </c>
      <c r="L239" s="36" t="s">
        <v>225</v>
      </c>
      <c r="M239" s="38" t="s">
        <v>782</v>
      </c>
      <c r="N239" s="36" t="s">
        <v>505</v>
      </c>
      <c r="O239" s="6" t="s">
        <v>33</v>
      </c>
      <c r="P239" s="7">
        <v>1</v>
      </c>
      <c r="Q239" s="7" t="s">
        <v>34</v>
      </c>
      <c r="R239" s="8"/>
      <c r="S239" s="7" t="s">
        <v>3232</v>
      </c>
      <c r="T239" s="7" t="s">
        <v>2395</v>
      </c>
      <c r="U239" s="36" t="s">
        <v>596</v>
      </c>
      <c r="V239" s="38" t="s">
        <v>782</v>
      </c>
      <c r="W239" s="36"/>
      <c r="X239" s="36" t="s">
        <v>150</v>
      </c>
      <c r="Y239" s="36" t="s">
        <v>150</v>
      </c>
      <c r="Z239" s="41"/>
      <c r="AA239" s="42" t="e">
        <f>_xlfn.XLOOKUP(C239,#REF!,#REF!,"",0,1)</f>
        <v>#REF!</v>
      </c>
      <c r="AB239" s="43">
        <f t="shared" si="9"/>
        <v>0</v>
      </c>
    </row>
    <row r="240" spans="1:28" ht="104.5" thickBot="1" x14ac:dyDescent="0.3">
      <c r="A240" s="36">
        <v>239</v>
      </c>
      <c r="B240" s="36" t="s">
        <v>24</v>
      </c>
      <c r="C240" s="36" t="s">
        <v>263</v>
      </c>
      <c r="D240" s="37">
        <v>45875</v>
      </c>
      <c r="E240" s="36" t="s">
        <v>734</v>
      </c>
      <c r="F240" s="36" t="s">
        <v>735</v>
      </c>
      <c r="G240" s="36" t="s">
        <v>55</v>
      </c>
      <c r="H240" s="36" t="s">
        <v>783</v>
      </c>
      <c r="I240" s="36" t="s">
        <v>74</v>
      </c>
      <c r="J240" s="36" t="str">
        <f t="shared" si="7"/>
        <v>Higher &amp; Technical EducationArt Directorate EstablishmentCPotter-cum-AttendantS6 (19900 - 63200)</v>
      </c>
      <c r="K240" s="36"/>
      <c r="L240" s="36" t="s">
        <v>238</v>
      </c>
      <c r="M240" s="38" t="s">
        <v>449</v>
      </c>
      <c r="N240" s="36" t="s">
        <v>283</v>
      </c>
      <c r="O240" s="6" t="s">
        <v>3233</v>
      </c>
      <c r="P240" s="7">
        <v>1</v>
      </c>
      <c r="Q240" s="7" t="s">
        <v>34</v>
      </c>
      <c r="R240" s="8"/>
      <c r="S240" s="7" t="s">
        <v>3232</v>
      </c>
      <c r="T240" s="7" t="s">
        <v>2395</v>
      </c>
      <c r="U240" s="36" t="s">
        <v>517</v>
      </c>
      <c r="V240" s="38"/>
      <c r="W240" s="36"/>
      <c r="X240" s="36"/>
      <c r="Y240" s="36"/>
      <c r="Z240" s="41"/>
      <c r="AA240" s="42" t="e">
        <f>_xlfn.XLOOKUP(C240,#REF!,#REF!,"",0,1)</f>
        <v>#REF!</v>
      </c>
      <c r="AB240" s="43">
        <f t="shared" si="9"/>
        <v>0</v>
      </c>
    </row>
    <row r="241" spans="1:28" ht="104.5" thickBot="1" x14ac:dyDescent="0.3">
      <c r="A241" s="36">
        <v>240</v>
      </c>
      <c r="B241" s="36" t="s">
        <v>584</v>
      </c>
      <c r="C241" s="36" t="s">
        <v>263</v>
      </c>
      <c r="D241" s="37">
        <v>45875</v>
      </c>
      <c r="E241" s="36" t="s">
        <v>734</v>
      </c>
      <c r="F241" s="36" t="s">
        <v>735</v>
      </c>
      <c r="G241" s="36" t="s">
        <v>55</v>
      </c>
      <c r="H241" s="36" t="s">
        <v>784</v>
      </c>
      <c r="I241" s="36" t="s">
        <v>80</v>
      </c>
      <c r="J241" s="36" t="str">
        <f t="shared" si="7"/>
        <v>Higher &amp; Technical EducationArt Directorate EstablishmentCNoting AssistantS8 (25500 - 81100)</v>
      </c>
      <c r="K241" s="36"/>
      <c r="L241" s="36"/>
      <c r="M241" s="38" t="s">
        <v>785</v>
      </c>
      <c r="N241" s="36"/>
      <c r="O241" s="6" t="s">
        <v>33</v>
      </c>
      <c r="P241" s="7">
        <v>5</v>
      </c>
      <c r="Q241" s="7" t="s">
        <v>34</v>
      </c>
      <c r="R241" s="8"/>
      <c r="S241" s="8"/>
      <c r="T241" s="4" t="s">
        <v>3276</v>
      </c>
      <c r="U241" s="36" t="s">
        <v>35</v>
      </c>
      <c r="V241" s="38"/>
      <c r="W241" s="36"/>
      <c r="X241" s="36"/>
      <c r="Y241" s="36"/>
      <c r="Z241" s="41"/>
      <c r="AA241" s="42" t="e">
        <f>_xlfn.XLOOKUP(C241,#REF!,#REF!,"",0,1)</f>
        <v>#REF!</v>
      </c>
      <c r="AB241" s="43">
        <f t="shared" si="9"/>
        <v>0</v>
      </c>
    </row>
    <row r="242" spans="1:28" ht="130.5" thickBot="1" x14ac:dyDescent="0.3">
      <c r="A242" s="36">
        <v>241</v>
      </c>
      <c r="B242" s="36" t="s">
        <v>584</v>
      </c>
      <c r="C242" s="36" t="s">
        <v>263</v>
      </c>
      <c r="D242" s="37">
        <v>45875</v>
      </c>
      <c r="E242" s="36" t="s">
        <v>734</v>
      </c>
      <c r="F242" s="36" t="s">
        <v>735</v>
      </c>
      <c r="G242" s="36" t="s">
        <v>55</v>
      </c>
      <c r="H242" s="36" t="s">
        <v>786</v>
      </c>
      <c r="I242" s="36" t="s">
        <v>80</v>
      </c>
      <c r="J242" s="36" t="str">
        <f t="shared" si="7"/>
        <v>Higher &amp; Technical EducationArt Directorate EstablishmentCNoting Assistant / Computer OperatorS8 (25500 - 81100)</v>
      </c>
      <c r="K242" s="36"/>
      <c r="L242" s="36"/>
      <c r="M242" s="38" t="s">
        <v>785</v>
      </c>
      <c r="N242" s="36"/>
      <c r="O242" s="6" t="s">
        <v>33</v>
      </c>
      <c r="P242" s="7">
        <v>2</v>
      </c>
      <c r="Q242" s="7" t="s">
        <v>34</v>
      </c>
      <c r="R242" s="8"/>
      <c r="S242" s="8"/>
      <c r="T242" s="4" t="s">
        <v>3276</v>
      </c>
      <c r="U242" s="36" t="s">
        <v>35</v>
      </c>
      <c r="V242" s="38"/>
      <c r="W242" s="36"/>
      <c r="X242" s="36"/>
      <c r="Y242" s="36"/>
      <c r="Z242" s="41"/>
      <c r="AA242" s="42" t="e">
        <f>_xlfn.XLOOKUP(C242,#REF!,#REF!,"",0,1)</f>
        <v>#REF!</v>
      </c>
      <c r="AB242" s="43">
        <f t="shared" si="9"/>
        <v>0</v>
      </c>
    </row>
    <row r="243" spans="1:28" ht="91.5" thickBot="1" x14ac:dyDescent="0.3">
      <c r="A243" s="36">
        <v>242</v>
      </c>
      <c r="B243" s="36" t="s">
        <v>24</v>
      </c>
      <c r="C243" s="36" t="s">
        <v>263</v>
      </c>
      <c r="D243" s="37">
        <v>45875</v>
      </c>
      <c r="E243" s="36" t="s">
        <v>734</v>
      </c>
      <c r="F243" s="36" t="s">
        <v>735</v>
      </c>
      <c r="G243" s="36" t="s">
        <v>55</v>
      </c>
      <c r="H243" s="36" t="s">
        <v>87</v>
      </c>
      <c r="I243" s="36" t="s">
        <v>80</v>
      </c>
      <c r="J243" s="36" t="str">
        <f t="shared" si="7"/>
        <v>Higher &amp; Technical EducationArt Directorate EstablishmentCSenior ClerkS8 (25500 - 81100)</v>
      </c>
      <c r="K243" s="36" t="s">
        <v>75</v>
      </c>
      <c r="L243" s="36" t="s">
        <v>228</v>
      </c>
      <c r="M243" s="38" t="s">
        <v>785</v>
      </c>
      <c r="N243" s="36"/>
      <c r="O243" s="6" t="s">
        <v>33</v>
      </c>
      <c r="P243" s="7">
        <v>4</v>
      </c>
      <c r="Q243" s="7" t="s">
        <v>34</v>
      </c>
      <c r="R243" s="8"/>
      <c r="S243" s="8"/>
      <c r="T243" s="7" t="s">
        <v>35</v>
      </c>
      <c r="U243" s="36" t="s">
        <v>35</v>
      </c>
      <c r="V243" s="38" t="s">
        <v>785</v>
      </c>
      <c r="W243" s="36"/>
      <c r="X243" s="36" t="s">
        <v>150</v>
      </c>
      <c r="Y243" s="36" t="s">
        <v>150</v>
      </c>
      <c r="Z243" s="41"/>
      <c r="AA243" s="42" t="e">
        <f>_xlfn.XLOOKUP(C243,#REF!,#REF!,"",0,1)</f>
        <v>#REF!</v>
      </c>
      <c r="AB243" s="43">
        <f t="shared" si="9"/>
        <v>0</v>
      </c>
    </row>
    <row r="244" spans="1:28" ht="117.5" thickBot="1" x14ac:dyDescent="0.3">
      <c r="A244" s="36">
        <v>243</v>
      </c>
      <c r="B244" s="36" t="s">
        <v>24</v>
      </c>
      <c r="C244" s="36" t="s">
        <v>25</v>
      </c>
      <c r="D244" s="37">
        <v>39785</v>
      </c>
      <c r="E244" s="36" t="s">
        <v>734</v>
      </c>
      <c r="F244" s="36" t="s">
        <v>787</v>
      </c>
      <c r="G244" s="36" t="s">
        <v>28</v>
      </c>
      <c r="H244" s="36" t="s">
        <v>736</v>
      </c>
      <c r="I244" s="36" t="s">
        <v>737</v>
      </c>
      <c r="J244" s="36" t="str">
        <f t="shared" si="7"/>
        <v>Higher &amp; Technical EducationHigher Education EstablishmentAAssistant ProfessorAL 10 (57,700 - 1,82,400)</v>
      </c>
      <c r="K244" s="36" t="s">
        <v>738</v>
      </c>
      <c r="L244" s="36" t="s">
        <v>247</v>
      </c>
      <c r="M244" s="38" t="s">
        <v>788</v>
      </c>
      <c r="N244" s="36"/>
      <c r="O244" s="16" t="s">
        <v>3233</v>
      </c>
      <c r="P244" s="7">
        <v>143</v>
      </c>
      <c r="Q244" s="17" t="s">
        <v>100</v>
      </c>
      <c r="R244" s="8"/>
      <c r="S244" s="7" t="s">
        <v>3263</v>
      </c>
      <c r="T244" s="17" t="s">
        <v>61</v>
      </c>
      <c r="U244" s="36" t="s">
        <v>61</v>
      </c>
      <c r="V244" s="38"/>
      <c r="W244" s="36"/>
      <c r="X244" s="36"/>
      <c r="Y244" s="36"/>
      <c r="Z244" s="41"/>
      <c r="AA244" s="42" t="e">
        <f>_xlfn.XLOOKUP(C244,#REF!,#REF!,"",0,1)</f>
        <v>#REF!</v>
      </c>
      <c r="AB244" s="43">
        <f t="shared" si="9"/>
        <v>0</v>
      </c>
    </row>
    <row r="245" spans="1:28" ht="130.5" thickBot="1" x14ac:dyDescent="0.3">
      <c r="A245" s="36">
        <v>244</v>
      </c>
      <c r="B245" s="36" t="s">
        <v>24</v>
      </c>
      <c r="C245" s="36" t="s">
        <v>25</v>
      </c>
      <c r="D245" s="37">
        <v>39785</v>
      </c>
      <c r="E245" s="36" t="s">
        <v>734</v>
      </c>
      <c r="F245" s="36" t="s">
        <v>787</v>
      </c>
      <c r="G245" s="36" t="s">
        <v>28</v>
      </c>
      <c r="H245" s="36" t="s">
        <v>789</v>
      </c>
      <c r="I245" s="36" t="s">
        <v>737</v>
      </c>
      <c r="J245" s="36" t="str">
        <f t="shared" si="7"/>
        <v>Higher &amp; Technical EducationHigher Education EstablishmentAPhysical Education DirectorAL 10 (57,700 - 1,82,400)</v>
      </c>
      <c r="K245" s="36" t="s">
        <v>738</v>
      </c>
      <c r="L245" s="36" t="s">
        <v>247</v>
      </c>
      <c r="M245" s="38" t="s">
        <v>788</v>
      </c>
      <c r="N245" s="36"/>
      <c r="O245" s="16" t="s">
        <v>3233</v>
      </c>
      <c r="P245" s="7">
        <v>16</v>
      </c>
      <c r="Q245" s="17" t="s">
        <v>100</v>
      </c>
      <c r="R245" s="8"/>
      <c r="S245" s="7" t="s">
        <v>3264</v>
      </c>
      <c r="T245" s="17" t="s">
        <v>61</v>
      </c>
      <c r="U245" s="36" t="s">
        <v>61</v>
      </c>
      <c r="V245" s="38"/>
      <c r="W245" s="36"/>
      <c r="X245" s="36"/>
      <c r="Y245" s="36"/>
      <c r="Z245" s="41"/>
      <c r="AA245" s="42" t="e">
        <f>_xlfn.XLOOKUP(C245,#REF!,#REF!,"",0,1)</f>
        <v>#REF!</v>
      </c>
      <c r="AB245" s="43">
        <f t="shared" si="9"/>
        <v>0</v>
      </c>
    </row>
    <row r="246" spans="1:28" ht="117.5" thickBot="1" x14ac:dyDescent="0.3">
      <c r="A246" s="36">
        <v>245</v>
      </c>
      <c r="B246" s="36" t="s">
        <v>24</v>
      </c>
      <c r="C246" s="36" t="s">
        <v>25</v>
      </c>
      <c r="D246" s="37">
        <v>39785</v>
      </c>
      <c r="E246" s="36" t="s">
        <v>734</v>
      </c>
      <c r="F246" s="36" t="s">
        <v>787</v>
      </c>
      <c r="G246" s="36" t="s">
        <v>28</v>
      </c>
      <c r="H246" s="36" t="s">
        <v>790</v>
      </c>
      <c r="I246" s="36" t="s">
        <v>737</v>
      </c>
      <c r="J246" s="36" t="str">
        <f t="shared" si="7"/>
        <v>Higher &amp; Technical EducationHigher Education EstablishmentALibrarian, Group-AAL 10 (57,700 - 1,82,400)</v>
      </c>
      <c r="K246" s="36"/>
      <c r="L246" s="36" t="s">
        <v>238</v>
      </c>
      <c r="M246" s="38" t="s">
        <v>791</v>
      </c>
      <c r="N246" s="36"/>
      <c r="O246" s="16" t="s">
        <v>3265</v>
      </c>
      <c r="P246" s="7">
        <v>14</v>
      </c>
      <c r="Q246" s="17" t="s">
        <v>100</v>
      </c>
      <c r="R246" s="8"/>
      <c r="S246" s="7" t="s">
        <v>3266</v>
      </c>
      <c r="T246" s="17" t="s">
        <v>61</v>
      </c>
      <c r="U246" s="36" t="s">
        <v>61</v>
      </c>
      <c r="V246" s="38"/>
      <c r="W246" s="36"/>
      <c r="X246" s="36"/>
      <c r="Y246" s="36"/>
      <c r="Z246" s="41"/>
      <c r="AA246" s="42" t="e">
        <f>_xlfn.XLOOKUP(C246,#REF!,#REF!,"",0,1)</f>
        <v>#REF!</v>
      </c>
      <c r="AB246" s="43">
        <f t="shared" si="9"/>
        <v>0</v>
      </c>
    </row>
    <row r="247" spans="1:28" ht="117.5" thickBot="1" x14ac:dyDescent="0.3">
      <c r="A247" s="36">
        <v>246</v>
      </c>
      <c r="B247" s="36" t="s">
        <v>24</v>
      </c>
      <c r="C247" s="36" t="s">
        <v>25</v>
      </c>
      <c r="D247" s="37">
        <v>39785</v>
      </c>
      <c r="E247" s="36" t="s">
        <v>734</v>
      </c>
      <c r="F247" s="36" t="s">
        <v>787</v>
      </c>
      <c r="G247" s="36" t="s">
        <v>28</v>
      </c>
      <c r="H247" s="36" t="s">
        <v>745</v>
      </c>
      <c r="I247" s="36" t="s">
        <v>741</v>
      </c>
      <c r="J247" s="36" t="str">
        <f t="shared" si="7"/>
        <v>Higher &amp; Technical EducationHigher Education EstablishmentAAssociate ProfessorAL 13A (1,31,400 - 2,17,100)</v>
      </c>
      <c r="K247" s="36" t="s">
        <v>738</v>
      </c>
      <c r="L247" s="36" t="s">
        <v>247</v>
      </c>
      <c r="M247" s="38" t="s">
        <v>792</v>
      </c>
      <c r="N247" s="36"/>
      <c r="O247" s="16" t="s">
        <v>3233</v>
      </c>
      <c r="P247" s="7">
        <v>14</v>
      </c>
      <c r="Q247" s="17" t="s">
        <v>100</v>
      </c>
      <c r="R247" s="8"/>
      <c r="S247" s="7" t="s">
        <v>3267</v>
      </c>
      <c r="T247" s="17" t="s">
        <v>61</v>
      </c>
      <c r="U247" s="36" t="s">
        <v>61</v>
      </c>
      <c r="V247" s="38"/>
      <c r="W247" s="36"/>
      <c r="X247" s="36"/>
      <c r="Y247" s="36"/>
      <c r="Z247" s="41"/>
      <c r="AA247" s="42" t="e">
        <f>_xlfn.XLOOKUP(C247,#REF!,#REF!,"",0,1)</f>
        <v>#REF!</v>
      </c>
      <c r="AB247" s="43">
        <f t="shared" si="9"/>
        <v>0</v>
      </c>
    </row>
    <row r="248" spans="1:28" ht="117.5" thickBot="1" x14ac:dyDescent="0.3">
      <c r="A248" s="36">
        <v>247</v>
      </c>
      <c r="B248" s="36" t="s">
        <v>24</v>
      </c>
      <c r="C248" s="36" t="s">
        <v>25</v>
      </c>
      <c r="D248" s="37">
        <v>39785</v>
      </c>
      <c r="E248" s="36" t="s">
        <v>734</v>
      </c>
      <c r="F248" s="36" t="s">
        <v>787</v>
      </c>
      <c r="G248" s="36" t="s">
        <v>28</v>
      </c>
      <c r="H248" s="36" t="s">
        <v>793</v>
      </c>
      <c r="I248" s="36" t="s">
        <v>748</v>
      </c>
      <c r="J248" s="36" t="str">
        <f t="shared" si="7"/>
        <v>Higher &amp; Technical EducationHigher Education EstablishmentAPrincipal / DirectorAL 14 (1,44,200 - 2,05,500)</v>
      </c>
      <c r="K248" s="36" t="s">
        <v>742</v>
      </c>
      <c r="L248" s="36" t="s">
        <v>247</v>
      </c>
      <c r="M248" s="38" t="s">
        <v>794</v>
      </c>
      <c r="N248" s="36"/>
      <c r="O248" s="16" t="s">
        <v>3233</v>
      </c>
      <c r="P248" s="7">
        <v>10</v>
      </c>
      <c r="Q248" s="17" t="s">
        <v>100</v>
      </c>
      <c r="R248" s="8"/>
      <c r="S248" s="7" t="s">
        <v>3234</v>
      </c>
      <c r="T248" s="17" t="s">
        <v>61</v>
      </c>
      <c r="U248" s="36" t="s">
        <v>61</v>
      </c>
      <c r="V248" s="38"/>
      <c r="W248" s="36"/>
      <c r="X248" s="36"/>
      <c r="Y248" s="36"/>
      <c r="Z248" s="41"/>
      <c r="AA248" s="42" t="e">
        <f>_xlfn.XLOOKUP(C248,#REF!,#REF!,"",0,1)</f>
        <v>#REF!</v>
      </c>
      <c r="AB248" s="43">
        <f t="shared" si="9"/>
        <v>0</v>
      </c>
    </row>
    <row r="249" spans="1:28" ht="104.5" thickBot="1" x14ac:dyDescent="0.3">
      <c r="A249" s="36">
        <v>248</v>
      </c>
      <c r="B249" s="36" t="s">
        <v>24</v>
      </c>
      <c r="C249" s="36" t="s">
        <v>25</v>
      </c>
      <c r="D249" s="37">
        <v>39785</v>
      </c>
      <c r="E249" s="36" t="s">
        <v>734</v>
      </c>
      <c r="F249" s="36" t="s">
        <v>787</v>
      </c>
      <c r="G249" s="36" t="s">
        <v>28</v>
      </c>
      <c r="H249" s="36" t="s">
        <v>747</v>
      </c>
      <c r="I249" s="36" t="s">
        <v>748</v>
      </c>
      <c r="J249" s="36" t="str">
        <f t="shared" si="7"/>
        <v>Higher &amp; Technical EducationHigher Education EstablishmentAProfessorAL 14 (1,44,200 - 2,05,500)</v>
      </c>
      <c r="K249" s="36" t="s">
        <v>738</v>
      </c>
      <c r="L249" s="36" t="s">
        <v>247</v>
      </c>
      <c r="M249" s="38" t="s">
        <v>795</v>
      </c>
      <c r="N249" s="36"/>
      <c r="O249" s="16" t="s">
        <v>3233</v>
      </c>
      <c r="P249" s="7">
        <v>11</v>
      </c>
      <c r="Q249" s="17" t="s">
        <v>100</v>
      </c>
      <c r="R249" s="8"/>
      <c r="S249" s="7" t="s">
        <v>3235</v>
      </c>
      <c r="T249" s="17" t="s">
        <v>61</v>
      </c>
      <c r="U249" s="36" t="s">
        <v>61</v>
      </c>
      <c r="V249" s="38"/>
      <c r="W249" s="36"/>
      <c r="X249" s="36"/>
      <c r="Y249" s="36"/>
      <c r="Z249" s="41"/>
      <c r="AA249" s="42" t="e">
        <f>_xlfn.XLOOKUP(C249,#REF!,#REF!,"",0,1)</f>
        <v>#REF!</v>
      </c>
      <c r="AB249" s="43">
        <f t="shared" si="9"/>
        <v>0</v>
      </c>
    </row>
    <row r="250" spans="1:28" ht="117.5" thickBot="1" x14ac:dyDescent="0.3">
      <c r="A250" s="36">
        <v>249</v>
      </c>
      <c r="B250" s="36" t="s">
        <v>24</v>
      </c>
      <c r="C250" s="36" t="s">
        <v>25</v>
      </c>
      <c r="D250" s="37">
        <v>39785</v>
      </c>
      <c r="E250" s="36" t="s">
        <v>734</v>
      </c>
      <c r="F250" s="36" t="s">
        <v>787</v>
      </c>
      <c r="G250" s="36" t="s">
        <v>28</v>
      </c>
      <c r="H250" s="36" t="s">
        <v>796</v>
      </c>
      <c r="I250" s="36" t="s">
        <v>38</v>
      </c>
      <c r="J250" s="36" t="str">
        <f t="shared" si="7"/>
        <v>Higher &amp; Technical EducationHigher Education EstablishmentAAdministrative OfficerS20 (56100 - 177500)</v>
      </c>
      <c r="K250" s="36"/>
      <c r="L250" s="36" t="s">
        <v>243</v>
      </c>
      <c r="M250" s="38" t="s">
        <v>797</v>
      </c>
      <c r="N250" s="36" t="s">
        <v>32</v>
      </c>
      <c r="O250" s="6" t="s">
        <v>33</v>
      </c>
      <c r="P250" s="7">
        <v>4</v>
      </c>
      <c r="Q250" s="7" t="s">
        <v>34</v>
      </c>
      <c r="R250" s="8"/>
      <c r="S250" s="7" t="s">
        <v>3236</v>
      </c>
      <c r="T250" s="4" t="s">
        <v>3276</v>
      </c>
      <c r="U250" s="36" t="s">
        <v>35</v>
      </c>
      <c r="V250" s="38"/>
      <c r="W250" s="36"/>
      <c r="X250" s="36"/>
      <c r="Y250" s="36"/>
      <c r="Z250" s="41"/>
      <c r="AA250" s="42" t="e">
        <f>_xlfn.XLOOKUP(C250,#REF!,#REF!,"",0,1)</f>
        <v>#REF!</v>
      </c>
      <c r="AB250" s="43">
        <f t="shared" si="9"/>
        <v>0</v>
      </c>
    </row>
    <row r="251" spans="1:28" ht="130.5" thickBot="1" x14ac:dyDescent="0.3">
      <c r="A251" s="36">
        <v>250</v>
      </c>
      <c r="B251" s="36" t="s">
        <v>24</v>
      </c>
      <c r="C251" s="36" t="s">
        <v>25</v>
      </c>
      <c r="D251" s="37">
        <v>39785</v>
      </c>
      <c r="E251" s="36" t="s">
        <v>734</v>
      </c>
      <c r="F251" s="36" t="s">
        <v>787</v>
      </c>
      <c r="G251" s="36" t="s">
        <v>28</v>
      </c>
      <c r="H251" s="36" t="s">
        <v>798</v>
      </c>
      <c r="I251" s="36" t="s">
        <v>513</v>
      </c>
      <c r="J251" s="36" t="str">
        <f t="shared" si="7"/>
        <v>Higher &amp; Technical EducationHigher Education EstablishmentAJoint Director of Higher EducationS25 (78800 - 209200)</v>
      </c>
      <c r="K251" s="36"/>
      <c r="L251" s="36" t="s">
        <v>243</v>
      </c>
      <c r="M251" s="38" t="s">
        <v>799</v>
      </c>
      <c r="N251" s="36" t="s">
        <v>595</v>
      </c>
      <c r="O251" s="16" t="s">
        <v>3237</v>
      </c>
      <c r="P251" s="7">
        <v>12</v>
      </c>
      <c r="Q251" s="7" t="s">
        <v>34</v>
      </c>
      <c r="R251" s="8"/>
      <c r="S251" s="7" t="s">
        <v>3236</v>
      </c>
      <c r="T251" s="4" t="s">
        <v>3276</v>
      </c>
      <c r="U251" s="36" t="s">
        <v>35</v>
      </c>
      <c r="V251" s="38"/>
      <c r="W251" s="36"/>
      <c r="X251" s="36"/>
      <c r="Y251" s="36"/>
      <c r="Z251" s="41"/>
      <c r="AA251" s="42" t="e">
        <f>_xlfn.XLOOKUP(C251,#REF!,#REF!,"",0,1)</f>
        <v>#REF!</v>
      </c>
      <c r="AB251" s="43">
        <f t="shared" si="9"/>
        <v>0</v>
      </c>
    </row>
    <row r="252" spans="1:28" ht="130.5" thickBot="1" x14ac:dyDescent="0.3">
      <c r="A252" s="36">
        <v>251</v>
      </c>
      <c r="B252" s="36" t="s">
        <v>24</v>
      </c>
      <c r="C252" s="36" t="s">
        <v>25</v>
      </c>
      <c r="D252" s="37">
        <v>39785</v>
      </c>
      <c r="E252" s="36" t="s">
        <v>734</v>
      </c>
      <c r="F252" s="36" t="s">
        <v>787</v>
      </c>
      <c r="G252" s="36" t="s">
        <v>28</v>
      </c>
      <c r="H252" s="36" t="s">
        <v>800</v>
      </c>
      <c r="I252" s="36" t="s">
        <v>801</v>
      </c>
      <c r="J252" s="36" t="str">
        <f t="shared" si="7"/>
        <v>Higher &amp; Technical EducationHigher Education EstablishmentADirector of Higher EducationS29 (131100 - 216600)</v>
      </c>
      <c r="K252" s="36"/>
      <c r="L252" s="36" t="s">
        <v>238</v>
      </c>
      <c r="M252" s="38" t="s">
        <v>802</v>
      </c>
      <c r="N252" s="36" t="s">
        <v>744</v>
      </c>
      <c r="O252" s="16" t="s">
        <v>33</v>
      </c>
      <c r="P252" s="7">
        <v>1</v>
      </c>
      <c r="Q252" s="7" t="s">
        <v>100</v>
      </c>
      <c r="R252" s="8"/>
      <c r="S252" s="7" t="s">
        <v>3238</v>
      </c>
      <c r="T252" s="7" t="s">
        <v>2395</v>
      </c>
      <c r="U252" s="36" t="s">
        <v>596</v>
      </c>
      <c r="V252" s="38"/>
      <c r="W252" s="36"/>
      <c r="X252" s="36"/>
      <c r="Y252" s="36"/>
      <c r="Z252" s="41"/>
      <c r="AA252" s="42" t="e">
        <f>_xlfn.XLOOKUP(C252,#REF!,#REF!,"",0,1)</f>
        <v>#REF!</v>
      </c>
      <c r="AB252" s="43">
        <f t="shared" si="9"/>
        <v>0</v>
      </c>
    </row>
    <row r="253" spans="1:28" ht="130.5" thickBot="1" x14ac:dyDescent="0.3">
      <c r="A253" s="36">
        <v>252</v>
      </c>
      <c r="B253" s="36" t="s">
        <v>24</v>
      </c>
      <c r="C253" s="36" t="s">
        <v>25</v>
      </c>
      <c r="D253" s="37">
        <v>39785</v>
      </c>
      <c r="E253" s="36" t="s">
        <v>734</v>
      </c>
      <c r="F253" s="36" t="s">
        <v>787</v>
      </c>
      <c r="G253" s="36" t="s">
        <v>42</v>
      </c>
      <c r="H253" s="36" t="s">
        <v>803</v>
      </c>
      <c r="I253" s="36" t="s">
        <v>44</v>
      </c>
      <c r="J253" s="36" t="str">
        <f t="shared" si="7"/>
        <v>Higher &amp; Technical EducationHigher Education EstablishmentB (Gazetted)SuperintendentS15 (41800 - 132300)</v>
      </c>
      <c r="K253" s="36" t="s">
        <v>45</v>
      </c>
      <c r="L253" s="36" t="s">
        <v>247</v>
      </c>
      <c r="M253" s="38" t="s">
        <v>804</v>
      </c>
      <c r="N253" s="36" t="s">
        <v>47</v>
      </c>
      <c r="O253" s="6" t="s">
        <v>33</v>
      </c>
      <c r="P253" s="7">
        <v>15</v>
      </c>
      <c r="Q253" s="7" t="s">
        <v>100</v>
      </c>
      <c r="R253" s="8"/>
      <c r="S253" s="7" t="s">
        <v>805</v>
      </c>
      <c r="T253" s="7" t="s">
        <v>61</v>
      </c>
      <c r="U253" s="36" t="s">
        <v>61</v>
      </c>
      <c r="V253" s="38"/>
      <c r="W253" s="36"/>
      <c r="X253" s="36"/>
      <c r="Y253" s="36"/>
      <c r="Z253" s="41"/>
      <c r="AA253" s="42" t="e">
        <f>_xlfn.XLOOKUP(C253,#REF!,#REF!,"",0,1)</f>
        <v>#REF!</v>
      </c>
      <c r="AB253" s="43">
        <f t="shared" si="9"/>
        <v>0</v>
      </c>
    </row>
    <row r="254" spans="1:28" ht="130.5" thickBot="1" x14ac:dyDescent="0.3">
      <c r="A254" s="36">
        <v>253</v>
      </c>
      <c r="B254" s="36" t="s">
        <v>24</v>
      </c>
      <c r="C254" s="36" t="s">
        <v>25</v>
      </c>
      <c r="D254" s="37">
        <v>39785</v>
      </c>
      <c r="E254" s="36" t="s">
        <v>734</v>
      </c>
      <c r="F254" s="36" t="s">
        <v>787</v>
      </c>
      <c r="G254" s="36" t="s">
        <v>42</v>
      </c>
      <c r="H254" s="36" t="s">
        <v>806</v>
      </c>
      <c r="I254" s="36" t="s">
        <v>54</v>
      </c>
      <c r="J254" s="36" t="str">
        <f t="shared" si="7"/>
        <v>Higher &amp; Technical EducationHigher Education EstablishmentB (Gazetted)Junior LecturerS16 (44900 - 142400)</v>
      </c>
      <c r="K254" s="36" t="s">
        <v>738</v>
      </c>
      <c r="L254" s="36" t="s">
        <v>247</v>
      </c>
      <c r="M254" s="38" t="s">
        <v>807</v>
      </c>
      <c r="N254" s="36"/>
      <c r="O254" s="16" t="s">
        <v>83</v>
      </c>
      <c r="P254" s="7">
        <v>32</v>
      </c>
      <c r="Q254" s="17" t="s">
        <v>100</v>
      </c>
      <c r="R254" s="8"/>
      <c r="S254" s="7" t="s">
        <v>3268</v>
      </c>
      <c r="T254" s="17" t="s">
        <v>61</v>
      </c>
      <c r="U254" s="36" t="s">
        <v>61</v>
      </c>
      <c r="V254" s="38"/>
      <c r="W254" s="36"/>
      <c r="X254" s="36"/>
      <c r="Y254" s="36"/>
      <c r="Z254" s="41"/>
      <c r="AA254" s="42" t="e">
        <f>_xlfn.XLOOKUP(C254,#REF!,#REF!,"",0,1)</f>
        <v>#REF!</v>
      </c>
      <c r="AB254" s="43">
        <f t="shared" si="9"/>
        <v>0</v>
      </c>
    </row>
    <row r="255" spans="1:28" ht="130.5" thickBot="1" x14ac:dyDescent="0.3">
      <c r="A255" s="44">
        <v>254</v>
      </c>
      <c r="B255" s="44" t="s">
        <v>24</v>
      </c>
      <c r="C255" s="36" t="s">
        <v>25</v>
      </c>
      <c r="D255" s="37">
        <v>39785</v>
      </c>
      <c r="E255" s="44" t="s">
        <v>734</v>
      </c>
      <c r="F255" s="44" t="s">
        <v>787</v>
      </c>
      <c r="G255" s="44" t="s">
        <v>65</v>
      </c>
      <c r="H255" s="44" t="s">
        <v>808</v>
      </c>
      <c r="I255" s="44" t="s">
        <v>54</v>
      </c>
      <c r="J255" s="44" t="str">
        <f t="shared" si="7"/>
        <v>Higher &amp; Technical EducationHigher Education EstablishmentB (Non Gazetted)Personal Assistant (PA)S16 (44900 - 142400)</v>
      </c>
      <c r="K255" s="44"/>
      <c r="L255" s="44" t="s">
        <v>261</v>
      </c>
      <c r="M255" s="45" t="s">
        <v>809</v>
      </c>
      <c r="N255" s="44" t="s">
        <v>113</v>
      </c>
      <c r="O255" s="11" t="s">
        <v>33</v>
      </c>
      <c r="P255" s="13"/>
      <c r="Q255" s="12" t="s">
        <v>34</v>
      </c>
      <c r="R255" s="13"/>
      <c r="S255" s="13"/>
      <c r="T255" s="4" t="s">
        <v>3276</v>
      </c>
      <c r="U255" s="44" t="s">
        <v>596</v>
      </c>
      <c r="V255" s="45"/>
      <c r="W255" s="44"/>
      <c r="X255" s="44"/>
      <c r="Y255" s="44"/>
      <c r="Z255" s="41"/>
      <c r="AA255" s="42" t="e">
        <f>_xlfn.XLOOKUP(C255,#REF!,#REF!,"",0,1)</f>
        <v>#REF!</v>
      </c>
      <c r="AB255" s="43">
        <f t="shared" si="9"/>
        <v>0</v>
      </c>
    </row>
    <row r="256" spans="1:28" ht="104.5" thickBot="1" x14ac:dyDescent="0.3">
      <c r="A256" s="36">
        <v>255</v>
      </c>
      <c r="B256" s="36" t="s">
        <v>24</v>
      </c>
      <c r="C256" s="36" t="s">
        <v>25</v>
      </c>
      <c r="D256" s="37">
        <v>39785</v>
      </c>
      <c r="E256" s="36" t="s">
        <v>734</v>
      </c>
      <c r="F256" s="36" t="s">
        <v>787</v>
      </c>
      <c r="G256" s="36" t="s">
        <v>55</v>
      </c>
      <c r="H256" s="36" t="s">
        <v>706</v>
      </c>
      <c r="I256" s="36" t="s">
        <v>276</v>
      </c>
      <c r="J256" s="36" t="str">
        <f t="shared" si="7"/>
        <v>Higher &amp; Technical EducationHigher Education EstablishmentCAssistant LibrarianS10 (29200 - 92300)</v>
      </c>
      <c r="K256" s="36" t="s">
        <v>170</v>
      </c>
      <c r="L256" s="36" t="s">
        <v>228</v>
      </c>
      <c r="M256" s="38" t="s">
        <v>810</v>
      </c>
      <c r="N256" s="36" t="s">
        <v>172</v>
      </c>
      <c r="O256" s="6" t="s">
        <v>3233</v>
      </c>
      <c r="P256" s="7">
        <v>3</v>
      </c>
      <c r="Q256" s="7" t="s">
        <v>34</v>
      </c>
      <c r="R256" s="8"/>
      <c r="S256" s="8"/>
      <c r="T256" s="7" t="s">
        <v>35</v>
      </c>
      <c r="U256" s="36" t="s">
        <v>811</v>
      </c>
      <c r="V256" s="38" t="s">
        <v>812</v>
      </c>
      <c r="W256" s="36"/>
      <c r="X256" s="36" t="s">
        <v>150</v>
      </c>
      <c r="Y256" s="36" t="s">
        <v>150</v>
      </c>
      <c r="Z256" s="41"/>
      <c r="AA256" s="42" t="e">
        <f>_xlfn.XLOOKUP(C256,#REF!,#REF!,"",0,1)</f>
        <v>#REF!</v>
      </c>
      <c r="AB256" s="43">
        <f t="shared" si="9"/>
        <v>0</v>
      </c>
    </row>
    <row r="257" spans="1:28" ht="104.5" thickBot="1" x14ac:dyDescent="0.3">
      <c r="A257" s="36">
        <v>256</v>
      </c>
      <c r="B257" s="36" t="s">
        <v>24</v>
      </c>
      <c r="C257" s="36" t="s">
        <v>25</v>
      </c>
      <c r="D257" s="37">
        <v>39785</v>
      </c>
      <c r="E257" s="36" t="s">
        <v>734</v>
      </c>
      <c r="F257" s="36" t="s">
        <v>787</v>
      </c>
      <c r="G257" s="36" t="s">
        <v>55</v>
      </c>
      <c r="H257" s="36" t="s">
        <v>813</v>
      </c>
      <c r="I257" s="36" t="s">
        <v>276</v>
      </c>
      <c r="J257" s="36" t="str">
        <f t="shared" si="7"/>
        <v>Higher &amp; Technical EducationHigher Education EstablishmentCLibrarian Class 3S10 (29200 - 92300)</v>
      </c>
      <c r="K257" s="36" t="s">
        <v>170</v>
      </c>
      <c r="L257" s="36" t="s">
        <v>228</v>
      </c>
      <c r="M257" s="38" t="s">
        <v>814</v>
      </c>
      <c r="N257" s="36" t="s">
        <v>172</v>
      </c>
      <c r="O257" s="6" t="s">
        <v>3233</v>
      </c>
      <c r="P257" s="7">
        <v>2</v>
      </c>
      <c r="Q257" s="7" t="s">
        <v>34</v>
      </c>
      <c r="R257" s="8"/>
      <c r="S257" s="8"/>
      <c r="T257" s="7" t="s">
        <v>35</v>
      </c>
      <c r="U257" s="36" t="s">
        <v>811</v>
      </c>
      <c r="V257" s="38" t="s">
        <v>812</v>
      </c>
      <c r="W257" s="36"/>
      <c r="X257" s="36" t="s">
        <v>815</v>
      </c>
      <c r="Y257" s="50">
        <v>25121</v>
      </c>
      <c r="Z257" s="41"/>
      <c r="AA257" s="42" t="e">
        <f>_xlfn.XLOOKUP(C257,#REF!,#REF!,"",0,1)</f>
        <v>#REF!</v>
      </c>
      <c r="AB257" s="43">
        <f t="shared" si="9"/>
        <v>0</v>
      </c>
    </row>
    <row r="258" spans="1:28" ht="104.5" thickBot="1" x14ac:dyDescent="0.3">
      <c r="A258" s="36">
        <v>257</v>
      </c>
      <c r="B258" s="36" t="s">
        <v>24</v>
      </c>
      <c r="C258" s="36" t="s">
        <v>25</v>
      </c>
      <c r="D258" s="37">
        <v>39785</v>
      </c>
      <c r="E258" s="36" t="s">
        <v>734</v>
      </c>
      <c r="F258" s="36" t="s">
        <v>787</v>
      </c>
      <c r="G258" s="36" t="s">
        <v>55</v>
      </c>
      <c r="H258" s="36" t="s">
        <v>816</v>
      </c>
      <c r="I258" s="36" t="s">
        <v>276</v>
      </c>
      <c r="J258" s="36" t="str">
        <f t="shared" ref="J258:J321" si="10">_xlfn.CONCAT(E258:I258)</f>
        <v>Higher &amp; Technical EducationHigher Education EstablishmentCStorekeeperS10 (29200 - 92300)</v>
      </c>
      <c r="K258" s="36" t="s">
        <v>288</v>
      </c>
      <c r="L258" s="36" t="s">
        <v>228</v>
      </c>
      <c r="M258" s="38" t="s">
        <v>817</v>
      </c>
      <c r="N258" s="36" t="s">
        <v>199</v>
      </c>
      <c r="O258" s="6" t="s">
        <v>33</v>
      </c>
      <c r="P258" s="7">
        <v>4</v>
      </c>
      <c r="Q258" s="17" t="s">
        <v>100</v>
      </c>
      <c r="R258" s="8"/>
      <c r="S258" s="7" t="s">
        <v>3269</v>
      </c>
      <c r="T258" s="7" t="s">
        <v>35</v>
      </c>
      <c r="U258" s="36" t="s">
        <v>811</v>
      </c>
      <c r="V258" s="38" t="s">
        <v>818</v>
      </c>
      <c r="W258" s="36"/>
      <c r="X258" s="36" t="s">
        <v>815</v>
      </c>
      <c r="Y258" s="50">
        <v>25121</v>
      </c>
      <c r="Z258" s="41"/>
      <c r="AA258" s="42" t="e">
        <f>_xlfn.XLOOKUP(C258,#REF!,#REF!,"",0,1)</f>
        <v>#REF!</v>
      </c>
      <c r="AB258" s="43">
        <f t="shared" ref="AB258:AB320" si="11">IFERROR(FLOOR(P258*AA258,1),0)</f>
        <v>0</v>
      </c>
    </row>
    <row r="259" spans="1:28" ht="117.5" thickBot="1" x14ac:dyDescent="0.3">
      <c r="A259" s="36">
        <v>258</v>
      </c>
      <c r="B259" s="36" t="s">
        <v>24</v>
      </c>
      <c r="C259" s="36" t="s">
        <v>25</v>
      </c>
      <c r="D259" s="37">
        <v>39785</v>
      </c>
      <c r="E259" s="36" t="s">
        <v>734</v>
      </c>
      <c r="F259" s="36" t="s">
        <v>787</v>
      </c>
      <c r="G259" s="36" t="s">
        <v>55</v>
      </c>
      <c r="H259" s="36" t="s">
        <v>819</v>
      </c>
      <c r="I259" s="36" t="s">
        <v>57</v>
      </c>
      <c r="J259" s="36" t="str">
        <f t="shared" si="10"/>
        <v>Higher &amp; Technical EducationHigher Education EstablishmentCResearch assistantS13 (35400 - 112400)</v>
      </c>
      <c r="K259" s="36"/>
      <c r="L259" s="36" t="s">
        <v>238</v>
      </c>
      <c r="M259" s="38" t="s">
        <v>820</v>
      </c>
      <c r="N259" s="36" t="s">
        <v>283</v>
      </c>
      <c r="O259" s="6" t="s">
        <v>33</v>
      </c>
      <c r="P259" s="7">
        <v>0</v>
      </c>
      <c r="Q259" s="7" t="s">
        <v>34</v>
      </c>
      <c r="R259" s="8"/>
      <c r="S259" s="7" t="s">
        <v>3232</v>
      </c>
      <c r="T259" s="7" t="s">
        <v>2395</v>
      </c>
      <c r="U259" s="36" t="s">
        <v>596</v>
      </c>
      <c r="V259" s="38"/>
      <c r="W259" s="36"/>
      <c r="X259" s="36"/>
      <c r="Y259" s="36"/>
      <c r="Z259" s="41"/>
      <c r="AA259" s="42" t="e">
        <f>_xlfn.XLOOKUP(C259,#REF!,#REF!,"",0,1)</f>
        <v>#REF!</v>
      </c>
      <c r="AB259" s="43">
        <f t="shared" si="11"/>
        <v>0</v>
      </c>
    </row>
    <row r="260" spans="1:28" ht="117.5" thickBot="1" x14ac:dyDescent="0.3">
      <c r="A260" s="36">
        <v>259</v>
      </c>
      <c r="B260" s="36" t="s">
        <v>24</v>
      </c>
      <c r="C260" s="36" t="s">
        <v>25</v>
      </c>
      <c r="D260" s="37">
        <v>39785</v>
      </c>
      <c r="E260" s="36" t="s">
        <v>734</v>
      </c>
      <c r="F260" s="36" t="s">
        <v>787</v>
      </c>
      <c r="G260" s="36" t="s">
        <v>55</v>
      </c>
      <c r="H260" s="36" t="s">
        <v>821</v>
      </c>
      <c r="I260" s="36" t="s">
        <v>67</v>
      </c>
      <c r="J260" s="36" t="str">
        <f t="shared" si="10"/>
        <v>Higher &amp; Technical EducationHigher Education EstablishmentCLibrarian cum WardenS14 (38600 - 122800)</v>
      </c>
      <c r="K260" s="36" t="s">
        <v>170</v>
      </c>
      <c r="L260" s="36" t="s">
        <v>228</v>
      </c>
      <c r="M260" s="38" t="s">
        <v>449</v>
      </c>
      <c r="N260" s="36" t="s">
        <v>172</v>
      </c>
      <c r="O260" s="6" t="s">
        <v>3233</v>
      </c>
      <c r="P260" s="7">
        <v>3</v>
      </c>
      <c r="Q260" s="7" t="s">
        <v>34</v>
      </c>
      <c r="R260" s="8"/>
      <c r="S260" s="8"/>
      <c r="T260" s="7" t="s">
        <v>35</v>
      </c>
      <c r="U260" s="36" t="s">
        <v>811</v>
      </c>
      <c r="V260" s="38" t="s">
        <v>822</v>
      </c>
      <c r="W260" s="36"/>
      <c r="X260" s="36" t="s">
        <v>823</v>
      </c>
      <c r="Y260" s="36" t="s">
        <v>824</v>
      </c>
      <c r="Z260" s="41"/>
      <c r="AA260" s="42" t="e">
        <f>_xlfn.XLOOKUP(C260,#REF!,#REF!,"",0,1)</f>
        <v>#REF!</v>
      </c>
      <c r="AB260" s="43">
        <f t="shared" si="11"/>
        <v>0</v>
      </c>
    </row>
    <row r="261" spans="1:28" ht="117.5" thickBot="1" x14ac:dyDescent="0.3">
      <c r="A261" s="36">
        <v>260</v>
      </c>
      <c r="B261" s="36" t="s">
        <v>24</v>
      </c>
      <c r="C261" s="36" t="s">
        <v>25</v>
      </c>
      <c r="D261" s="37">
        <v>39785</v>
      </c>
      <c r="E261" s="36" t="s">
        <v>734</v>
      </c>
      <c r="F261" s="36" t="s">
        <v>787</v>
      </c>
      <c r="G261" s="36" t="s">
        <v>55</v>
      </c>
      <c r="H261" s="36" t="s">
        <v>464</v>
      </c>
      <c r="I261" s="36" t="s">
        <v>67</v>
      </c>
      <c r="J261" s="36" t="str">
        <f t="shared" si="10"/>
        <v>Higher &amp; Technical EducationHigher Education EstablishmentCLower Grade StenoS14 (38600 - 122800)</v>
      </c>
      <c r="K261" s="36" t="s">
        <v>68</v>
      </c>
      <c r="L261" s="36" t="s">
        <v>231</v>
      </c>
      <c r="M261" s="38" t="s">
        <v>825</v>
      </c>
      <c r="N261" s="36" t="s">
        <v>70</v>
      </c>
      <c r="O261" s="6" t="s">
        <v>33</v>
      </c>
      <c r="P261" s="7">
        <v>6</v>
      </c>
      <c r="Q261" s="17" t="s">
        <v>100</v>
      </c>
      <c r="R261" s="8"/>
      <c r="S261" s="7" t="s">
        <v>3270</v>
      </c>
      <c r="T261" s="4" t="s">
        <v>3276</v>
      </c>
      <c r="U261" s="36" t="s">
        <v>811</v>
      </c>
      <c r="V261" s="38"/>
      <c r="W261" s="36"/>
      <c r="X261" s="36"/>
      <c r="Y261" s="36"/>
      <c r="Z261" s="41"/>
      <c r="AA261" s="42" t="e">
        <f>_xlfn.XLOOKUP(C261,#REF!,#REF!,"",0,1)</f>
        <v>#REF!</v>
      </c>
      <c r="AB261" s="43">
        <f t="shared" si="11"/>
        <v>0</v>
      </c>
    </row>
    <row r="262" spans="1:28" ht="117.5" thickBot="1" x14ac:dyDescent="0.3">
      <c r="A262" s="36">
        <v>261</v>
      </c>
      <c r="B262" s="36" t="s">
        <v>24</v>
      </c>
      <c r="C262" s="36" t="s">
        <v>25</v>
      </c>
      <c r="D262" s="37">
        <v>39785</v>
      </c>
      <c r="E262" s="36" t="s">
        <v>734</v>
      </c>
      <c r="F262" s="36" t="s">
        <v>787</v>
      </c>
      <c r="G262" s="36" t="s">
        <v>55</v>
      </c>
      <c r="H262" s="36" t="s">
        <v>466</v>
      </c>
      <c r="I262" s="36" t="s">
        <v>44</v>
      </c>
      <c r="J262" s="36" t="str">
        <f t="shared" si="10"/>
        <v>Higher &amp; Technical EducationHigher Education EstablishmentCHigher Grade StenoS15 (41800 - 132300)</v>
      </c>
      <c r="K262" s="36" t="s">
        <v>68</v>
      </c>
      <c r="L262" s="36" t="s">
        <v>231</v>
      </c>
      <c r="M262" s="38" t="s">
        <v>826</v>
      </c>
      <c r="N262" s="36" t="s">
        <v>70</v>
      </c>
      <c r="O262" s="6" t="s">
        <v>33</v>
      </c>
      <c r="P262" s="7">
        <v>7</v>
      </c>
      <c r="Q262" s="17" t="s">
        <v>100</v>
      </c>
      <c r="R262" s="8"/>
      <c r="S262" s="7" t="s">
        <v>3271</v>
      </c>
      <c r="T262" s="4" t="s">
        <v>3276</v>
      </c>
      <c r="U262" s="36" t="s">
        <v>811</v>
      </c>
      <c r="V262" s="38"/>
      <c r="W262" s="36"/>
      <c r="X262" s="36"/>
      <c r="Y262" s="36"/>
      <c r="Z262" s="41"/>
      <c r="AA262" s="42" t="e">
        <f>_xlfn.XLOOKUP(C262,#REF!,#REF!,"",0,1)</f>
        <v>#REF!</v>
      </c>
      <c r="AB262" s="43">
        <f t="shared" si="11"/>
        <v>0</v>
      </c>
    </row>
    <row r="263" spans="1:28" ht="91.5" thickBot="1" x14ac:dyDescent="0.3">
      <c r="A263" s="36">
        <v>262</v>
      </c>
      <c r="B263" s="36" t="s">
        <v>24</v>
      </c>
      <c r="C263" s="36" t="s">
        <v>25</v>
      </c>
      <c r="D263" s="37">
        <v>39785</v>
      </c>
      <c r="E263" s="36" t="s">
        <v>734</v>
      </c>
      <c r="F263" s="36" t="s">
        <v>787</v>
      </c>
      <c r="G263" s="36" t="s">
        <v>55</v>
      </c>
      <c r="H263" s="36" t="s">
        <v>123</v>
      </c>
      <c r="I263" s="36" t="s">
        <v>74</v>
      </c>
      <c r="J263" s="36" t="str">
        <f t="shared" si="10"/>
        <v>Higher &amp; Technical EducationHigher Education EstablishmentCJunior ClerkS6 (19900 - 63200)</v>
      </c>
      <c r="K263" s="36" t="s">
        <v>75</v>
      </c>
      <c r="L263" s="36" t="s">
        <v>228</v>
      </c>
      <c r="M263" s="38" t="s">
        <v>827</v>
      </c>
      <c r="N263" s="36" t="s">
        <v>70</v>
      </c>
      <c r="O263" s="6" t="s">
        <v>33</v>
      </c>
      <c r="P263" s="7">
        <v>78</v>
      </c>
      <c r="Q263" s="17" t="s">
        <v>100</v>
      </c>
      <c r="R263" s="8"/>
      <c r="S263" s="7" t="s">
        <v>3272</v>
      </c>
      <c r="T263" s="17" t="s">
        <v>61</v>
      </c>
      <c r="U263" s="36" t="s">
        <v>61</v>
      </c>
      <c r="V263" s="38" t="s">
        <v>125</v>
      </c>
      <c r="W263" s="36"/>
      <c r="X263" s="36" t="s">
        <v>77</v>
      </c>
      <c r="Y263" s="36" t="s">
        <v>78</v>
      </c>
      <c r="Z263" s="41"/>
      <c r="AA263" s="42" t="e">
        <f>_xlfn.XLOOKUP(C263,#REF!,#REF!,"",0,1)</f>
        <v>#REF!</v>
      </c>
      <c r="AB263" s="43">
        <f t="shared" si="11"/>
        <v>0</v>
      </c>
    </row>
    <row r="264" spans="1:28" ht="104.5" thickBot="1" x14ac:dyDescent="0.3">
      <c r="A264" s="36">
        <v>263</v>
      </c>
      <c r="B264" s="36" t="s">
        <v>24</v>
      </c>
      <c r="C264" s="36" t="s">
        <v>25</v>
      </c>
      <c r="D264" s="37">
        <v>39785</v>
      </c>
      <c r="E264" s="36" t="s">
        <v>734</v>
      </c>
      <c r="F264" s="36" t="s">
        <v>787</v>
      </c>
      <c r="G264" s="36" t="s">
        <v>55</v>
      </c>
      <c r="H264" s="36" t="s">
        <v>828</v>
      </c>
      <c r="I264" s="36" t="s">
        <v>74</v>
      </c>
      <c r="J264" s="36" t="str">
        <f t="shared" si="10"/>
        <v>Higher &amp; Technical EducationHigher Education EstablishmentCTabala PlayarS6 (19900 - 63200)</v>
      </c>
      <c r="K264" s="36"/>
      <c r="L264" s="36" t="s">
        <v>238</v>
      </c>
      <c r="M264" s="38" t="s">
        <v>829</v>
      </c>
      <c r="N264" s="36" t="s">
        <v>283</v>
      </c>
      <c r="O264" s="6" t="s">
        <v>33</v>
      </c>
      <c r="P264" s="7">
        <v>4</v>
      </c>
      <c r="Q264" s="17" t="s">
        <v>100</v>
      </c>
      <c r="R264" s="8"/>
      <c r="S264" s="7" t="s">
        <v>3273</v>
      </c>
      <c r="T264" s="17" t="s">
        <v>35</v>
      </c>
      <c r="U264" s="36" t="s">
        <v>811</v>
      </c>
      <c r="V264" s="38"/>
      <c r="W264" s="36"/>
      <c r="X264" s="36"/>
      <c r="Y264" s="36"/>
      <c r="Z264" s="41"/>
      <c r="AA264" s="42" t="e">
        <f>_xlfn.XLOOKUP(C264,#REF!,#REF!,"",0,1)</f>
        <v>#REF!</v>
      </c>
      <c r="AB264" s="43">
        <f t="shared" si="11"/>
        <v>0</v>
      </c>
    </row>
    <row r="265" spans="1:28" ht="104.5" thickBot="1" x14ac:dyDescent="0.3">
      <c r="A265" s="36">
        <v>264</v>
      </c>
      <c r="B265" s="36" t="s">
        <v>24</v>
      </c>
      <c r="C265" s="36" t="s">
        <v>25</v>
      </c>
      <c r="D265" s="37">
        <v>39785</v>
      </c>
      <c r="E265" s="36" t="s">
        <v>734</v>
      </c>
      <c r="F265" s="36" t="s">
        <v>787</v>
      </c>
      <c r="G265" s="36" t="s">
        <v>55</v>
      </c>
      <c r="H265" s="36" t="s">
        <v>831</v>
      </c>
      <c r="I265" s="36" t="s">
        <v>74</v>
      </c>
      <c r="J265" s="36" t="str">
        <f t="shared" si="10"/>
        <v>Higher &amp; Technical EducationHigher Education EstablishmentCInstrument PlayarS6 (19900 - 63200)</v>
      </c>
      <c r="K265" s="36"/>
      <c r="L265" s="36" t="s">
        <v>238</v>
      </c>
      <c r="M265" s="38" t="s">
        <v>832</v>
      </c>
      <c r="N265" s="36" t="s">
        <v>283</v>
      </c>
      <c r="O265" s="6" t="s">
        <v>33</v>
      </c>
      <c r="P265" s="7">
        <v>5</v>
      </c>
      <c r="Q265" s="17" t="s">
        <v>100</v>
      </c>
      <c r="R265" s="8"/>
      <c r="S265" s="7" t="s">
        <v>3271</v>
      </c>
      <c r="T265" s="17" t="s">
        <v>35</v>
      </c>
      <c r="U265" s="36" t="s">
        <v>811</v>
      </c>
      <c r="V265" s="38"/>
      <c r="W265" s="36"/>
      <c r="X265" s="36"/>
      <c r="Y265" s="36"/>
      <c r="Z265" s="41"/>
      <c r="AA265" s="42" t="e">
        <f>_xlfn.XLOOKUP(C265,#REF!,#REF!,"",0,1)</f>
        <v>#REF!</v>
      </c>
      <c r="AB265" s="43">
        <f t="shared" si="11"/>
        <v>0</v>
      </c>
    </row>
    <row r="266" spans="1:28" ht="104.5" thickBot="1" x14ac:dyDescent="0.3">
      <c r="A266" s="36">
        <v>265</v>
      </c>
      <c r="B266" s="36" t="s">
        <v>24</v>
      </c>
      <c r="C266" s="36" t="s">
        <v>25</v>
      </c>
      <c r="D266" s="37">
        <v>39785</v>
      </c>
      <c r="E266" s="36" t="s">
        <v>734</v>
      </c>
      <c r="F266" s="36" t="s">
        <v>787</v>
      </c>
      <c r="G266" s="36" t="s">
        <v>55</v>
      </c>
      <c r="H266" s="36" t="s">
        <v>833</v>
      </c>
      <c r="I266" s="36" t="s">
        <v>74</v>
      </c>
      <c r="J266" s="36" t="str">
        <f t="shared" si="10"/>
        <v>Higher &amp; Technical EducationHigher Education EstablishmentCMusic AssistantS6 (19900 - 63200)</v>
      </c>
      <c r="K266" s="36"/>
      <c r="L266" s="36" t="s">
        <v>238</v>
      </c>
      <c r="M266" s="38" t="s">
        <v>834</v>
      </c>
      <c r="N266" s="36" t="s">
        <v>283</v>
      </c>
      <c r="O266" s="6" t="s">
        <v>3233</v>
      </c>
      <c r="P266" s="7">
        <v>1</v>
      </c>
      <c r="Q266" s="7" t="s">
        <v>34</v>
      </c>
      <c r="R266" s="8"/>
      <c r="S266" s="7" t="s">
        <v>3232</v>
      </c>
      <c r="T266" s="7" t="s">
        <v>2395</v>
      </c>
      <c r="U266" s="36" t="s">
        <v>596</v>
      </c>
      <c r="V266" s="38"/>
      <c r="W266" s="36"/>
      <c r="X266" s="36"/>
      <c r="Y266" s="36"/>
      <c r="Z266" s="41"/>
      <c r="AA266" s="42" t="e">
        <f>_xlfn.XLOOKUP(C266,#REF!,#REF!,"",0,1)</f>
        <v>#REF!</v>
      </c>
      <c r="AB266" s="43">
        <f t="shared" si="11"/>
        <v>0</v>
      </c>
    </row>
    <row r="267" spans="1:28" ht="104.5" thickBot="1" x14ac:dyDescent="0.3">
      <c r="A267" s="36">
        <v>266</v>
      </c>
      <c r="B267" s="36" t="s">
        <v>24</v>
      </c>
      <c r="C267" s="36" t="s">
        <v>25</v>
      </c>
      <c r="D267" s="37">
        <v>39785</v>
      </c>
      <c r="E267" s="36" t="s">
        <v>734</v>
      </c>
      <c r="F267" s="36" t="s">
        <v>787</v>
      </c>
      <c r="G267" s="36" t="s">
        <v>55</v>
      </c>
      <c r="H267" s="36" t="s">
        <v>835</v>
      </c>
      <c r="I267" s="36" t="s">
        <v>74</v>
      </c>
      <c r="J267" s="36" t="str">
        <f t="shared" si="10"/>
        <v>Higher &amp; Technical EducationHigher Education EstablishmentCHarmonium playerS6 (19900 - 63200)</v>
      </c>
      <c r="K267" s="36"/>
      <c r="L267" s="36" t="s">
        <v>238</v>
      </c>
      <c r="M267" s="38" t="s">
        <v>449</v>
      </c>
      <c r="N267" s="36" t="s">
        <v>283</v>
      </c>
      <c r="O267" s="6" t="s">
        <v>3233</v>
      </c>
      <c r="P267" s="7">
        <v>1</v>
      </c>
      <c r="Q267" s="7" t="s">
        <v>34</v>
      </c>
      <c r="R267" s="8"/>
      <c r="S267" s="7" t="s">
        <v>3232</v>
      </c>
      <c r="T267" s="7" t="s">
        <v>2395</v>
      </c>
      <c r="U267" s="36" t="s">
        <v>596</v>
      </c>
      <c r="V267" s="38"/>
      <c r="W267" s="36"/>
      <c r="X267" s="36"/>
      <c r="Y267" s="36"/>
      <c r="Z267" s="41"/>
      <c r="AA267" s="42" t="e">
        <f>_xlfn.XLOOKUP(C267,#REF!,#REF!,"",0,1)</f>
        <v>#REF!</v>
      </c>
      <c r="AB267" s="43">
        <f t="shared" si="11"/>
        <v>0</v>
      </c>
    </row>
    <row r="268" spans="1:28" ht="104.5" thickBot="1" x14ac:dyDescent="0.3">
      <c r="A268" s="44">
        <v>267</v>
      </c>
      <c r="B268" s="44" t="s">
        <v>24</v>
      </c>
      <c r="C268" s="36" t="s">
        <v>25</v>
      </c>
      <c r="D268" s="37">
        <v>39785</v>
      </c>
      <c r="E268" s="44" t="s">
        <v>734</v>
      </c>
      <c r="F268" s="44" t="s">
        <v>787</v>
      </c>
      <c r="G268" s="44" t="s">
        <v>55</v>
      </c>
      <c r="H268" s="44" t="s">
        <v>836</v>
      </c>
      <c r="I268" s="44" t="s">
        <v>74</v>
      </c>
      <c r="J268" s="44" t="str">
        <f t="shared" si="10"/>
        <v>Higher &amp; Technical EducationHigher Education EstablishmentCMuseum AssistantS6 (19900 - 63200)</v>
      </c>
      <c r="K268" s="44"/>
      <c r="L268" s="44" t="s">
        <v>261</v>
      </c>
      <c r="M268" s="45" t="s">
        <v>837</v>
      </c>
      <c r="N268" s="44" t="s">
        <v>113</v>
      </c>
      <c r="O268" s="11" t="s">
        <v>33</v>
      </c>
      <c r="P268" s="13"/>
      <c r="Q268" s="12" t="s">
        <v>34</v>
      </c>
      <c r="R268" s="13"/>
      <c r="S268" s="13"/>
      <c r="T268" s="4" t="s">
        <v>3276</v>
      </c>
      <c r="U268" s="44" t="s">
        <v>596</v>
      </c>
      <c r="V268" s="45"/>
      <c r="W268" s="44"/>
      <c r="X268" s="44"/>
      <c r="Y268" s="44"/>
      <c r="Z268" s="41"/>
      <c r="AA268" s="42" t="e">
        <f>_xlfn.XLOOKUP(C268,#REF!,#REF!,"",0,1)</f>
        <v>#REF!</v>
      </c>
      <c r="AB268" s="43">
        <f t="shared" si="11"/>
        <v>0</v>
      </c>
    </row>
    <row r="269" spans="1:28" ht="104.5" thickBot="1" x14ac:dyDescent="0.3">
      <c r="A269" s="44">
        <v>268</v>
      </c>
      <c r="B269" s="44" t="s">
        <v>24</v>
      </c>
      <c r="C269" s="36" t="s">
        <v>25</v>
      </c>
      <c r="D269" s="37">
        <v>39785</v>
      </c>
      <c r="E269" s="44" t="s">
        <v>734</v>
      </c>
      <c r="F269" s="44" t="s">
        <v>787</v>
      </c>
      <c r="G269" s="44" t="s">
        <v>55</v>
      </c>
      <c r="H269" s="44" t="s">
        <v>838</v>
      </c>
      <c r="I269" s="44" t="s">
        <v>74</v>
      </c>
      <c r="J269" s="44" t="str">
        <f t="shared" si="10"/>
        <v>Higher &amp; Technical EducationHigher Education EstablishmentCTelephone operatorS6 (19900 - 63200)</v>
      </c>
      <c r="K269" s="44"/>
      <c r="L269" s="44" t="s">
        <v>261</v>
      </c>
      <c r="M269" s="45" t="s">
        <v>839</v>
      </c>
      <c r="N269" s="44" t="s">
        <v>113</v>
      </c>
      <c r="O269" s="11" t="s">
        <v>33</v>
      </c>
      <c r="P269" s="12">
        <v>1</v>
      </c>
      <c r="Q269" s="12" t="s">
        <v>34</v>
      </c>
      <c r="R269" s="13"/>
      <c r="S269" s="13"/>
      <c r="T269" s="4" t="s">
        <v>3276</v>
      </c>
      <c r="U269" s="44" t="s">
        <v>596</v>
      </c>
      <c r="V269" s="45"/>
      <c r="W269" s="44"/>
      <c r="X269" s="44"/>
      <c r="Y269" s="44"/>
      <c r="Z269" s="41"/>
      <c r="AA269" s="42" t="e">
        <f>_xlfn.XLOOKUP(C269,#REF!,#REF!,"",0,1)</f>
        <v>#REF!</v>
      </c>
      <c r="AB269" s="43">
        <f t="shared" si="11"/>
        <v>0</v>
      </c>
    </row>
    <row r="270" spans="1:28" ht="104.5" thickBot="1" x14ac:dyDescent="0.3">
      <c r="A270" s="36">
        <v>269</v>
      </c>
      <c r="B270" s="36" t="s">
        <v>24</v>
      </c>
      <c r="C270" s="36" t="s">
        <v>25</v>
      </c>
      <c r="D270" s="37">
        <v>39785</v>
      </c>
      <c r="E270" s="36" t="s">
        <v>734</v>
      </c>
      <c r="F270" s="36" t="s">
        <v>787</v>
      </c>
      <c r="G270" s="36" t="s">
        <v>55</v>
      </c>
      <c r="H270" s="36" t="s">
        <v>840</v>
      </c>
      <c r="I270" s="36" t="s">
        <v>169</v>
      </c>
      <c r="J270" s="36" t="str">
        <f t="shared" si="10"/>
        <v>Higher &amp; Technical EducationHigher Education EstablishmentClaboratory assistantS7 (21700 - 69100)</v>
      </c>
      <c r="K270" s="36" t="s">
        <v>377</v>
      </c>
      <c r="L270" s="36" t="s">
        <v>225</v>
      </c>
      <c r="M270" s="38" t="s">
        <v>841</v>
      </c>
      <c r="N270" s="36" t="s">
        <v>379</v>
      </c>
      <c r="O270" s="6" t="s">
        <v>33</v>
      </c>
      <c r="P270" s="7">
        <v>46</v>
      </c>
      <c r="Q270" s="17" t="s">
        <v>100</v>
      </c>
      <c r="R270" s="8"/>
      <c r="S270" s="7" t="s">
        <v>3274</v>
      </c>
      <c r="T270" s="7" t="s">
        <v>61</v>
      </c>
      <c r="U270" s="36" t="s">
        <v>61</v>
      </c>
      <c r="V270" s="38" t="s">
        <v>842</v>
      </c>
      <c r="W270" s="36"/>
      <c r="X270" s="36" t="s">
        <v>815</v>
      </c>
      <c r="Y270" s="36" t="s">
        <v>843</v>
      </c>
      <c r="Z270" s="41"/>
      <c r="AA270" s="42" t="e">
        <f>_xlfn.XLOOKUP(C270,#REF!,#REF!,"",0,1)</f>
        <v>#REF!</v>
      </c>
      <c r="AB270" s="43">
        <f t="shared" si="11"/>
        <v>0</v>
      </c>
    </row>
    <row r="271" spans="1:28" ht="91.5" thickBot="1" x14ac:dyDescent="0.3">
      <c r="A271" s="36">
        <v>270</v>
      </c>
      <c r="B271" s="36" t="s">
        <v>24</v>
      </c>
      <c r="C271" s="36" t="s">
        <v>25</v>
      </c>
      <c r="D271" s="37">
        <v>39785</v>
      </c>
      <c r="E271" s="36" t="s">
        <v>734</v>
      </c>
      <c r="F271" s="36" t="s">
        <v>787</v>
      </c>
      <c r="G271" s="36" t="s">
        <v>55</v>
      </c>
      <c r="H271" s="36" t="s">
        <v>92</v>
      </c>
      <c r="I271" s="36" t="s">
        <v>80</v>
      </c>
      <c r="J271" s="36" t="str">
        <f t="shared" si="10"/>
        <v>Higher &amp; Technical EducationHigher Education EstablishmentCSteno TypistS8 (25500 - 81100)</v>
      </c>
      <c r="K271" s="36"/>
      <c r="L271" s="36" t="s">
        <v>231</v>
      </c>
      <c r="M271" s="38" t="s">
        <v>844</v>
      </c>
      <c r="N271" s="36" t="s">
        <v>113</v>
      </c>
      <c r="O271" s="6" t="s">
        <v>33</v>
      </c>
      <c r="P271" s="7">
        <v>0</v>
      </c>
      <c r="Q271" s="7" t="s">
        <v>34</v>
      </c>
      <c r="R271" s="8"/>
      <c r="S271" s="8"/>
      <c r="T271" s="4" t="s">
        <v>3276</v>
      </c>
      <c r="U271" s="36" t="s">
        <v>596</v>
      </c>
      <c r="V271" s="38"/>
      <c r="W271" s="36"/>
      <c r="X271" s="36"/>
      <c r="Y271" s="36"/>
      <c r="Z271" s="41"/>
      <c r="AA271" s="42" t="e">
        <f>_xlfn.XLOOKUP(C271,#REF!,#REF!,"",0,1)</f>
        <v>#REF!</v>
      </c>
      <c r="AB271" s="43">
        <f t="shared" si="11"/>
        <v>0</v>
      </c>
    </row>
    <row r="272" spans="1:28" ht="104.5" thickBot="1" x14ac:dyDescent="0.3">
      <c r="A272" s="36">
        <v>271</v>
      </c>
      <c r="B272" s="36" t="s">
        <v>24</v>
      </c>
      <c r="C272" s="36" t="s">
        <v>263</v>
      </c>
      <c r="D272" s="37">
        <v>44911</v>
      </c>
      <c r="E272" s="36" t="s">
        <v>734</v>
      </c>
      <c r="F272" s="36" t="s">
        <v>845</v>
      </c>
      <c r="G272" s="36" t="s">
        <v>28</v>
      </c>
      <c r="H272" s="36" t="s">
        <v>512</v>
      </c>
      <c r="I272" s="36" t="s">
        <v>513</v>
      </c>
      <c r="J272" s="36" t="str">
        <f t="shared" si="10"/>
        <v>Higher &amp; Technical EducationLibrary EstablishmentADirectorS25 (78800 - 209200)</v>
      </c>
      <c r="K272" s="36"/>
      <c r="L272" s="36" t="s">
        <v>243</v>
      </c>
      <c r="M272" s="38" t="s">
        <v>846</v>
      </c>
      <c r="N272" s="36" t="s">
        <v>32</v>
      </c>
      <c r="O272" s="6" t="s">
        <v>33</v>
      </c>
      <c r="P272" s="8"/>
      <c r="Q272" s="7" t="s">
        <v>34</v>
      </c>
      <c r="R272" s="8"/>
      <c r="S272" s="8"/>
      <c r="T272" s="4" t="s">
        <v>3276</v>
      </c>
      <c r="U272" s="36" t="s">
        <v>596</v>
      </c>
      <c r="V272" s="38"/>
      <c r="W272" s="36"/>
      <c r="X272" s="36"/>
      <c r="Y272" s="36"/>
      <c r="Z272" s="41"/>
      <c r="AA272" s="42" t="e">
        <f>_xlfn.XLOOKUP(C272,#REF!,#REF!,"",0,1)</f>
        <v>#REF!</v>
      </c>
      <c r="AB272" s="43">
        <f t="shared" si="11"/>
        <v>0</v>
      </c>
    </row>
    <row r="273" spans="1:28" ht="169.5" thickBot="1" x14ac:dyDescent="0.3">
      <c r="A273" s="36">
        <v>272</v>
      </c>
      <c r="B273" s="36" t="s">
        <v>24</v>
      </c>
      <c r="C273" s="36" t="s">
        <v>263</v>
      </c>
      <c r="D273" s="37">
        <v>44911</v>
      </c>
      <c r="E273" s="36" t="s">
        <v>734</v>
      </c>
      <c r="F273" s="36" t="s">
        <v>845</v>
      </c>
      <c r="G273" s="36" t="s">
        <v>42</v>
      </c>
      <c r="H273" s="36" t="s">
        <v>847</v>
      </c>
      <c r="I273" s="36" t="s">
        <v>44</v>
      </c>
      <c r="J273" s="36" t="str">
        <f t="shared" si="10"/>
        <v>Higher &amp; Technical EducationLibrary EstablishmentB (Gazetted)Assistant Director of Libraries /District Library OfficerS15 (41800 - 132300)</v>
      </c>
      <c r="K273" s="36" t="s">
        <v>45</v>
      </c>
      <c r="L273" s="36" t="s">
        <v>247</v>
      </c>
      <c r="M273" s="38" t="s">
        <v>848</v>
      </c>
      <c r="N273" s="36" t="s">
        <v>683</v>
      </c>
      <c r="O273" s="6" t="s">
        <v>33</v>
      </c>
      <c r="P273" s="7">
        <v>1</v>
      </c>
      <c r="Q273" s="17" t="s">
        <v>100</v>
      </c>
      <c r="R273" s="8"/>
      <c r="S273" s="7" t="s">
        <v>3275</v>
      </c>
      <c r="T273" s="7" t="s">
        <v>2395</v>
      </c>
      <c r="U273" s="36" t="s">
        <v>61</v>
      </c>
      <c r="V273" s="38"/>
      <c r="W273" s="36"/>
      <c r="X273" s="36"/>
      <c r="Y273" s="36"/>
      <c r="Z273" s="41"/>
      <c r="AA273" s="42" t="e">
        <f>_xlfn.XLOOKUP(C273,#REF!,#REF!,"",0,1)</f>
        <v>#REF!</v>
      </c>
      <c r="AB273" s="43">
        <f t="shared" si="11"/>
        <v>0</v>
      </c>
    </row>
    <row r="274" spans="1:28" ht="195.5" thickBot="1" x14ac:dyDescent="0.3">
      <c r="A274" s="36">
        <v>273</v>
      </c>
      <c r="B274" s="36" t="s">
        <v>24</v>
      </c>
      <c r="C274" s="36" t="s">
        <v>263</v>
      </c>
      <c r="D274" s="37">
        <v>44911</v>
      </c>
      <c r="E274" s="36" t="s">
        <v>734</v>
      </c>
      <c r="F274" s="36" t="s">
        <v>845</v>
      </c>
      <c r="G274" s="36" t="s">
        <v>55</v>
      </c>
      <c r="H274" s="36" t="s">
        <v>849</v>
      </c>
      <c r="I274" s="36" t="s">
        <v>67</v>
      </c>
      <c r="J274" s="36" t="str">
        <f t="shared" si="10"/>
        <v>Higher &amp; Technical EducationLibrary EstablishmentCLibrary Inspector/
  Technical Assistant/
  Distrcit Librarian/ Distribution AssistantS14 (38600 - 122800)</v>
      </c>
      <c r="K274" s="36" t="s">
        <v>170</v>
      </c>
      <c r="L274" s="36" t="s">
        <v>228</v>
      </c>
      <c r="M274" s="38" t="s">
        <v>850</v>
      </c>
      <c r="N274" s="36" t="s">
        <v>172</v>
      </c>
      <c r="O274" s="6" t="s">
        <v>33</v>
      </c>
      <c r="P274" s="7">
        <v>12</v>
      </c>
      <c r="Q274" s="7" t="s">
        <v>100</v>
      </c>
      <c r="R274" s="8"/>
      <c r="S274" s="8"/>
      <c r="T274" s="7" t="s">
        <v>61</v>
      </c>
      <c r="U274" s="36" t="s">
        <v>61</v>
      </c>
      <c r="V274" s="38" t="s">
        <v>851</v>
      </c>
      <c r="W274" s="36"/>
      <c r="X274" s="36" t="s">
        <v>852</v>
      </c>
      <c r="Y274" s="36" t="s">
        <v>853</v>
      </c>
      <c r="Z274" s="41"/>
      <c r="AA274" s="42" t="e">
        <f>_xlfn.XLOOKUP(C274,#REF!,#REF!,"",0,1)</f>
        <v>#REF!</v>
      </c>
      <c r="AB274" s="43">
        <f t="shared" si="11"/>
        <v>0</v>
      </c>
    </row>
    <row r="275" spans="1:28" ht="130.5" thickBot="1" x14ac:dyDescent="0.3">
      <c r="A275" s="36">
        <v>274</v>
      </c>
      <c r="B275" s="36" t="s">
        <v>24</v>
      </c>
      <c r="C275" s="36" t="s">
        <v>263</v>
      </c>
      <c r="D275" s="37">
        <v>44911</v>
      </c>
      <c r="E275" s="36" t="s">
        <v>734</v>
      </c>
      <c r="F275" s="36" t="s">
        <v>845</v>
      </c>
      <c r="G275" s="36" t="s">
        <v>55</v>
      </c>
      <c r="H275" s="36" t="s">
        <v>854</v>
      </c>
      <c r="I275" s="36" t="s">
        <v>67</v>
      </c>
      <c r="J275" s="36" t="str">
        <f t="shared" si="10"/>
        <v>Higher &amp; Technical EducationLibrary EstablishmentCStenographer (Lowar grade)S14 (38600 - 122800)</v>
      </c>
      <c r="K275" s="36" t="s">
        <v>68</v>
      </c>
      <c r="L275" s="36" t="s">
        <v>231</v>
      </c>
      <c r="M275" s="38" t="s">
        <v>855</v>
      </c>
      <c r="N275" s="36" t="s">
        <v>70</v>
      </c>
      <c r="O275" s="6" t="s">
        <v>33</v>
      </c>
      <c r="P275" s="7">
        <v>1</v>
      </c>
      <c r="Q275" s="7" t="s">
        <v>100</v>
      </c>
      <c r="R275" s="8"/>
      <c r="S275" s="7" t="s">
        <v>3275</v>
      </c>
      <c r="T275" s="4" t="s">
        <v>3276</v>
      </c>
      <c r="U275" s="36" t="s">
        <v>596</v>
      </c>
      <c r="V275" s="38"/>
      <c r="W275" s="36"/>
      <c r="X275" s="36"/>
      <c r="Y275" s="36"/>
      <c r="Z275" s="41"/>
      <c r="AA275" s="42" t="e">
        <f>_xlfn.XLOOKUP(C275,#REF!,#REF!,"",0,1)</f>
        <v>#REF!</v>
      </c>
      <c r="AB275" s="43">
        <f t="shared" si="11"/>
        <v>0</v>
      </c>
    </row>
    <row r="276" spans="1:28" ht="117.5" thickBot="1" x14ac:dyDescent="0.3">
      <c r="A276" s="36">
        <v>275</v>
      </c>
      <c r="B276" s="36" t="s">
        <v>24</v>
      </c>
      <c r="C276" s="36" t="s">
        <v>263</v>
      </c>
      <c r="D276" s="37">
        <v>44911</v>
      </c>
      <c r="E276" s="36" t="s">
        <v>734</v>
      </c>
      <c r="F276" s="36" t="s">
        <v>845</v>
      </c>
      <c r="G276" s="36" t="s">
        <v>55</v>
      </c>
      <c r="H276" s="36" t="s">
        <v>856</v>
      </c>
      <c r="I276" s="36" t="s">
        <v>74</v>
      </c>
      <c r="J276" s="36" t="str">
        <f t="shared" si="10"/>
        <v>Higher &amp; Technical EducationLibrary EstablishmentCJunior Clerk/Clerk-cum-TypistS6 (19900 - 63200)</v>
      </c>
      <c r="K276" s="36" t="s">
        <v>75</v>
      </c>
      <c r="L276" s="36" t="s">
        <v>228</v>
      </c>
      <c r="M276" s="38" t="s">
        <v>857</v>
      </c>
      <c r="N276" s="36" t="s">
        <v>70</v>
      </c>
      <c r="O276" s="6" t="s">
        <v>33</v>
      </c>
      <c r="P276" s="7">
        <v>9</v>
      </c>
      <c r="Q276" s="7" t="s">
        <v>34</v>
      </c>
      <c r="R276" s="8"/>
      <c r="S276" s="71" t="s">
        <v>858</v>
      </c>
      <c r="T276" s="7" t="s">
        <v>35</v>
      </c>
      <c r="U276" s="36" t="s">
        <v>35</v>
      </c>
      <c r="V276" s="38" t="s">
        <v>125</v>
      </c>
      <c r="W276" s="36"/>
      <c r="X276" s="36" t="s">
        <v>77</v>
      </c>
      <c r="Y276" s="36" t="s">
        <v>78</v>
      </c>
      <c r="Z276" s="41"/>
      <c r="AA276" s="42" t="e">
        <f>_xlfn.XLOOKUP(C276,#REF!,#REF!,"",0,1)</f>
        <v>#REF!</v>
      </c>
      <c r="AB276" s="43">
        <f t="shared" si="11"/>
        <v>0</v>
      </c>
    </row>
    <row r="277" spans="1:28" ht="104.5" thickBot="1" x14ac:dyDescent="0.3">
      <c r="A277" s="36">
        <v>276</v>
      </c>
      <c r="B277" s="36" t="s">
        <v>24</v>
      </c>
      <c r="C277" s="36" t="s">
        <v>263</v>
      </c>
      <c r="D277" s="37">
        <v>44911</v>
      </c>
      <c r="E277" s="36" t="s">
        <v>734</v>
      </c>
      <c r="F277" s="36" t="s">
        <v>845</v>
      </c>
      <c r="G277" s="36" t="s">
        <v>55</v>
      </c>
      <c r="H277" s="36" t="s">
        <v>859</v>
      </c>
      <c r="I277" s="36" t="s">
        <v>169</v>
      </c>
      <c r="J277" s="36" t="str">
        <f t="shared" si="10"/>
        <v>Higher &amp; Technical EducationLibrary EstablishmentCIssue AssistantS7 (21700 - 69100)</v>
      </c>
      <c r="K277" s="36" t="s">
        <v>170</v>
      </c>
      <c r="L277" s="36" t="s">
        <v>228</v>
      </c>
      <c r="M277" s="38" t="s">
        <v>860</v>
      </c>
      <c r="N277" s="36" t="s">
        <v>172</v>
      </c>
      <c r="O277" s="6" t="s">
        <v>33</v>
      </c>
      <c r="P277" s="7">
        <v>5</v>
      </c>
      <c r="Q277" s="7" t="s">
        <v>100</v>
      </c>
      <c r="R277" s="8"/>
      <c r="S277" s="8"/>
      <c r="T277" s="7" t="s">
        <v>61</v>
      </c>
      <c r="U277" s="36" t="s">
        <v>61</v>
      </c>
      <c r="V277" s="38" t="s">
        <v>861</v>
      </c>
      <c r="W277" s="36"/>
      <c r="X277" s="36" t="s">
        <v>862</v>
      </c>
      <c r="Y277" s="50">
        <v>28408</v>
      </c>
      <c r="Z277" s="41"/>
      <c r="AA277" s="42" t="e">
        <f>_xlfn.XLOOKUP(C277,#REF!,#REF!,"",0,1)</f>
        <v>#REF!</v>
      </c>
      <c r="AB277" s="43">
        <f t="shared" si="11"/>
        <v>0</v>
      </c>
    </row>
    <row r="278" spans="1:28" ht="91.5" thickBot="1" x14ac:dyDescent="0.3">
      <c r="A278" s="36">
        <v>277</v>
      </c>
      <c r="B278" s="36" t="s">
        <v>24</v>
      </c>
      <c r="C278" s="36" t="s">
        <v>263</v>
      </c>
      <c r="D278" s="37">
        <v>44911</v>
      </c>
      <c r="E278" s="36" t="s">
        <v>734</v>
      </c>
      <c r="F278" s="36" t="s">
        <v>845</v>
      </c>
      <c r="G278" s="36" t="s">
        <v>55</v>
      </c>
      <c r="H278" s="36" t="s">
        <v>87</v>
      </c>
      <c r="I278" s="36" t="s">
        <v>80</v>
      </c>
      <c r="J278" s="36" t="str">
        <f t="shared" si="10"/>
        <v>Higher &amp; Technical EducationLibrary EstablishmentCSenior ClerkS8 (25500 - 81100)</v>
      </c>
      <c r="K278" s="36" t="s">
        <v>75</v>
      </c>
      <c r="L278" s="36" t="s">
        <v>228</v>
      </c>
      <c r="M278" s="38" t="s">
        <v>863</v>
      </c>
      <c r="N278" s="36" t="s">
        <v>70</v>
      </c>
      <c r="O278" s="6" t="s">
        <v>33</v>
      </c>
      <c r="P278" s="7">
        <v>16</v>
      </c>
      <c r="Q278" s="7" t="s">
        <v>100</v>
      </c>
      <c r="R278" s="8"/>
      <c r="S278" s="8"/>
      <c r="T278" s="7" t="s">
        <v>61</v>
      </c>
      <c r="U278" s="36" t="s">
        <v>61</v>
      </c>
      <c r="V278" s="38" t="s">
        <v>864</v>
      </c>
      <c r="W278" s="36"/>
      <c r="X278" s="36" t="s">
        <v>865</v>
      </c>
      <c r="Y278" s="46">
        <v>29404</v>
      </c>
      <c r="Z278" s="41"/>
      <c r="AA278" s="42" t="e">
        <f>_xlfn.XLOOKUP(C278,#REF!,#REF!,"",0,1)</f>
        <v>#REF!</v>
      </c>
      <c r="AB278" s="43">
        <f t="shared" si="11"/>
        <v>0</v>
      </c>
    </row>
    <row r="279" spans="1:28" ht="156.5" thickBot="1" x14ac:dyDescent="0.3">
      <c r="A279" s="36">
        <v>278</v>
      </c>
      <c r="B279" s="36" t="s">
        <v>24</v>
      </c>
      <c r="C279" s="36"/>
      <c r="D279" s="37" t="s">
        <v>3227</v>
      </c>
      <c r="E279" s="36" t="s">
        <v>734</v>
      </c>
      <c r="F279" s="36" t="s">
        <v>866</v>
      </c>
      <c r="G279" s="36" t="s">
        <v>28</v>
      </c>
      <c r="H279" s="36" t="s">
        <v>867</v>
      </c>
      <c r="I279" s="36" t="s">
        <v>737</v>
      </c>
      <c r="J279" s="36" t="str">
        <f t="shared" si="10"/>
        <v>Higher &amp; Technical EducationTechnical Education EstablishmentAAssistant Professor, Govt. College of EngineeringAL 10 (57,700 - 1,82,400)</v>
      </c>
      <c r="K279" s="36" t="s">
        <v>738</v>
      </c>
      <c r="L279" s="36" t="s">
        <v>247</v>
      </c>
      <c r="M279" s="38" t="s">
        <v>868</v>
      </c>
      <c r="N279" s="36"/>
      <c r="O279" s="16" t="s">
        <v>83</v>
      </c>
      <c r="P279" s="7">
        <v>106</v>
      </c>
      <c r="Q279" s="7" t="s">
        <v>34</v>
      </c>
      <c r="R279" s="8"/>
      <c r="S279" s="7" t="s">
        <v>869</v>
      </c>
      <c r="T279" s="7" t="s">
        <v>61</v>
      </c>
      <c r="U279" s="36" t="s">
        <v>61</v>
      </c>
      <c r="V279" s="38"/>
      <c r="W279" s="36"/>
      <c r="X279" s="36"/>
      <c r="Y279" s="36"/>
      <c r="Z279" s="41"/>
      <c r="AA279" s="42" t="e">
        <f>_xlfn.XLOOKUP(C279,#REF!,#REF!,"",0,1)</f>
        <v>#REF!</v>
      </c>
      <c r="AB279" s="43">
        <f t="shared" si="11"/>
        <v>0</v>
      </c>
    </row>
    <row r="280" spans="1:28" ht="156.5" thickBot="1" x14ac:dyDescent="0.3">
      <c r="A280" s="36">
        <v>279</v>
      </c>
      <c r="B280" s="36" t="s">
        <v>24</v>
      </c>
      <c r="C280" s="36"/>
      <c r="D280" s="37" t="s">
        <v>3227</v>
      </c>
      <c r="E280" s="36" t="s">
        <v>734</v>
      </c>
      <c r="F280" s="36" t="s">
        <v>866</v>
      </c>
      <c r="G280" s="36" t="s">
        <v>28</v>
      </c>
      <c r="H280" s="36" t="s">
        <v>870</v>
      </c>
      <c r="I280" s="36" t="s">
        <v>737</v>
      </c>
      <c r="J280" s="36" t="str">
        <f t="shared" si="10"/>
        <v>Higher &amp; Technical EducationTechnical Education EstablishmentAAssistant Professor, Government Colleges of PharmacyAL 10 (57,700 - 1,82,400)</v>
      </c>
      <c r="K280" s="36" t="s">
        <v>738</v>
      </c>
      <c r="L280" s="36" t="s">
        <v>247</v>
      </c>
      <c r="M280" s="38" t="s">
        <v>871</v>
      </c>
      <c r="N280" s="36"/>
      <c r="O280" s="16" t="s">
        <v>83</v>
      </c>
      <c r="P280" s="7">
        <v>1</v>
      </c>
      <c r="Q280" s="7" t="s">
        <v>34</v>
      </c>
      <c r="R280" s="8"/>
      <c r="S280" s="7" t="s">
        <v>872</v>
      </c>
      <c r="T280" s="7" t="s">
        <v>2395</v>
      </c>
      <c r="U280" s="36" t="s">
        <v>61</v>
      </c>
      <c r="V280" s="38"/>
      <c r="W280" s="36"/>
      <c r="X280" s="36"/>
      <c r="Y280" s="36"/>
      <c r="Z280" s="41"/>
      <c r="AA280" s="42" t="e">
        <f>_xlfn.XLOOKUP(C280,#REF!,#REF!,"",0,1)</f>
        <v>#REF!</v>
      </c>
      <c r="AB280" s="43">
        <f t="shared" si="11"/>
        <v>0</v>
      </c>
    </row>
    <row r="281" spans="1:28" ht="182.5" thickBot="1" x14ac:dyDescent="0.3">
      <c r="A281" s="36">
        <v>280</v>
      </c>
      <c r="B281" s="36" t="s">
        <v>24</v>
      </c>
      <c r="C281" s="36"/>
      <c r="D281" s="37" t="s">
        <v>3227</v>
      </c>
      <c r="E281" s="36" t="s">
        <v>734</v>
      </c>
      <c r="F281" s="36" t="s">
        <v>866</v>
      </c>
      <c r="G281" s="36" t="s">
        <v>28</v>
      </c>
      <c r="H281" s="36" t="s">
        <v>873</v>
      </c>
      <c r="I281" s="36" t="s">
        <v>741</v>
      </c>
      <c r="J281" s="36" t="str">
        <f t="shared" si="10"/>
        <v>Higher &amp; Technical EducationTechnical Education EstablishmentAHead of Department, Government Polytechnics and Similar Diploma InstitutesAL 13A (1,31,400 - 2,17,100)</v>
      </c>
      <c r="K281" s="36" t="s">
        <v>742</v>
      </c>
      <c r="L281" s="36" t="s">
        <v>247</v>
      </c>
      <c r="M281" s="38" t="s">
        <v>874</v>
      </c>
      <c r="N281" s="36"/>
      <c r="O281" s="16" t="s">
        <v>83</v>
      </c>
      <c r="P281" s="7">
        <v>140</v>
      </c>
      <c r="Q281" s="7" t="s">
        <v>34</v>
      </c>
      <c r="R281" s="8"/>
      <c r="S281" s="8"/>
      <c r="T281" s="7" t="s">
        <v>61</v>
      </c>
      <c r="U281" s="36" t="s">
        <v>61</v>
      </c>
      <c r="V281" s="38"/>
      <c r="W281" s="36"/>
      <c r="X281" s="36"/>
      <c r="Y281" s="36"/>
      <c r="Z281" s="41"/>
      <c r="AA281" s="42" t="e">
        <f>_xlfn.XLOOKUP(C281,#REF!,#REF!,"",0,1)</f>
        <v>#REF!</v>
      </c>
      <c r="AB281" s="43">
        <f t="shared" si="11"/>
        <v>0</v>
      </c>
    </row>
    <row r="282" spans="1:28" ht="156.5" thickBot="1" x14ac:dyDescent="0.3">
      <c r="A282" s="36">
        <v>281</v>
      </c>
      <c r="B282" s="36" t="s">
        <v>24</v>
      </c>
      <c r="C282" s="36"/>
      <c r="D282" s="37" t="s">
        <v>3227</v>
      </c>
      <c r="E282" s="36" t="s">
        <v>734</v>
      </c>
      <c r="F282" s="36" t="s">
        <v>866</v>
      </c>
      <c r="G282" s="36" t="s">
        <v>28</v>
      </c>
      <c r="H282" s="36" t="s">
        <v>875</v>
      </c>
      <c r="I282" s="36" t="s">
        <v>741</v>
      </c>
      <c r="J282" s="36" t="str">
        <f t="shared" si="10"/>
        <v>Higher &amp; Technical EducationTechnical Education EstablishmentAAssociate Professor, Govt. College of EngineeringAL 13A (1,31,400 - 2,17,100)</v>
      </c>
      <c r="K282" s="36" t="s">
        <v>738</v>
      </c>
      <c r="L282" s="36" t="s">
        <v>247</v>
      </c>
      <c r="M282" s="38" t="s">
        <v>876</v>
      </c>
      <c r="N282" s="36"/>
      <c r="O282" s="16" t="s">
        <v>83</v>
      </c>
      <c r="P282" s="7">
        <v>20</v>
      </c>
      <c r="Q282" s="7" t="s">
        <v>34</v>
      </c>
      <c r="R282" s="8"/>
      <c r="S282" s="7" t="s">
        <v>877</v>
      </c>
      <c r="T282" s="7" t="s">
        <v>61</v>
      </c>
      <c r="U282" s="36" t="s">
        <v>61</v>
      </c>
      <c r="V282" s="38"/>
      <c r="W282" s="36"/>
      <c r="X282" s="36"/>
      <c r="Y282" s="36"/>
      <c r="Z282" s="41"/>
      <c r="AA282" s="42" t="e">
        <f>_xlfn.XLOOKUP(C282,#REF!,#REF!,"",0,1)</f>
        <v>#REF!</v>
      </c>
      <c r="AB282" s="43">
        <f t="shared" si="11"/>
        <v>0</v>
      </c>
    </row>
    <row r="283" spans="1:28" ht="156.5" thickBot="1" x14ac:dyDescent="0.3">
      <c r="A283" s="36">
        <v>282</v>
      </c>
      <c r="B283" s="36" t="s">
        <v>24</v>
      </c>
      <c r="C283" s="36"/>
      <c r="D283" s="37" t="s">
        <v>3227</v>
      </c>
      <c r="E283" s="36" t="s">
        <v>734</v>
      </c>
      <c r="F283" s="36" t="s">
        <v>866</v>
      </c>
      <c r="G283" s="36" t="s">
        <v>28</v>
      </c>
      <c r="H283" s="36" t="s">
        <v>878</v>
      </c>
      <c r="I283" s="36" t="s">
        <v>741</v>
      </c>
      <c r="J283" s="36" t="str">
        <f t="shared" si="10"/>
        <v>Higher &amp; Technical EducationTechnical Education EstablishmentAAssociate Professor, Government Colleges of PharmacyAL 13A (1,31,400 - 2,17,100)</v>
      </c>
      <c r="K283" s="36" t="s">
        <v>738</v>
      </c>
      <c r="L283" s="36" t="s">
        <v>247</v>
      </c>
      <c r="M283" s="38" t="s">
        <v>879</v>
      </c>
      <c r="N283" s="36"/>
      <c r="O283" s="16" t="s">
        <v>83</v>
      </c>
      <c r="P283" s="7">
        <v>2</v>
      </c>
      <c r="Q283" s="7" t="s">
        <v>34</v>
      </c>
      <c r="R283" s="8"/>
      <c r="S283" s="7" t="s">
        <v>880</v>
      </c>
      <c r="T283" s="7" t="s">
        <v>61</v>
      </c>
      <c r="U283" s="36" t="s">
        <v>61</v>
      </c>
      <c r="V283" s="38"/>
      <c r="W283" s="36"/>
      <c r="X283" s="36"/>
      <c r="Y283" s="36"/>
      <c r="Z283" s="41"/>
      <c r="AA283" s="42" t="e">
        <f>_xlfn.XLOOKUP(C283,#REF!,#REF!,"",0,1)</f>
        <v>#REF!</v>
      </c>
      <c r="AB283" s="43">
        <f t="shared" si="11"/>
        <v>0</v>
      </c>
    </row>
    <row r="284" spans="1:28" ht="130.5" thickBot="1" x14ac:dyDescent="0.3">
      <c r="A284" s="36">
        <v>283</v>
      </c>
      <c r="B284" s="36" t="s">
        <v>24</v>
      </c>
      <c r="C284" s="36"/>
      <c r="D284" s="37" t="s">
        <v>3227</v>
      </c>
      <c r="E284" s="36" t="s">
        <v>734</v>
      </c>
      <c r="F284" s="36" t="s">
        <v>866</v>
      </c>
      <c r="G284" s="36" t="s">
        <v>28</v>
      </c>
      <c r="H284" s="36" t="s">
        <v>881</v>
      </c>
      <c r="I284" s="36" t="s">
        <v>748</v>
      </c>
      <c r="J284" s="36" t="str">
        <f t="shared" si="10"/>
        <v>Higher &amp; Technical EducationTechnical Education EstablishmentAPrincipal, Govt. Colleges of EngineeringAL 14 (1,44,200 - 2,05,500)</v>
      </c>
      <c r="K284" s="36" t="s">
        <v>742</v>
      </c>
      <c r="L284" s="36" t="s">
        <v>247</v>
      </c>
      <c r="M284" s="38" t="s">
        <v>882</v>
      </c>
      <c r="N284" s="36" t="s">
        <v>744</v>
      </c>
      <c r="O284" s="16" t="s">
        <v>83</v>
      </c>
      <c r="P284" s="7">
        <v>1</v>
      </c>
      <c r="Q284" s="7" t="s">
        <v>34</v>
      </c>
      <c r="R284" s="8"/>
      <c r="S284" s="8"/>
      <c r="T284" s="7" t="s">
        <v>2395</v>
      </c>
      <c r="U284" s="36" t="s">
        <v>61</v>
      </c>
      <c r="V284" s="38"/>
      <c r="W284" s="36"/>
      <c r="X284" s="36"/>
      <c r="Y284" s="36"/>
      <c r="Z284" s="41"/>
      <c r="AA284" s="42" t="e">
        <f>_xlfn.XLOOKUP(C284,#REF!,#REF!,"",0,1)</f>
        <v>#REF!</v>
      </c>
      <c r="AB284" s="43">
        <f t="shared" si="11"/>
        <v>0</v>
      </c>
    </row>
    <row r="285" spans="1:28" ht="143.5" thickBot="1" x14ac:dyDescent="0.3">
      <c r="A285" s="36">
        <v>284</v>
      </c>
      <c r="B285" s="36" t="s">
        <v>24</v>
      </c>
      <c r="C285" s="36"/>
      <c r="D285" s="37" t="s">
        <v>3227</v>
      </c>
      <c r="E285" s="36" t="s">
        <v>734</v>
      </c>
      <c r="F285" s="36" t="s">
        <v>866</v>
      </c>
      <c r="G285" s="36" t="s">
        <v>28</v>
      </c>
      <c r="H285" s="36" t="s">
        <v>883</v>
      </c>
      <c r="I285" s="36" t="s">
        <v>748</v>
      </c>
      <c r="J285" s="36" t="str">
        <f t="shared" si="10"/>
        <v>Higher &amp; Technical EducationTechnical Education EstablishmentAPrincipal, Government Colleges of PharmacyAL 14 (1,44,200 - 2,05,500)</v>
      </c>
      <c r="K285" s="36" t="s">
        <v>742</v>
      </c>
      <c r="L285" s="36" t="s">
        <v>247</v>
      </c>
      <c r="M285" s="38" t="s">
        <v>884</v>
      </c>
      <c r="N285" s="36" t="s">
        <v>744</v>
      </c>
      <c r="O285" s="16" t="s">
        <v>83</v>
      </c>
      <c r="P285" s="7">
        <v>0</v>
      </c>
      <c r="Q285" s="7" t="s">
        <v>34</v>
      </c>
      <c r="R285" s="8"/>
      <c r="S285" s="7" t="s">
        <v>885</v>
      </c>
      <c r="T285" s="7" t="s">
        <v>2395</v>
      </c>
      <c r="U285" s="36" t="s">
        <v>61</v>
      </c>
      <c r="V285" s="38"/>
      <c r="W285" s="36"/>
      <c r="X285" s="36"/>
      <c r="Y285" s="36"/>
      <c r="Z285" s="41"/>
      <c r="AA285" s="42" t="e">
        <f>_xlfn.XLOOKUP(C285,#REF!,#REF!,"",0,1)</f>
        <v>#REF!</v>
      </c>
      <c r="AB285" s="43">
        <f t="shared" si="11"/>
        <v>0</v>
      </c>
    </row>
    <row r="286" spans="1:28" ht="143.5" thickBot="1" x14ac:dyDescent="0.3">
      <c r="A286" s="36">
        <v>285</v>
      </c>
      <c r="B286" s="36" t="s">
        <v>24</v>
      </c>
      <c r="C286" s="36"/>
      <c r="D286" s="37" t="s">
        <v>3227</v>
      </c>
      <c r="E286" s="36" t="s">
        <v>734</v>
      </c>
      <c r="F286" s="36" t="s">
        <v>866</v>
      </c>
      <c r="G286" s="36" t="s">
        <v>28</v>
      </c>
      <c r="H286" s="36" t="s">
        <v>886</v>
      </c>
      <c r="I286" s="36" t="s">
        <v>748</v>
      </c>
      <c r="J286" s="36" t="str">
        <f t="shared" si="10"/>
        <v>Higher &amp; Technical EducationTechnical Education EstablishmentAPrincipal, Government Technical CollegeAL 14 (1,44,200 - 2,05,500)</v>
      </c>
      <c r="K286" s="36" t="s">
        <v>742</v>
      </c>
      <c r="L286" s="36" t="s">
        <v>247</v>
      </c>
      <c r="M286" s="38" t="s">
        <v>887</v>
      </c>
      <c r="N286" s="36" t="s">
        <v>744</v>
      </c>
      <c r="O286" s="16" t="s">
        <v>83</v>
      </c>
      <c r="P286" s="7">
        <v>6</v>
      </c>
      <c r="Q286" s="7" t="s">
        <v>34</v>
      </c>
      <c r="R286" s="8"/>
      <c r="S286" s="8"/>
      <c r="T286" s="7" t="s">
        <v>61</v>
      </c>
      <c r="U286" s="36" t="s">
        <v>61</v>
      </c>
      <c r="V286" s="38"/>
      <c r="W286" s="36"/>
      <c r="X286" s="36"/>
      <c r="Y286" s="36"/>
      <c r="Z286" s="41"/>
      <c r="AA286" s="42" t="e">
        <f>_xlfn.XLOOKUP(C286,#REF!,#REF!,"",0,1)</f>
        <v>#REF!</v>
      </c>
      <c r="AB286" s="43">
        <f t="shared" si="11"/>
        <v>0</v>
      </c>
    </row>
    <row r="287" spans="1:28" ht="143.5" thickBot="1" x14ac:dyDescent="0.3">
      <c r="A287" s="36">
        <v>286</v>
      </c>
      <c r="B287" s="36" t="s">
        <v>24</v>
      </c>
      <c r="C287" s="36"/>
      <c r="D287" s="37" t="s">
        <v>3227</v>
      </c>
      <c r="E287" s="36" t="s">
        <v>734</v>
      </c>
      <c r="F287" s="36" t="s">
        <v>866</v>
      </c>
      <c r="G287" s="36" t="s">
        <v>28</v>
      </c>
      <c r="H287" s="36" t="s">
        <v>888</v>
      </c>
      <c r="I287" s="36" t="s">
        <v>748</v>
      </c>
      <c r="J287" s="36" t="str">
        <f t="shared" si="10"/>
        <v>Higher &amp; Technical EducationTechnical Education EstablishmentAProfessor, Govt. College of EngineeringAL 14 (1,44,200 - 2,05,500)</v>
      </c>
      <c r="K287" s="36" t="s">
        <v>738</v>
      </c>
      <c r="L287" s="36" t="s">
        <v>247</v>
      </c>
      <c r="M287" s="38" t="s">
        <v>889</v>
      </c>
      <c r="N287" s="36"/>
      <c r="O287" s="16" t="s">
        <v>83</v>
      </c>
      <c r="P287" s="7">
        <v>16</v>
      </c>
      <c r="Q287" s="7" t="s">
        <v>34</v>
      </c>
      <c r="R287" s="8"/>
      <c r="S287" s="8"/>
      <c r="T287" s="7" t="s">
        <v>61</v>
      </c>
      <c r="U287" s="36" t="s">
        <v>61</v>
      </c>
      <c r="V287" s="38"/>
      <c r="W287" s="36"/>
      <c r="X287" s="36"/>
      <c r="Y287" s="36"/>
      <c r="Z287" s="41"/>
      <c r="AA287" s="42" t="e">
        <f>_xlfn.XLOOKUP(C287,#REF!,#REF!,"",0,1)</f>
        <v>#REF!</v>
      </c>
      <c r="AB287" s="43">
        <f t="shared" si="11"/>
        <v>0</v>
      </c>
    </row>
    <row r="288" spans="1:28" ht="143.5" thickBot="1" x14ac:dyDescent="0.3">
      <c r="A288" s="36">
        <v>287</v>
      </c>
      <c r="B288" s="36" t="s">
        <v>24</v>
      </c>
      <c r="C288" s="36"/>
      <c r="D288" s="37" t="s">
        <v>3227</v>
      </c>
      <c r="E288" s="36" t="s">
        <v>734</v>
      </c>
      <c r="F288" s="36" t="s">
        <v>866</v>
      </c>
      <c r="G288" s="36" t="s">
        <v>28</v>
      </c>
      <c r="H288" s="36" t="s">
        <v>890</v>
      </c>
      <c r="I288" s="36" t="s">
        <v>748</v>
      </c>
      <c r="J288" s="36" t="str">
        <f t="shared" si="10"/>
        <v>Higher &amp; Technical EducationTechnical Education EstablishmentAProfessor, Government Colleges of PharmacyAL 14 (1,44,200 - 2,05,500)</v>
      </c>
      <c r="K288" s="36" t="s">
        <v>738</v>
      </c>
      <c r="L288" s="36" t="s">
        <v>247</v>
      </c>
      <c r="M288" s="38" t="s">
        <v>891</v>
      </c>
      <c r="N288" s="36"/>
      <c r="O288" s="16" t="s">
        <v>83</v>
      </c>
      <c r="P288" s="7">
        <v>0</v>
      </c>
      <c r="Q288" s="7" t="s">
        <v>34</v>
      </c>
      <c r="R288" s="8"/>
      <c r="S288" s="7" t="s">
        <v>892</v>
      </c>
      <c r="T288" s="7" t="s">
        <v>2395</v>
      </c>
      <c r="U288" s="36" t="s">
        <v>61</v>
      </c>
      <c r="V288" s="38"/>
      <c r="W288" s="36"/>
      <c r="X288" s="36"/>
      <c r="Y288" s="36"/>
      <c r="Z288" s="41"/>
      <c r="AA288" s="42" t="e">
        <f>_xlfn.XLOOKUP(C288,#REF!,#REF!,"",0,1)</f>
        <v>#REF!</v>
      </c>
      <c r="AB288" s="43">
        <f t="shared" si="11"/>
        <v>0</v>
      </c>
    </row>
    <row r="289" spans="1:28" ht="156.5" thickBot="1" x14ac:dyDescent="0.3">
      <c r="A289" s="36">
        <v>288</v>
      </c>
      <c r="B289" s="36" t="s">
        <v>24</v>
      </c>
      <c r="C289" s="36"/>
      <c r="D289" s="37" t="s">
        <v>3227</v>
      </c>
      <c r="E289" s="36" t="s">
        <v>734</v>
      </c>
      <c r="F289" s="36" t="s">
        <v>866</v>
      </c>
      <c r="G289" s="36" t="s">
        <v>28</v>
      </c>
      <c r="H289" s="36" t="s">
        <v>893</v>
      </c>
      <c r="I289" s="36" t="s">
        <v>751</v>
      </c>
      <c r="J289" s="36" t="str">
        <f t="shared" si="10"/>
        <v>Higher &amp; Technical EducationTechnical Education EstablishmentALecturer Govt. Polytechnics and Similar Diploma InstitutesAL 9A (56,100 - 1,77,500)</v>
      </c>
      <c r="K289" s="36" t="s">
        <v>738</v>
      </c>
      <c r="L289" s="36" t="s">
        <v>247</v>
      </c>
      <c r="M289" s="38" t="s">
        <v>868</v>
      </c>
      <c r="N289" s="36"/>
      <c r="O289" s="16" t="s">
        <v>83</v>
      </c>
      <c r="P289" s="7">
        <v>267</v>
      </c>
      <c r="Q289" s="7" t="s">
        <v>34</v>
      </c>
      <c r="R289" s="8"/>
      <c r="S289" s="8"/>
      <c r="T289" s="7" t="s">
        <v>61</v>
      </c>
      <c r="U289" s="36" t="s">
        <v>61</v>
      </c>
      <c r="V289" s="38"/>
      <c r="W289" s="36"/>
      <c r="X289" s="36"/>
      <c r="Y289" s="36"/>
      <c r="Z289" s="41"/>
      <c r="AA289" s="42" t="e">
        <f>_xlfn.XLOOKUP(C289,#REF!,#REF!,"",0,1)</f>
        <v>#REF!</v>
      </c>
      <c r="AB289" s="43">
        <f t="shared" si="11"/>
        <v>0</v>
      </c>
    </row>
    <row r="290" spans="1:28" ht="130.5" thickBot="1" x14ac:dyDescent="0.3">
      <c r="A290" s="36">
        <v>289</v>
      </c>
      <c r="B290" s="36" t="s">
        <v>24</v>
      </c>
      <c r="C290" s="36"/>
      <c r="D290" s="37" t="s">
        <v>3227</v>
      </c>
      <c r="E290" s="36" t="s">
        <v>734</v>
      </c>
      <c r="F290" s="36" t="s">
        <v>866</v>
      </c>
      <c r="G290" s="36" t="s">
        <v>28</v>
      </c>
      <c r="H290" s="36" t="s">
        <v>894</v>
      </c>
      <c r="I290" s="36" t="s">
        <v>30</v>
      </c>
      <c r="J290" s="36" t="str">
        <f t="shared" si="10"/>
        <v>Higher &amp; Technical EducationTechnical Education EstablishmentAAssistant Secretary (Technical)S18 (49100 - 155800)</v>
      </c>
      <c r="K290" s="36" t="s">
        <v>246</v>
      </c>
      <c r="L290" s="36" t="s">
        <v>247</v>
      </c>
      <c r="M290" s="38" t="s">
        <v>895</v>
      </c>
      <c r="N290" s="36" t="s">
        <v>41</v>
      </c>
      <c r="O290" s="6" t="s">
        <v>33</v>
      </c>
      <c r="P290" s="7">
        <v>0</v>
      </c>
      <c r="Q290" s="7" t="s">
        <v>34</v>
      </c>
      <c r="R290" s="8"/>
      <c r="S290" s="7" t="s">
        <v>896</v>
      </c>
      <c r="T290" s="7" t="s">
        <v>2395</v>
      </c>
      <c r="U290" s="36" t="s">
        <v>61</v>
      </c>
      <c r="V290" s="38"/>
      <c r="W290" s="36"/>
      <c r="X290" s="36"/>
      <c r="Y290" s="36"/>
      <c r="Z290" s="41"/>
      <c r="AA290" s="42" t="e">
        <f>_xlfn.XLOOKUP(C290,#REF!,#REF!,"",0,1)</f>
        <v>#REF!</v>
      </c>
      <c r="AB290" s="43">
        <f t="shared" si="11"/>
        <v>0</v>
      </c>
    </row>
    <row r="291" spans="1:28" ht="182.5" thickBot="1" x14ac:dyDescent="0.3">
      <c r="A291" s="36">
        <v>290</v>
      </c>
      <c r="B291" s="36" t="s">
        <v>24</v>
      </c>
      <c r="C291" s="36"/>
      <c r="D291" s="37" t="s">
        <v>3227</v>
      </c>
      <c r="E291" s="36" t="s">
        <v>734</v>
      </c>
      <c r="F291" s="36" t="s">
        <v>866</v>
      </c>
      <c r="G291" s="36" t="s">
        <v>28</v>
      </c>
      <c r="H291" s="36" t="s">
        <v>897</v>
      </c>
      <c r="I291" s="36" t="s">
        <v>242</v>
      </c>
      <c r="J291" s="36" t="str">
        <f t="shared" si="10"/>
        <v>Higher &amp; Technical EducationTechnical Education EstablishmentAAssistant Director (Technical)/ Deputy Secretary (Technical) (11 Posts)S23 (67700 - 208700)</v>
      </c>
      <c r="K291" s="36"/>
      <c r="L291" s="36" t="s">
        <v>238</v>
      </c>
      <c r="M291" s="38" t="s">
        <v>868</v>
      </c>
      <c r="N291" s="36" t="s">
        <v>744</v>
      </c>
      <c r="O291" s="6" t="s">
        <v>83</v>
      </c>
      <c r="P291" s="7">
        <v>3</v>
      </c>
      <c r="Q291" s="7" t="s">
        <v>34</v>
      </c>
      <c r="R291" s="8"/>
      <c r="S291" s="7" t="s">
        <v>898</v>
      </c>
      <c r="T291" s="7" t="s">
        <v>61</v>
      </c>
      <c r="U291" s="36" t="s">
        <v>61</v>
      </c>
      <c r="V291" s="38"/>
      <c r="W291" s="36"/>
      <c r="X291" s="36"/>
      <c r="Y291" s="36"/>
      <c r="Z291" s="41"/>
      <c r="AA291" s="42" t="e">
        <f>_xlfn.XLOOKUP(C291,#REF!,#REF!,"",0,1)</f>
        <v>#REF!</v>
      </c>
      <c r="AB291" s="43">
        <f t="shared" si="11"/>
        <v>0</v>
      </c>
    </row>
    <row r="292" spans="1:28" ht="195.5" thickBot="1" x14ac:dyDescent="0.3">
      <c r="A292" s="36">
        <v>291</v>
      </c>
      <c r="B292" s="36" t="s">
        <v>24</v>
      </c>
      <c r="C292" s="36"/>
      <c r="D292" s="37" t="s">
        <v>3227</v>
      </c>
      <c r="E292" s="36" t="s">
        <v>734</v>
      </c>
      <c r="F292" s="36" t="s">
        <v>866</v>
      </c>
      <c r="G292" s="36" t="s">
        <v>28</v>
      </c>
      <c r="H292" s="36" t="s">
        <v>899</v>
      </c>
      <c r="I292" s="36" t="s">
        <v>900</v>
      </c>
      <c r="J292" s="36" t="str">
        <f t="shared" si="10"/>
        <v>Higher &amp; Technical EducationTechnical Education EstablishmentADeputy Director, Technical / Secretary, Board of Technical Education (4+1)S24 (71100 - 211900)</v>
      </c>
      <c r="K292" s="36"/>
      <c r="L292" s="36" t="s">
        <v>238</v>
      </c>
      <c r="M292" s="38" t="s">
        <v>901</v>
      </c>
      <c r="N292" s="36" t="s">
        <v>744</v>
      </c>
      <c r="O292" s="6" t="s">
        <v>83</v>
      </c>
      <c r="P292" s="7">
        <v>2</v>
      </c>
      <c r="Q292" s="7" t="s">
        <v>100</v>
      </c>
      <c r="R292" s="8"/>
      <c r="S292" s="7" t="s">
        <v>902</v>
      </c>
      <c r="T292" s="7" t="s">
        <v>61</v>
      </c>
      <c r="U292" s="36" t="s">
        <v>61</v>
      </c>
      <c r="V292" s="38"/>
      <c r="W292" s="36"/>
      <c r="X292" s="36"/>
      <c r="Y292" s="36"/>
      <c r="Z292" s="41"/>
      <c r="AA292" s="42" t="e">
        <f>_xlfn.XLOOKUP(C292,#REF!,#REF!,"",0,1)</f>
        <v>#REF!</v>
      </c>
      <c r="AB292" s="43">
        <f t="shared" si="11"/>
        <v>0</v>
      </c>
    </row>
    <row r="293" spans="1:28" ht="208.5" thickBot="1" x14ac:dyDescent="0.3">
      <c r="A293" s="36">
        <v>292</v>
      </c>
      <c r="B293" s="36" t="s">
        <v>24</v>
      </c>
      <c r="C293" s="36"/>
      <c r="D293" s="37" t="s">
        <v>3227</v>
      </c>
      <c r="E293" s="36" t="s">
        <v>734</v>
      </c>
      <c r="F293" s="36" t="s">
        <v>866</v>
      </c>
      <c r="G293" s="36" t="s">
        <v>28</v>
      </c>
      <c r="H293" s="36" t="s">
        <v>903</v>
      </c>
      <c r="I293" s="36" t="s">
        <v>513</v>
      </c>
      <c r="J293" s="36" t="str">
        <f t="shared" si="10"/>
        <v>Higher &amp; Technical EducationTechnical Education EstablishmentAJoint Director, Technical Education (9 posts) / Director, Maharashtra State, Board of Technical Education (1) postS25 (78800 - 209200)</v>
      </c>
      <c r="K293" s="36"/>
      <c r="L293" s="36" t="s">
        <v>238</v>
      </c>
      <c r="M293" s="38" t="s">
        <v>904</v>
      </c>
      <c r="N293" s="36" t="s">
        <v>744</v>
      </c>
      <c r="O293" s="6" t="s">
        <v>83</v>
      </c>
      <c r="P293" s="7">
        <v>0</v>
      </c>
      <c r="Q293" s="7" t="s">
        <v>34</v>
      </c>
      <c r="R293" s="8"/>
      <c r="S293" s="8"/>
      <c r="T293" s="7" t="s">
        <v>2395</v>
      </c>
      <c r="U293" s="36" t="s">
        <v>61</v>
      </c>
      <c r="V293" s="38"/>
      <c r="W293" s="36"/>
      <c r="X293" s="36"/>
      <c r="Y293" s="36"/>
      <c r="Z293" s="41"/>
      <c r="AA293" s="42" t="e">
        <f>_xlfn.XLOOKUP(C293,#REF!,#REF!,"",0,1)</f>
        <v>#REF!</v>
      </c>
      <c r="AB293" s="43">
        <f t="shared" si="11"/>
        <v>0</v>
      </c>
    </row>
    <row r="294" spans="1:28" ht="117.5" thickBot="1" x14ac:dyDescent="0.3">
      <c r="A294" s="36">
        <v>293</v>
      </c>
      <c r="B294" s="36" t="s">
        <v>24</v>
      </c>
      <c r="C294" s="36"/>
      <c r="D294" s="37" t="s">
        <v>3227</v>
      </c>
      <c r="E294" s="36" t="s">
        <v>734</v>
      </c>
      <c r="F294" s="36" t="s">
        <v>866</v>
      </c>
      <c r="G294" s="36" t="s">
        <v>28</v>
      </c>
      <c r="H294" s="36" t="s">
        <v>512</v>
      </c>
      <c r="I294" s="36" t="s">
        <v>801</v>
      </c>
      <c r="J294" s="36" t="str">
        <f t="shared" si="10"/>
        <v>Higher &amp; Technical EducationTechnical Education EstablishmentADirectorS29 (131100 - 216600)</v>
      </c>
      <c r="K294" s="36"/>
      <c r="L294" s="36" t="s">
        <v>238</v>
      </c>
      <c r="M294" s="38" t="s">
        <v>905</v>
      </c>
      <c r="N294" s="36" t="s">
        <v>744</v>
      </c>
      <c r="O294" s="6" t="s">
        <v>83</v>
      </c>
      <c r="P294" s="7"/>
      <c r="Q294" s="7" t="s">
        <v>34</v>
      </c>
      <c r="R294" s="8"/>
      <c r="S294" s="8"/>
      <c r="T294" s="7" t="s">
        <v>35</v>
      </c>
      <c r="U294" s="36" t="s">
        <v>35</v>
      </c>
      <c r="V294" s="38"/>
      <c r="W294" s="36"/>
      <c r="X294" s="36"/>
      <c r="Y294" s="36"/>
      <c r="Z294" s="41"/>
      <c r="AA294" s="42" t="e">
        <f>_xlfn.XLOOKUP(C294,#REF!,#REF!,"",0,1)</f>
        <v>#REF!</v>
      </c>
      <c r="AB294" s="43">
        <f t="shared" si="11"/>
        <v>0</v>
      </c>
    </row>
    <row r="295" spans="1:28" ht="247.5" thickBot="1" x14ac:dyDescent="0.3">
      <c r="A295" s="36">
        <v>294</v>
      </c>
      <c r="B295" s="36" t="s">
        <v>24</v>
      </c>
      <c r="C295" s="36"/>
      <c r="D295" s="37" t="s">
        <v>3227</v>
      </c>
      <c r="E295" s="36" t="s">
        <v>734</v>
      </c>
      <c r="F295" s="36" t="s">
        <v>866</v>
      </c>
      <c r="G295" s="36" t="s">
        <v>42</v>
      </c>
      <c r="H295" s="36" t="s">
        <v>906</v>
      </c>
      <c r="I295" s="36" t="s">
        <v>44</v>
      </c>
      <c r="J295" s="36" t="str">
        <f t="shared" si="10"/>
        <v>Higher &amp; Technical EducationTechnical Education EstablishmentB (Gazetted)Registrar, Government Engineering / Pharmacy Colleges, Government Polytechnics and Similar Diploma InstitutesS15 (41800 - 132300)</v>
      </c>
      <c r="K295" s="36" t="s">
        <v>45</v>
      </c>
      <c r="L295" s="36" t="s">
        <v>247</v>
      </c>
      <c r="M295" s="38" t="s">
        <v>907</v>
      </c>
      <c r="N295" s="36" t="s">
        <v>47</v>
      </c>
      <c r="O295" s="6" t="s">
        <v>33</v>
      </c>
      <c r="P295" s="7">
        <v>35</v>
      </c>
      <c r="Q295" s="7" t="s">
        <v>34</v>
      </c>
      <c r="R295" s="8"/>
      <c r="S295" s="8"/>
      <c r="T295" s="7" t="s">
        <v>35</v>
      </c>
      <c r="U295" s="36" t="s">
        <v>35</v>
      </c>
      <c r="V295" s="38"/>
      <c r="W295" s="36"/>
      <c r="X295" s="36"/>
      <c r="Y295" s="36"/>
      <c r="Z295" s="41"/>
      <c r="AA295" s="42" t="e">
        <f>_xlfn.XLOOKUP(C295,#REF!,#REF!,"",0,1)</f>
        <v>#REF!</v>
      </c>
      <c r="AB295" s="43">
        <f t="shared" si="11"/>
        <v>0</v>
      </c>
    </row>
    <row r="296" spans="1:28" ht="169.5" thickBot="1" x14ac:dyDescent="0.3">
      <c r="A296" s="36">
        <v>295</v>
      </c>
      <c r="B296" s="36" t="s">
        <v>24</v>
      </c>
      <c r="C296" s="36"/>
      <c r="D296" s="37" t="s">
        <v>3227</v>
      </c>
      <c r="E296" s="36" t="s">
        <v>734</v>
      </c>
      <c r="F296" s="36" t="s">
        <v>866</v>
      </c>
      <c r="G296" s="36" t="s">
        <v>65</v>
      </c>
      <c r="H296" s="36" t="s">
        <v>168</v>
      </c>
      <c r="I296" s="36" t="s">
        <v>737</v>
      </c>
      <c r="J296" s="36" t="str">
        <f t="shared" si="10"/>
        <v>Higher &amp; Technical EducationTechnical Education EstablishmentB (Non Gazetted)LibrarianAL 10 (57,700 - 1,82,400)</v>
      </c>
      <c r="K296" s="36"/>
      <c r="L296" s="36" t="s">
        <v>238</v>
      </c>
      <c r="M296" s="38" t="s">
        <v>908</v>
      </c>
      <c r="N296" s="36" t="s">
        <v>283</v>
      </c>
      <c r="O296" s="6" t="s">
        <v>33</v>
      </c>
      <c r="P296" s="8"/>
      <c r="Q296" s="7" t="s">
        <v>34</v>
      </c>
      <c r="R296" s="8"/>
      <c r="S296" s="8"/>
      <c r="T296" s="7" t="s">
        <v>35</v>
      </c>
      <c r="U296" s="36" t="s">
        <v>35</v>
      </c>
      <c r="V296" s="38"/>
      <c r="W296" s="36"/>
      <c r="X296" s="36"/>
      <c r="Y296" s="36"/>
      <c r="Z296" s="41"/>
      <c r="AA296" s="42" t="e">
        <f>_xlfn.XLOOKUP(C296,#REF!,#REF!,"",0,1)</f>
        <v>#REF!</v>
      </c>
      <c r="AB296" s="43">
        <f t="shared" si="11"/>
        <v>0</v>
      </c>
    </row>
    <row r="297" spans="1:28" ht="104.5" thickBot="1" x14ac:dyDescent="0.3">
      <c r="A297" s="36">
        <v>296</v>
      </c>
      <c r="B297" s="36" t="s">
        <v>24</v>
      </c>
      <c r="C297" s="36"/>
      <c r="D297" s="37" t="s">
        <v>3227</v>
      </c>
      <c r="E297" s="36" t="s">
        <v>734</v>
      </c>
      <c r="F297" s="36" t="s">
        <v>866</v>
      </c>
      <c r="G297" s="36" t="s">
        <v>55</v>
      </c>
      <c r="H297" s="36" t="s">
        <v>287</v>
      </c>
      <c r="I297" s="36" t="s">
        <v>276</v>
      </c>
      <c r="J297" s="36" t="str">
        <f t="shared" si="10"/>
        <v>Higher &amp; Technical EducationTechnical Education EstablishmentCStore KeeperS10 (29200 - 92300)</v>
      </c>
      <c r="K297" s="36" t="s">
        <v>288</v>
      </c>
      <c r="L297" s="36" t="s">
        <v>228</v>
      </c>
      <c r="M297" s="38" t="s">
        <v>909</v>
      </c>
      <c r="N297" s="36" t="s">
        <v>60</v>
      </c>
      <c r="O297" s="6" t="s">
        <v>3233</v>
      </c>
      <c r="P297" s="7">
        <v>37</v>
      </c>
      <c r="Q297" s="7" t="s">
        <v>34</v>
      </c>
      <c r="R297" s="8"/>
      <c r="S297" s="8"/>
      <c r="T297" s="7" t="s">
        <v>35</v>
      </c>
      <c r="U297" s="36" t="s">
        <v>35</v>
      </c>
      <c r="V297" s="38" t="s">
        <v>910</v>
      </c>
      <c r="W297" s="36"/>
      <c r="X297" s="36" t="s">
        <v>911</v>
      </c>
      <c r="Y297" s="36" t="s">
        <v>912</v>
      </c>
      <c r="Z297" s="41"/>
      <c r="AA297" s="42" t="e">
        <f>_xlfn.XLOOKUP(C297,#REF!,#REF!,"",0,1)</f>
        <v>#REF!</v>
      </c>
      <c r="AB297" s="43">
        <f t="shared" si="11"/>
        <v>0</v>
      </c>
    </row>
    <row r="298" spans="1:28" ht="117.5" thickBot="1" x14ac:dyDescent="0.3">
      <c r="A298" s="36">
        <v>297</v>
      </c>
      <c r="B298" s="36" t="s">
        <v>24</v>
      </c>
      <c r="C298" s="36"/>
      <c r="D298" s="37" t="s">
        <v>3227</v>
      </c>
      <c r="E298" s="36" t="s">
        <v>734</v>
      </c>
      <c r="F298" s="36" t="s">
        <v>866</v>
      </c>
      <c r="G298" s="36" t="s">
        <v>55</v>
      </c>
      <c r="H298" s="36" t="s">
        <v>913</v>
      </c>
      <c r="I298" s="36" t="s">
        <v>67</v>
      </c>
      <c r="J298" s="36" t="str">
        <f t="shared" si="10"/>
        <v>Higher &amp; Technical EducationTechnical Education EstablishmentCInstructor (Printing)S14 (38600 - 122800)</v>
      </c>
      <c r="K298" s="36" t="s">
        <v>163</v>
      </c>
      <c r="L298" s="36" t="s">
        <v>225</v>
      </c>
      <c r="M298" s="38" t="s">
        <v>914</v>
      </c>
      <c r="N298" s="36" t="s">
        <v>165</v>
      </c>
      <c r="O298" s="6" t="s">
        <v>83</v>
      </c>
      <c r="P298" s="7">
        <v>0</v>
      </c>
      <c r="Q298" s="7" t="s">
        <v>34</v>
      </c>
      <c r="R298" s="8"/>
      <c r="S298" s="8"/>
      <c r="T298" s="7" t="s">
        <v>2395</v>
      </c>
      <c r="U298" s="36" t="s">
        <v>35</v>
      </c>
      <c r="V298" s="38" t="s">
        <v>915</v>
      </c>
      <c r="W298" s="36"/>
      <c r="X298" s="36" t="s">
        <v>916</v>
      </c>
      <c r="Y298" s="36" t="s">
        <v>917</v>
      </c>
      <c r="Z298" s="41"/>
      <c r="AA298" s="42" t="e">
        <f>_xlfn.XLOOKUP(C298,#REF!,#REF!,"",0,1)</f>
        <v>#REF!</v>
      </c>
      <c r="AB298" s="43">
        <f t="shared" si="11"/>
        <v>0</v>
      </c>
    </row>
    <row r="299" spans="1:28" ht="130.5" thickBot="1" x14ac:dyDescent="0.3">
      <c r="A299" s="36">
        <v>298</v>
      </c>
      <c r="B299" s="36" t="s">
        <v>24</v>
      </c>
      <c r="C299" s="36"/>
      <c r="D299" s="37" t="s">
        <v>3227</v>
      </c>
      <c r="E299" s="36" t="s">
        <v>734</v>
      </c>
      <c r="F299" s="36" t="s">
        <v>866</v>
      </c>
      <c r="G299" s="36" t="s">
        <v>55</v>
      </c>
      <c r="H299" s="36" t="s">
        <v>918</v>
      </c>
      <c r="I299" s="36" t="s">
        <v>67</v>
      </c>
      <c r="J299" s="36" t="str">
        <f t="shared" si="10"/>
        <v>Higher &amp; Technical EducationTechnical Education EstablishmentCStenoGrapher (Lower Grade)S14 (38600 - 122800)</v>
      </c>
      <c r="K299" s="36" t="s">
        <v>68</v>
      </c>
      <c r="L299" s="36" t="s">
        <v>231</v>
      </c>
      <c r="M299" s="38" t="s">
        <v>919</v>
      </c>
      <c r="N299" s="36" t="s">
        <v>70</v>
      </c>
      <c r="O299" s="6" t="s">
        <v>33</v>
      </c>
      <c r="P299" s="7">
        <v>9</v>
      </c>
      <c r="Q299" s="7" t="s">
        <v>34</v>
      </c>
      <c r="R299" s="8"/>
      <c r="S299" s="8"/>
      <c r="T299" s="4" t="s">
        <v>3276</v>
      </c>
      <c r="U299" s="36" t="s">
        <v>35</v>
      </c>
      <c r="V299" s="38"/>
      <c r="W299" s="36"/>
      <c r="X299" s="36"/>
      <c r="Y299" s="36"/>
      <c r="Z299" s="41"/>
      <c r="AA299" s="42" t="e">
        <f>_xlfn.XLOOKUP(C299,#REF!,#REF!,"",0,1)</f>
        <v>#REF!</v>
      </c>
      <c r="AB299" s="43">
        <f t="shared" si="11"/>
        <v>0</v>
      </c>
    </row>
    <row r="300" spans="1:28" ht="195.5" thickBot="1" x14ac:dyDescent="0.3">
      <c r="A300" s="36">
        <v>299</v>
      </c>
      <c r="B300" s="36" t="s">
        <v>24</v>
      </c>
      <c r="C300" s="36"/>
      <c r="D300" s="37" t="s">
        <v>3227</v>
      </c>
      <c r="E300" s="36" t="s">
        <v>734</v>
      </c>
      <c r="F300" s="36" t="s">
        <v>866</v>
      </c>
      <c r="G300" s="36" t="s">
        <v>55</v>
      </c>
      <c r="H300" s="36" t="s">
        <v>920</v>
      </c>
      <c r="I300" s="36" t="s">
        <v>44</v>
      </c>
      <c r="J300" s="36" t="str">
        <f t="shared" si="10"/>
        <v>Higher &amp; Technical EducationTechnical Education EstablishmentCProgrammerS15 (41800 - 132300)</v>
      </c>
      <c r="K300" s="36" t="s">
        <v>163</v>
      </c>
      <c r="L300" s="36" t="s">
        <v>225</v>
      </c>
      <c r="M300" s="38" t="s">
        <v>921</v>
      </c>
      <c r="N300" s="36" t="s">
        <v>165</v>
      </c>
      <c r="O300" s="16" t="s">
        <v>33</v>
      </c>
      <c r="P300" s="7">
        <v>12</v>
      </c>
      <c r="Q300" s="7" t="s">
        <v>34</v>
      </c>
      <c r="R300" s="8"/>
      <c r="S300" s="8"/>
      <c r="T300" s="7" t="s">
        <v>35</v>
      </c>
      <c r="U300" s="36" t="s">
        <v>35</v>
      </c>
      <c r="V300" s="38" t="s">
        <v>921</v>
      </c>
      <c r="W300" s="36"/>
      <c r="X300" s="36" t="s">
        <v>150</v>
      </c>
      <c r="Y300" s="36" t="s">
        <v>150</v>
      </c>
      <c r="Z300" s="41"/>
      <c r="AA300" s="42" t="e">
        <f>_xlfn.XLOOKUP(C300,#REF!,#REF!,"",0,1)</f>
        <v>#REF!</v>
      </c>
      <c r="AB300" s="43">
        <f t="shared" si="11"/>
        <v>0</v>
      </c>
    </row>
    <row r="301" spans="1:28" ht="130.5" thickBot="1" x14ac:dyDescent="0.3">
      <c r="A301" s="36">
        <v>300</v>
      </c>
      <c r="B301" s="36" t="s">
        <v>24</v>
      </c>
      <c r="C301" s="36"/>
      <c r="D301" s="37" t="s">
        <v>3227</v>
      </c>
      <c r="E301" s="36" t="s">
        <v>734</v>
      </c>
      <c r="F301" s="36" t="s">
        <v>866</v>
      </c>
      <c r="G301" s="36" t="s">
        <v>55</v>
      </c>
      <c r="H301" s="36" t="s">
        <v>922</v>
      </c>
      <c r="I301" s="36" t="s">
        <v>44</v>
      </c>
      <c r="J301" s="36" t="str">
        <f t="shared" si="10"/>
        <v>Higher &amp; Technical EducationTechnical Education EstablishmentCStenoGrapher (Higher Grade)S15 (41800 - 132300)</v>
      </c>
      <c r="K301" s="36" t="s">
        <v>68</v>
      </c>
      <c r="L301" s="36" t="s">
        <v>231</v>
      </c>
      <c r="M301" s="38" t="s">
        <v>923</v>
      </c>
      <c r="N301" s="36" t="s">
        <v>70</v>
      </c>
      <c r="O301" s="6" t="s">
        <v>33</v>
      </c>
      <c r="P301" s="7">
        <v>1</v>
      </c>
      <c r="Q301" s="7" t="s">
        <v>34</v>
      </c>
      <c r="R301" s="8"/>
      <c r="S301" s="8"/>
      <c r="T301" s="4" t="s">
        <v>3276</v>
      </c>
      <c r="U301" s="36" t="s">
        <v>35</v>
      </c>
      <c r="V301" s="38"/>
      <c r="W301" s="36"/>
      <c r="X301" s="36"/>
      <c r="Y301" s="36"/>
      <c r="Z301" s="41"/>
      <c r="AA301" s="42" t="e">
        <f>_xlfn.XLOOKUP(C301,#REF!,#REF!,"",0,1)</f>
        <v>#REF!</v>
      </c>
      <c r="AB301" s="43">
        <f t="shared" si="11"/>
        <v>0</v>
      </c>
    </row>
    <row r="302" spans="1:28" ht="104.5" thickBot="1" x14ac:dyDescent="0.3">
      <c r="A302" s="36">
        <v>301</v>
      </c>
      <c r="B302" s="36" t="s">
        <v>24</v>
      </c>
      <c r="C302" s="36"/>
      <c r="D302" s="37" t="s">
        <v>3227</v>
      </c>
      <c r="E302" s="36" t="s">
        <v>734</v>
      </c>
      <c r="F302" s="36" t="s">
        <v>866</v>
      </c>
      <c r="G302" s="36" t="s">
        <v>55</v>
      </c>
      <c r="H302" s="36" t="s">
        <v>924</v>
      </c>
      <c r="I302" s="36" t="s">
        <v>74</v>
      </c>
      <c r="J302" s="36" t="str">
        <f t="shared" si="10"/>
        <v>Higher &amp; Technical EducationTechnical Education EstablishmentCClerk-Typist /
  Jr. ClerkS6 (19900 - 63200)</v>
      </c>
      <c r="K302" s="36" t="s">
        <v>75</v>
      </c>
      <c r="L302" s="36" t="s">
        <v>228</v>
      </c>
      <c r="M302" s="38" t="s">
        <v>925</v>
      </c>
      <c r="N302" s="36" t="s">
        <v>70</v>
      </c>
      <c r="O302" s="6" t="s">
        <v>33</v>
      </c>
      <c r="P302" s="7">
        <v>108</v>
      </c>
      <c r="Q302" s="7" t="s">
        <v>34</v>
      </c>
      <c r="R302" s="8"/>
      <c r="S302" s="8"/>
      <c r="T302" s="7" t="s">
        <v>61</v>
      </c>
      <c r="U302" s="36" t="s">
        <v>61</v>
      </c>
      <c r="V302" s="38" t="s">
        <v>125</v>
      </c>
      <c r="W302" s="36"/>
      <c r="X302" s="36" t="s">
        <v>77</v>
      </c>
      <c r="Y302" s="36" t="s">
        <v>78</v>
      </c>
      <c r="Z302" s="41"/>
      <c r="AA302" s="42" t="e">
        <f>_xlfn.XLOOKUP(C302,#REF!,#REF!,"",0,1)</f>
        <v>#REF!</v>
      </c>
      <c r="AB302" s="43">
        <f t="shared" si="11"/>
        <v>0</v>
      </c>
    </row>
    <row r="303" spans="1:28" ht="104.5" thickBot="1" x14ac:dyDescent="0.3">
      <c r="A303" s="36">
        <v>302</v>
      </c>
      <c r="B303" s="36" t="s">
        <v>24</v>
      </c>
      <c r="C303" s="36"/>
      <c r="D303" s="37" t="s">
        <v>3227</v>
      </c>
      <c r="E303" s="36" t="s">
        <v>734</v>
      </c>
      <c r="F303" s="36" t="s">
        <v>866</v>
      </c>
      <c r="G303" s="36" t="s">
        <v>55</v>
      </c>
      <c r="H303" s="36" t="s">
        <v>926</v>
      </c>
      <c r="I303" s="36" t="s">
        <v>169</v>
      </c>
      <c r="J303" s="36" t="str">
        <f t="shared" si="10"/>
        <v>Higher &amp; Technical EducationTechnical Education EstablishmentCAsstt. LibrarianS7 (21700 - 69100)</v>
      </c>
      <c r="K303" s="36" t="s">
        <v>170</v>
      </c>
      <c r="L303" s="36" t="s">
        <v>228</v>
      </c>
      <c r="M303" s="38" t="s">
        <v>927</v>
      </c>
      <c r="N303" s="36" t="s">
        <v>172</v>
      </c>
      <c r="O303" s="6" t="s">
        <v>83</v>
      </c>
      <c r="P303" s="7">
        <v>9</v>
      </c>
      <c r="Q303" s="7" t="s">
        <v>34</v>
      </c>
      <c r="R303" s="8"/>
      <c r="S303" s="8"/>
      <c r="T303" s="7" t="s">
        <v>35</v>
      </c>
      <c r="U303" s="36" t="s">
        <v>35</v>
      </c>
      <c r="V303" s="38" t="s">
        <v>928</v>
      </c>
      <c r="W303" s="36"/>
      <c r="X303" s="36" t="s">
        <v>929</v>
      </c>
      <c r="Y303" s="36" t="s">
        <v>930</v>
      </c>
      <c r="Z303" s="41"/>
      <c r="AA303" s="42" t="e">
        <f>_xlfn.XLOOKUP(C303,#REF!,#REF!,"",0,1)</f>
        <v>#REF!</v>
      </c>
      <c r="AB303" s="43">
        <f t="shared" si="11"/>
        <v>0</v>
      </c>
    </row>
    <row r="304" spans="1:28" ht="117.5" thickBot="1" x14ac:dyDescent="0.3">
      <c r="A304" s="36">
        <v>303</v>
      </c>
      <c r="B304" s="36" t="s">
        <v>24</v>
      </c>
      <c r="C304" s="36"/>
      <c r="D304" s="37" t="s">
        <v>3227</v>
      </c>
      <c r="E304" s="36" t="s">
        <v>734</v>
      </c>
      <c r="F304" s="36" t="s">
        <v>866</v>
      </c>
      <c r="G304" s="36" t="s">
        <v>55</v>
      </c>
      <c r="H304" s="36" t="s">
        <v>931</v>
      </c>
      <c r="I304" s="36" t="s">
        <v>80</v>
      </c>
      <c r="J304" s="36" t="str">
        <f t="shared" si="10"/>
        <v>Higher &amp; Technical EducationTechnical Education EstablishmentCTechnical Laboratory Asstt.S8 (25500 - 81100)</v>
      </c>
      <c r="K304" s="36" t="s">
        <v>163</v>
      </c>
      <c r="L304" s="36" t="s">
        <v>225</v>
      </c>
      <c r="M304" s="38" t="s">
        <v>932</v>
      </c>
      <c r="N304" s="36" t="s">
        <v>165</v>
      </c>
      <c r="O304" s="6" t="s">
        <v>33</v>
      </c>
      <c r="P304" s="7">
        <v>19</v>
      </c>
      <c r="Q304" s="7" t="s">
        <v>34</v>
      </c>
      <c r="R304" s="8"/>
      <c r="S304" s="8"/>
      <c r="T304" s="7" t="s">
        <v>35</v>
      </c>
      <c r="U304" s="36" t="s">
        <v>35</v>
      </c>
      <c r="V304" s="38" t="s">
        <v>933</v>
      </c>
      <c r="W304" s="36"/>
      <c r="X304" s="36" t="s">
        <v>934</v>
      </c>
      <c r="Y304" s="46">
        <v>43709</v>
      </c>
      <c r="Z304" s="41"/>
      <c r="AA304" s="42" t="e">
        <f>_xlfn.XLOOKUP(C304,#REF!,#REF!,"",0,1)</f>
        <v>#REF!</v>
      </c>
      <c r="AB304" s="43">
        <f t="shared" si="11"/>
        <v>0</v>
      </c>
    </row>
    <row r="305" spans="1:28" ht="104.5" thickBot="1" x14ac:dyDescent="0.3">
      <c r="A305" s="36">
        <v>304</v>
      </c>
      <c r="B305" s="36" t="s">
        <v>24</v>
      </c>
      <c r="C305" s="36"/>
      <c r="D305" s="37" t="s">
        <v>3227</v>
      </c>
      <c r="E305" s="36" t="s">
        <v>734</v>
      </c>
      <c r="F305" s="36" t="s">
        <v>866</v>
      </c>
      <c r="G305" s="36" t="s">
        <v>55</v>
      </c>
      <c r="H305" s="36" t="s">
        <v>935</v>
      </c>
      <c r="I305" s="36" t="s">
        <v>80</v>
      </c>
      <c r="J305" s="36" t="str">
        <f t="shared" si="10"/>
        <v>Higher &amp; Technical EducationTechnical Education EstablishmentCLab. TechnicianS8 (25500 - 81100)</v>
      </c>
      <c r="K305" s="36" t="s">
        <v>377</v>
      </c>
      <c r="L305" s="36" t="s">
        <v>225</v>
      </c>
      <c r="M305" s="38" t="s">
        <v>936</v>
      </c>
      <c r="N305" s="36" t="s">
        <v>937</v>
      </c>
      <c r="O305" s="16" t="s">
        <v>33</v>
      </c>
      <c r="P305" s="7">
        <v>2</v>
      </c>
      <c r="Q305" s="7" t="s">
        <v>34</v>
      </c>
      <c r="R305" s="8"/>
      <c r="S305" s="8"/>
      <c r="T305" s="7" t="s">
        <v>35</v>
      </c>
      <c r="U305" s="36" t="s">
        <v>35</v>
      </c>
      <c r="V305" s="38" t="s">
        <v>938</v>
      </c>
      <c r="W305" s="36"/>
      <c r="X305" s="36" t="s">
        <v>150</v>
      </c>
      <c r="Y305" s="36" t="s">
        <v>150</v>
      </c>
      <c r="Z305" s="41"/>
      <c r="AA305" s="42" t="e">
        <f>_xlfn.XLOOKUP(C305,#REF!,#REF!,"",0,1)</f>
        <v>#REF!</v>
      </c>
      <c r="AB305" s="43">
        <f t="shared" si="11"/>
        <v>0</v>
      </c>
    </row>
    <row r="306" spans="1:28" ht="117.5" thickBot="1" x14ac:dyDescent="0.3">
      <c r="A306" s="36">
        <v>305</v>
      </c>
      <c r="B306" s="36" t="s">
        <v>24</v>
      </c>
      <c r="C306" s="36"/>
      <c r="D306" s="37" t="s">
        <v>3227</v>
      </c>
      <c r="E306" s="36" t="s">
        <v>734</v>
      </c>
      <c r="F306" s="36" t="s">
        <v>866</v>
      </c>
      <c r="G306" s="36" t="s">
        <v>55</v>
      </c>
      <c r="H306" s="36" t="s">
        <v>939</v>
      </c>
      <c r="I306" s="36" t="s">
        <v>80</v>
      </c>
      <c r="J306" s="36" t="str">
        <f t="shared" si="10"/>
        <v>Higher &amp; Technical EducationTechnical Education EstablishmentCNoting Asstt./ Accountant/ Sr. ClerkS8 (25500 - 81100)</v>
      </c>
      <c r="K306" s="36" t="s">
        <v>75</v>
      </c>
      <c r="L306" s="36" t="s">
        <v>228</v>
      </c>
      <c r="M306" s="38" t="s">
        <v>940</v>
      </c>
      <c r="N306" s="36" t="s">
        <v>70</v>
      </c>
      <c r="O306" s="6" t="s">
        <v>33</v>
      </c>
      <c r="P306" s="7">
        <v>35</v>
      </c>
      <c r="Q306" s="7" t="s">
        <v>34</v>
      </c>
      <c r="R306" s="8"/>
      <c r="S306" s="8"/>
      <c r="T306" s="7" t="s">
        <v>35</v>
      </c>
      <c r="U306" s="36" t="s">
        <v>35</v>
      </c>
      <c r="V306" s="38" t="s">
        <v>941</v>
      </c>
      <c r="W306" s="36"/>
      <c r="X306" s="36" t="s">
        <v>942</v>
      </c>
      <c r="Y306" s="46">
        <v>25663</v>
      </c>
      <c r="Z306" s="41"/>
      <c r="AA306" s="42" t="e">
        <f>_xlfn.XLOOKUP(C306,#REF!,#REF!,"",0,1)</f>
        <v>#REF!</v>
      </c>
      <c r="AB306" s="43">
        <f t="shared" si="11"/>
        <v>0</v>
      </c>
    </row>
    <row r="307" spans="1:28" ht="104.5" thickBot="1" x14ac:dyDescent="0.3">
      <c r="A307" s="36">
        <v>306</v>
      </c>
      <c r="B307" s="36" t="s">
        <v>24</v>
      </c>
      <c r="C307" s="36"/>
      <c r="D307" s="37" t="s">
        <v>3227</v>
      </c>
      <c r="E307" s="36" t="s">
        <v>734</v>
      </c>
      <c r="F307" s="36" t="s">
        <v>866</v>
      </c>
      <c r="G307" s="36" t="s">
        <v>55</v>
      </c>
      <c r="H307" s="36" t="s">
        <v>943</v>
      </c>
      <c r="I307" s="36" t="s">
        <v>80</v>
      </c>
      <c r="J307" s="36" t="str">
        <f t="shared" si="10"/>
        <v>Higher &amp; Technical EducationTechnical Education EstablishmentCInstructor (Electrician)S8 (25500 - 81100)</v>
      </c>
      <c r="K307" s="36" t="s">
        <v>127</v>
      </c>
      <c r="L307" s="36" t="s">
        <v>225</v>
      </c>
      <c r="M307" s="38" t="s">
        <v>944</v>
      </c>
      <c r="N307" s="36" t="s">
        <v>129</v>
      </c>
      <c r="O307" s="6" t="s">
        <v>33</v>
      </c>
      <c r="P307" s="7">
        <v>21</v>
      </c>
      <c r="Q307" s="7" t="s">
        <v>34</v>
      </c>
      <c r="R307" s="8"/>
      <c r="S307" s="8"/>
      <c r="T307" s="7" t="s">
        <v>35</v>
      </c>
      <c r="U307" s="36" t="s">
        <v>35</v>
      </c>
      <c r="V307" s="38" t="s">
        <v>945</v>
      </c>
      <c r="W307" s="36"/>
      <c r="X307" s="36" t="s">
        <v>946</v>
      </c>
      <c r="Y307" s="36" t="s">
        <v>947</v>
      </c>
      <c r="Z307" s="41"/>
      <c r="AA307" s="42" t="e">
        <f>_xlfn.XLOOKUP(C307,#REF!,#REF!,"",0,1)</f>
        <v>#REF!</v>
      </c>
      <c r="AB307" s="43">
        <f t="shared" si="11"/>
        <v>0</v>
      </c>
    </row>
    <row r="308" spans="1:28" ht="104.5" thickBot="1" x14ac:dyDescent="0.3">
      <c r="A308" s="36">
        <v>307</v>
      </c>
      <c r="B308" s="36" t="s">
        <v>24</v>
      </c>
      <c r="C308" s="36"/>
      <c r="D308" s="37" t="s">
        <v>3227</v>
      </c>
      <c r="E308" s="36" t="s">
        <v>734</v>
      </c>
      <c r="F308" s="36" t="s">
        <v>866</v>
      </c>
      <c r="G308" s="36" t="s">
        <v>55</v>
      </c>
      <c r="H308" s="36" t="s">
        <v>948</v>
      </c>
      <c r="I308" s="36" t="s">
        <v>80</v>
      </c>
      <c r="J308" s="36" t="str">
        <f t="shared" si="10"/>
        <v>Higher &amp; Technical EducationTechnical Education EstablishmentCInstructor (Welder)S8 (25500 - 81100)</v>
      </c>
      <c r="K308" s="36" t="s">
        <v>127</v>
      </c>
      <c r="L308" s="36" t="s">
        <v>225</v>
      </c>
      <c r="M308" s="38" t="s">
        <v>949</v>
      </c>
      <c r="N308" s="36" t="s">
        <v>129</v>
      </c>
      <c r="O308" s="6" t="s">
        <v>33</v>
      </c>
      <c r="P308" s="7">
        <v>18</v>
      </c>
      <c r="Q308" s="7" t="s">
        <v>34</v>
      </c>
      <c r="R308" s="8"/>
      <c r="S308" s="8"/>
      <c r="T308" s="7" t="s">
        <v>35</v>
      </c>
      <c r="U308" s="36" t="s">
        <v>35</v>
      </c>
      <c r="V308" s="38" t="s">
        <v>950</v>
      </c>
      <c r="W308" s="36"/>
      <c r="X308" s="36" t="s">
        <v>946</v>
      </c>
      <c r="Y308" s="36" t="s">
        <v>947</v>
      </c>
      <c r="Z308" s="41"/>
      <c r="AA308" s="42" t="e">
        <f>_xlfn.XLOOKUP(C308,#REF!,#REF!,"",0,1)</f>
        <v>#REF!</v>
      </c>
      <c r="AB308" s="43">
        <f t="shared" si="11"/>
        <v>0</v>
      </c>
    </row>
    <row r="309" spans="1:28" ht="117.5" thickBot="1" x14ac:dyDescent="0.3">
      <c r="A309" s="36">
        <v>308</v>
      </c>
      <c r="B309" s="36" t="s">
        <v>24</v>
      </c>
      <c r="C309" s="36"/>
      <c r="D309" s="37" t="s">
        <v>3227</v>
      </c>
      <c r="E309" s="36" t="s">
        <v>734</v>
      </c>
      <c r="F309" s="36" t="s">
        <v>866</v>
      </c>
      <c r="G309" s="36" t="s">
        <v>55</v>
      </c>
      <c r="H309" s="36" t="s">
        <v>951</v>
      </c>
      <c r="I309" s="36" t="s">
        <v>80</v>
      </c>
      <c r="J309" s="36" t="str">
        <f t="shared" si="10"/>
        <v>Higher &amp; Technical EducationTechnical Education EstablishmentCInstructor (TinSmith cum Plumber)S8 (25500 - 81100)</v>
      </c>
      <c r="K309" s="36" t="s">
        <v>127</v>
      </c>
      <c r="L309" s="36" t="s">
        <v>225</v>
      </c>
      <c r="M309" s="38" t="s">
        <v>952</v>
      </c>
      <c r="N309" s="36" t="s">
        <v>129</v>
      </c>
      <c r="O309" s="6" t="s">
        <v>33</v>
      </c>
      <c r="P309" s="7">
        <v>21</v>
      </c>
      <c r="Q309" s="7" t="s">
        <v>34</v>
      </c>
      <c r="R309" s="8"/>
      <c r="S309" s="8"/>
      <c r="T309" s="7" t="s">
        <v>35</v>
      </c>
      <c r="U309" s="36" t="s">
        <v>35</v>
      </c>
      <c r="V309" s="38" t="s">
        <v>950</v>
      </c>
      <c r="W309" s="36"/>
      <c r="X309" s="36" t="s">
        <v>946</v>
      </c>
      <c r="Y309" s="36" t="s">
        <v>947</v>
      </c>
      <c r="Z309" s="41"/>
      <c r="AA309" s="42" t="e">
        <f>_xlfn.XLOOKUP(C309,#REF!,#REF!,"",0,1)</f>
        <v>#REF!</v>
      </c>
      <c r="AB309" s="43">
        <f t="shared" si="11"/>
        <v>0</v>
      </c>
    </row>
    <row r="310" spans="1:28" ht="117.5" thickBot="1" x14ac:dyDescent="0.3">
      <c r="A310" s="36">
        <v>309</v>
      </c>
      <c r="B310" s="36" t="s">
        <v>24</v>
      </c>
      <c r="C310" s="36"/>
      <c r="D310" s="37" t="s">
        <v>3227</v>
      </c>
      <c r="E310" s="36" t="s">
        <v>734</v>
      </c>
      <c r="F310" s="36" t="s">
        <v>866</v>
      </c>
      <c r="G310" s="36" t="s">
        <v>55</v>
      </c>
      <c r="H310" s="36" t="s">
        <v>953</v>
      </c>
      <c r="I310" s="36" t="s">
        <v>80</v>
      </c>
      <c r="J310" s="36" t="str">
        <f t="shared" si="10"/>
        <v>Higher &amp; Technical EducationTechnical Education EstablishmentCInstructor (Fitter)S8 (25500 - 81100)</v>
      </c>
      <c r="K310" s="36" t="s">
        <v>127</v>
      </c>
      <c r="L310" s="36" t="s">
        <v>225</v>
      </c>
      <c r="M310" s="38" t="s">
        <v>954</v>
      </c>
      <c r="N310" s="36" t="s">
        <v>129</v>
      </c>
      <c r="O310" s="6" t="s">
        <v>33</v>
      </c>
      <c r="P310" s="7">
        <v>18</v>
      </c>
      <c r="Q310" s="7" t="s">
        <v>34</v>
      </c>
      <c r="R310" s="8"/>
      <c r="S310" s="8"/>
      <c r="T310" s="7" t="s">
        <v>35</v>
      </c>
      <c r="U310" s="36" t="s">
        <v>35</v>
      </c>
      <c r="V310" s="38" t="s">
        <v>955</v>
      </c>
      <c r="W310" s="36"/>
      <c r="X310" s="36" t="s">
        <v>946</v>
      </c>
      <c r="Y310" s="36" t="s">
        <v>947</v>
      </c>
      <c r="Z310" s="41"/>
      <c r="AA310" s="42" t="e">
        <f>_xlfn.XLOOKUP(C310,#REF!,#REF!,"",0,1)</f>
        <v>#REF!</v>
      </c>
      <c r="AB310" s="43">
        <f t="shared" si="11"/>
        <v>0</v>
      </c>
    </row>
    <row r="311" spans="1:28" ht="104.5" thickBot="1" x14ac:dyDescent="0.3">
      <c r="A311" s="36">
        <v>310</v>
      </c>
      <c r="B311" s="36" t="s">
        <v>24</v>
      </c>
      <c r="C311" s="36"/>
      <c r="D311" s="37" t="s">
        <v>3227</v>
      </c>
      <c r="E311" s="36" t="s">
        <v>734</v>
      </c>
      <c r="F311" s="36" t="s">
        <v>866</v>
      </c>
      <c r="G311" s="36" t="s">
        <v>55</v>
      </c>
      <c r="H311" s="36" t="s">
        <v>956</v>
      </c>
      <c r="I311" s="36" t="s">
        <v>80</v>
      </c>
      <c r="J311" s="36" t="str">
        <f t="shared" si="10"/>
        <v>Higher &amp; Technical EducationTechnical Education EstablishmentCInstructor (Carpenter)S8 (25500 - 81100)</v>
      </c>
      <c r="K311" s="36" t="s">
        <v>127</v>
      </c>
      <c r="L311" s="36" t="s">
        <v>225</v>
      </c>
      <c r="M311" s="38" t="s">
        <v>957</v>
      </c>
      <c r="N311" s="36" t="s">
        <v>129</v>
      </c>
      <c r="O311" s="6" t="s">
        <v>33</v>
      </c>
      <c r="P311" s="7">
        <v>17</v>
      </c>
      <c r="Q311" s="7" t="s">
        <v>34</v>
      </c>
      <c r="R311" s="8"/>
      <c r="S311" s="8"/>
      <c r="T311" s="7" t="s">
        <v>35</v>
      </c>
      <c r="U311" s="36" t="s">
        <v>35</v>
      </c>
      <c r="V311" s="38" t="s">
        <v>955</v>
      </c>
      <c r="W311" s="36"/>
      <c r="X311" s="36" t="s">
        <v>946</v>
      </c>
      <c r="Y311" s="36" t="s">
        <v>947</v>
      </c>
      <c r="Z311" s="41"/>
      <c r="AA311" s="42" t="e">
        <f>_xlfn.XLOOKUP(C311,#REF!,#REF!,"",0,1)</f>
        <v>#REF!</v>
      </c>
      <c r="AB311" s="43">
        <f t="shared" si="11"/>
        <v>0</v>
      </c>
    </row>
    <row r="312" spans="1:28" ht="117.5" thickBot="1" x14ac:dyDescent="0.3">
      <c r="A312" s="36">
        <v>311</v>
      </c>
      <c r="B312" s="36" t="s">
        <v>24</v>
      </c>
      <c r="C312" s="36"/>
      <c r="D312" s="37" t="s">
        <v>3227</v>
      </c>
      <c r="E312" s="36" t="s">
        <v>734</v>
      </c>
      <c r="F312" s="36" t="s">
        <v>866</v>
      </c>
      <c r="G312" s="36" t="s">
        <v>55</v>
      </c>
      <c r="H312" s="36" t="s">
        <v>958</v>
      </c>
      <c r="I312" s="36" t="s">
        <v>80</v>
      </c>
      <c r="J312" s="36" t="str">
        <f t="shared" si="10"/>
        <v>Higher &amp; Technical EducationTechnical Education EstablishmentCInstructor (Machinist)S8 (25500 - 81100)</v>
      </c>
      <c r="K312" s="36" t="s">
        <v>127</v>
      </c>
      <c r="L312" s="36" t="s">
        <v>225</v>
      </c>
      <c r="M312" s="38" t="s">
        <v>959</v>
      </c>
      <c r="N312" s="36" t="s">
        <v>129</v>
      </c>
      <c r="O312" s="6" t="s">
        <v>33</v>
      </c>
      <c r="P312" s="7">
        <v>17</v>
      </c>
      <c r="Q312" s="7" t="s">
        <v>34</v>
      </c>
      <c r="R312" s="8"/>
      <c r="S312" s="8"/>
      <c r="T312" s="7" t="s">
        <v>35</v>
      </c>
      <c r="U312" s="36" t="s">
        <v>35</v>
      </c>
      <c r="V312" s="38" t="s">
        <v>955</v>
      </c>
      <c r="W312" s="36"/>
      <c r="X312" s="36" t="s">
        <v>960</v>
      </c>
      <c r="Y312" s="36" t="s">
        <v>947</v>
      </c>
      <c r="Z312" s="41"/>
      <c r="AA312" s="42" t="e">
        <f>_xlfn.XLOOKUP(C312,#REF!,#REF!,"",0,1)</f>
        <v>#REF!</v>
      </c>
      <c r="AB312" s="43">
        <f t="shared" si="11"/>
        <v>0</v>
      </c>
    </row>
    <row r="313" spans="1:28" ht="104.5" thickBot="1" x14ac:dyDescent="0.3">
      <c r="A313" s="36">
        <v>312</v>
      </c>
      <c r="B313" s="36" t="s">
        <v>24</v>
      </c>
      <c r="C313" s="36"/>
      <c r="D313" s="37" t="s">
        <v>3227</v>
      </c>
      <c r="E313" s="36" t="s">
        <v>734</v>
      </c>
      <c r="F313" s="36" t="s">
        <v>866</v>
      </c>
      <c r="G313" s="36" t="s">
        <v>55</v>
      </c>
      <c r="H313" s="36" t="s">
        <v>961</v>
      </c>
      <c r="I313" s="36" t="s">
        <v>80</v>
      </c>
      <c r="J313" s="36" t="str">
        <f t="shared" si="10"/>
        <v>Higher &amp; Technical EducationTechnical Education EstablishmentCInstructor (Turner)S8 (25500 - 81100)</v>
      </c>
      <c r="K313" s="36" t="s">
        <v>127</v>
      </c>
      <c r="L313" s="36" t="s">
        <v>225</v>
      </c>
      <c r="M313" s="38" t="s">
        <v>962</v>
      </c>
      <c r="N313" s="36" t="s">
        <v>129</v>
      </c>
      <c r="O313" s="6" t="s">
        <v>33</v>
      </c>
      <c r="P313" s="7">
        <v>14</v>
      </c>
      <c r="Q313" s="7" t="s">
        <v>34</v>
      </c>
      <c r="R313" s="8"/>
      <c r="S313" s="8"/>
      <c r="T313" s="7" t="s">
        <v>35</v>
      </c>
      <c r="U313" s="36" t="s">
        <v>35</v>
      </c>
      <c r="V313" s="38" t="s">
        <v>955</v>
      </c>
      <c r="W313" s="36"/>
      <c r="X313" s="36" t="s">
        <v>960</v>
      </c>
      <c r="Y313" s="36" t="s">
        <v>947</v>
      </c>
      <c r="Z313" s="41"/>
      <c r="AA313" s="42" t="e">
        <f>_xlfn.XLOOKUP(C313,#REF!,#REF!,"",0,1)</f>
        <v>#REF!</v>
      </c>
      <c r="AB313" s="43">
        <f t="shared" si="11"/>
        <v>0</v>
      </c>
    </row>
    <row r="314" spans="1:28" ht="117.5" thickBot="1" x14ac:dyDescent="0.3">
      <c r="A314" s="36">
        <v>313</v>
      </c>
      <c r="B314" s="36" t="s">
        <v>24</v>
      </c>
      <c r="C314" s="36"/>
      <c r="D314" s="37" t="s">
        <v>3227</v>
      </c>
      <c r="E314" s="36" t="s">
        <v>734</v>
      </c>
      <c r="F314" s="36" t="s">
        <v>866</v>
      </c>
      <c r="G314" s="36" t="s">
        <v>55</v>
      </c>
      <c r="H314" s="36" t="s">
        <v>963</v>
      </c>
      <c r="I314" s="36" t="s">
        <v>80</v>
      </c>
      <c r="J314" s="36" t="str">
        <f t="shared" si="10"/>
        <v>Higher &amp; Technical EducationTechnical Education EstablishmentCInstructor (Black Smith)S8 (25500 - 81100)</v>
      </c>
      <c r="K314" s="36" t="s">
        <v>127</v>
      </c>
      <c r="L314" s="36" t="s">
        <v>225</v>
      </c>
      <c r="M314" s="38" t="s">
        <v>964</v>
      </c>
      <c r="N314" s="36" t="s">
        <v>129</v>
      </c>
      <c r="O314" s="6" t="s">
        <v>33</v>
      </c>
      <c r="P314" s="7">
        <v>17</v>
      </c>
      <c r="Q314" s="7" t="s">
        <v>34</v>
      </c>
      <c r="R314" s="8"/>
      <c r="S314" s="8"/>
      <c r="T314" s="7" t="s">
        <v>35</v>
      </c>
      <c r="U314" s="36" t="s">
        <v>35</v>
      </c>
      <c r="V314" s="38" t="s">
        <v>955</v>
      </c>
      <c r="W314" s="36"/>
      <c r="X314" s="36" t="s">
        <v>946</v>
      </c>
      <c r="Y314" s="36" t="s">
        <v>947</v>
      </c>
      <c r="Z314" s="41"/>
      <c r="AA314" s="42" t="e">
        <f>_xlfn.XLOOKUP(C314,#REF!,#REF!,"",0,1)</f>
        <v>#REF!</v>
      </c>
      <c r="AB314" s="43">
        <f t="shared" si="11"/>
        <v>0</v>
      </c>
    </row>
    <row r="315" spans="1:28" ht="130.5" thickBot="1" x14ac:dyDescent="0.3">
      <c r="A315" s="36">
        <v>314</v>
      </c>
      <c r="B315" s="36" t="s">
        <v>24</v>
      </c>
      <c r="C315" s="36"/>
      <c r="D315" s="37" t="s">
        <v>3227</v>
      </c>
      <c r="E315" s="36" t="s">
        <v>734</v>
      </c>
      <c r="F315" s="36" t="s">
        <v>866</v>
      </c>
      <c r="G315" s="36" t="s">
        <v>55</v>
      </c>
      <c r="H315" s="36" t="s">
        <v>965</v>
      </c>
      <c r="I315" s="36" t="s">
        <v>80</v>
      </c>
      <c r="J315" s="36" t="str">
        <f t="shared" si="10"/>
        <v>Higher &amp; Technical EducationTechnical Education EstablishmentCSculpture Instructor (Leather)S8 (25500 - 81100)</v>
      </c>
      <c r="K315" s="36" t="s">
        <v>127</v>
      </c>
      <c r="L315" s="36" t="s">
        <v>225</v>
      </c>
      <c r="M315" s="38" t="s">
        <v>966</v>
      </c>
      <c r="N315" s="36" t="s">
        <v>129</v>
      </c>
      <c r="O315" s="6" t="s">
        <v>33</v>
      </c>
      <c r="P315" s="7">
        <v>1</v>
      </c>
      <c r="Q315" s="7" t="s">
        <v>34</v>
      </c>
      <c r="R315" s="8"/>
      <c r="S315" s="8"/>
      <c r="T315" s="7" t="s">
        <v>2395</v>
      </c>
      <c r="U315" s="36" t="s">
        <v>35</v>
      </c>
      <c r="V315" s="38" t="s">
        <v>967</v>
      </c>
      <c r="W315" s="36"/>
      <c r="X315" s="36" t="s">
        <v>150</v>
      </c>
      <c r="Y315" s="36" t="s">
        <v>150</v>
      </c>
      <c r="Z315" s="41"/>
      <c r="AA315" s="42" t="e">
        <f>_xlfn.XLOOKUP(C315,#REF!,#REF!,"",0,1)</f>
        <v>#REF!</v>
      </c>
      <c r="AB315" s="43">
        <f t="shared" si="11"/>
        <v>0</v>
      </c>
    </row>
    <row r="316" spans="1:28" ht="104.5" thickBot="1" x14ac:dyDescent="0.3">
      <c r="A316" s="36">
        <v>315</v>
      </c>
      <c r="B316" s="36" t="s">
        <v>24</v>
      </c>
      <c r="C316" s="36" t="s">
        <v>263</v>
      </c>
      <c r="D316" s="37">
        <v>45828</v>
      </c>
      <c r="E316" s="36" t="s">
        <v>968</v>
      </c>
      <c r="F316" s="36" t="s">
        <v>969</v>
      </c>
      <c r="G316" s="36" t="s">
        <v>28</v>
      </c>
      <c r="H316" s="36" t="s">
        <v>970</v>
      </c>
      <c r="I316" s="36" t="s">
        <v>38</v>
      </c>
      <c r="J316" s="36" t="str">
        <f t="shared" si="10"/>
        <v>Home (DG Office)DG Office EstablishmentADySP/ACP UnarmedS20 (56100 - 177500)</v>
      </c>
      <c r="K316" s="36" t="s">
        <v>45</v>
      </c>
      <c r="L316" s="36" t="s">
        <v>247</v>
      </c>
      <c r="M316" s="38" t="s">
        <v>971</v>
      </c>
      <c r="N316" s="36" t="s">
        <v>41</v>
      </c>
      <c r="O316" s="6" t="s">
        <v>33</v>
      </c>
      <c r="P316" s="7">
        <v>34</v>
      </c>
      <c r="Q316" s="7" t="s">
        <v>34</v>
      </c>
      <c r="R316" s="8"/>
      <c r="S316" s="7" t="s">
        <v>3239</v>
      </c>
      <c r="T316" s="7" t="s">
        <v>35</v>
      </c>
      <c r="U316" s="36" t="s">
        <v>972</v>
      </c>
      <c r="V316" s="38"/>
      <c r="W316" s="36"/>
      <c r="X316" s="36"/>
      <c r="Y316" s="36"/>
      <c r="Z316" s="41"/>
      <c r="AA316" s="42" t="e">
        <f>_xlfn.XLOOKUP(C316,#REF!,#REF!,"",0,1)</f>
        <v>#REF!</v>
      </c>
      <c r="AB316" s="43">
        <f t="shared" si="11"/>
        <v>0</v>
      </c>
    </row>
    <row r="317" spans="1:28" ht="130.5" thickBot="1" x14ac:dyDescent="0.3">
      <c r="A317" s="36">
        <v>316</v>
      </c>
      <c r="B317" s="36" t="s">
        <v>24</v>
      </c>
      <c r="C317" s="36" t="s">
        <v>263</v>
      </c>
      <c r="D317" s="37">
        <v>45828</v>
      </c>
      <c r="E317" s="36" t="s">
        <v>968</v>
      </c>
      <c r="F317" s="36" t="s">
        <v>969</v>
      </c>
      <c r="G317" s="36" t="s">
        <v>28</v>
      </c>
      <c r="H317" s="36" t="s">
        <v>973</v>
      </c>
      <c r="I317" s="36" t="s">
        <v>38</v>
      </c>
      <c r="J317" s="36" t="str">
        <f t="shared" si="10"/>
        <v>Home (DG Office)DG Office EstablishmentAArmed DySP/Asst Commandant, SRPFS20 (56100 - 177500)</v>
      </c>
      <c r="K317" s="36" t="s">
        <v>45</v>
      </c>
      <c r="L317" s="36" t="s">
        <v>247</v>
      </c>
      <c r="M317" s="38" t="s">
        <v>971</v>
      </c>
      <c r="N317" s="36" t="s">
        <v>41</v>
      </c>
      <c r="O317" s="6" t="s">
        <v>33</v>
      </c>
      <c r="P317" s="7">
        <v>16</v>
      </c>
      <c r="Q317" s="7" t="s">
        <v>34</v>
      </c>
      <c r="R317" s="8"/>
      <c r="S317" s="8"/>
      <c r="T317" s="7" t="s">
        <v>35</v>
      </c>
      <c r="U317" s="36" t="s">
        <v>35</v>
      </c>
      <c r="V317" s="38"/>
      <c r="W317" s="36"/>
      <c r="X317" s="36"/>
      <c r="Y317" s="36"/>
      <c r="Z317" s="41"/>
      <c r="AA317" s="42" t="e">
        <f>_xlfn.XLOOKUP(C317,#REF!,#REF!,"",0,1)</f>
        <v>#REF!</v>
      </c>
      <c r="AB317" s="43">
        <f t="shared" si="11"/>
        <v>0</v>
      </c>
    </row>
    <row r="318" spans="1:28" ht="117.5" thickBot="1" x14ac:dyDescent="0.3">
      <c r="A318" s="36">
        <v>317</v>
      </c>
      <c r="B318" s="36" t="s">
        <v>24</v>
      </c>
      <c r="C318" s="36" t="s">
        <v>263</v>
      </c>
      <c r="D318" s="37">
        <v>45828</v>
      </c>
      <c r="E318" s="36" t="s">
        <v>968</v>
      </c>
      <c r="F318" s="36" t="s">
        <v>969</v>
      </c>
      <c r="G318" s="36" t="s">
        <v>28</v>
      </c>
      <c r="H318" s="36" t="s">
        <v>974</v>
      </c>
      <c r="I318" s="36" t="s">
        <v>38</v>
      </c>
      <c r="J318" s="36" t="str">
        <f t="shared" si="10"/>
        <v>Home (DG Office)DG Office EstablishmentADySP/ACP, Police Communication &amp; ITS20 (56100 - 177500)</v>
      </c>
      <c r="K318" s="36"/>
      <c r="L318" s="36" t="s">
        <v>238</v>
      </c>
      <c r="M318" s="38" t="s">
        <v>975</v>
      </c>
      <c r="N318" s="36" t="s">
        <v>41</v>
      </c>
      <c r="O318" s="6" t="s">
        <v>33</v>
      </c>
      <c r="P318" s="7">
        <v>8</v>
      </c>
      <c r="Q318" s="7" t="s">
        <v>34</v>
      </c>
      <c r="R318" s="8"/>
      <c r="S318" s="8"/>
      <c r="T318" s="7" t="s">
        <v>35</v>
      </c>
      <c r="U318" s="36" t="s">
        <v>972</v>
      </c>
      <c r="V318" s="38"/>
      <c r="W318" s="36"/>
      <c r="X318" s="36"/>
      <c r="Y318" s="36"/>
      <c r="Z318" s="41"/>
      <c r="AA318" s="42" t="e">
        <f>_xlfn.XLOOKUP(C318,#REF!,#REF!,"",0,1)</f>
        <v>#REF!</v>
      </c>
      <c r="AB318" s="43">
        <f t="shared" si="11"/>
        <v>0</v>
      </c>
    </row>
    <row r="319" spans="1:28" ht="117.5" thickBot="1" x14ac:dyDescent="0.3">
      <c r="A319" s="36">
        <v>318</v>
      </c>
      <c r="B319" s="36" t="s">
        <v>24</v>
      </c>
      <c r="C319" s="36" t="s">
        <v>263</v>
      </c>
      <c r="D319" s="37">
        <v>45828</v>
      </c>
      <c r="E319" s="36" t="s">
        <v>968</v>
      </c>
      <c r="F319" s="36" t="s">
        <v>969</v>
      </c>
      <c r="G319" s="36" t="s">
        <v>28</v>
      </c>
      <c r="H319" s="36" t="s">
        <v>976</v>
      </c>
      <c r="I319" s="36" t="s">
        <v>38</v>
      </c>
      <c r="J319" s="36" t="str">
        <f t="shared" si="10"/>
        <v>Home (DG Office)DG Office EstablishmentADySP/ACP, Motor TransportS20 (56100 - 177500)</v>
      </c>
      <c r="K319" s="36"/>
      <c r="L319" s="36" t="s">
        <v>238</v>
      </c>
      <c r="M319" s="38" t="s">
        <v>977</v>
      </c>
      <c r="N319" s="36" t="s">
        <v>41</v>
      </c>
      <c r="O319" s="6" t="s">
        <v>33</v>
      </c>
      <c r="P319" s="7">
        <v>6</v>
      </c>
      <c r="Q319" s="7" t="s">
        <v>100</v>
      </c>
      <c r="R319" s="7">
        <v>6</v>
      </c>
      <c r="S319" s="8"/>
      <c r="T319" s="7" t="s">
        <v>61</v>
      </c>
      <c r="U319" s="36" t="s">
        <v>972</v>
      </c>
      <c r="V319" s="38"/>
      <c r="W319" s="36"/>
      <c r="X319" s="36"/>
      <c r="Y319" s="36"/>
      <c r="Z319" s="41"/>
      <c r="AA319" s="42" t="e">
        <f>_xlfn.XLOOKUP(C319,#REF!,#REF!,"",0,1)</f>
        <v>#REF!</v>
      </c>
      <c r="AB319" s="43">
        <f t="shared" si="11"/>
        <v>0</v>
      </c>
    </row>
    <row r="320" spans="1:28" ht="104.5" thickBot="1" x14ac:dyDescent="0.3">
      <c r="A320" s="36">
        <v>319</v>
      </c>
      <c r="B320" s="36" t="s">
        <v>24</v>
      </c>
      <c r="C320" s="36" t="s">
        <v>263</v>
      </c>
      <c r="D320" s="37">
        <v>45828</v>
      </c>
      <c r="E320" s="36" t="s">
        <v>968</v>
      </c>
      <c r="F320" s="36" t="s">
        <v>969</v>
      </c>
      <c r="G320" s="36" t="s">
        <v>65</v>
      </c>
      <c r="H320" s="36" t="s">
        <v>978</v>
      </c>
      <c r="I320" s="36" t="s">
        <v>67</v>
      </c>
      <c r="J320" s="36" t="str">
        <f t="shared" si="10"/>
        <v>Home (DG Office)DG Office EstablishmentB (Non Gazetted)PSIS14 (38600 - 122800)</v>
      </c>
      <c r="K320" s="36" t="s">
        <v>979</v>
      </c>
      <c r="L320" s="36" t="s">
        <v>228</v>
      </c>
      <c r="M320" s="38" t="s">
        <v>728</v>
      </c>
      <c r="N320" s="36" t="s">
        <v>41</v>
      </c>
      <c r="O320" s="9"/>
      <c r="P320" s="7">
        <v>310</v>
      </c>
      <c r="Q320" s="7" t="s">
        <v>100</v>
      </c>
      <c r="R320" s="7">
        <v>310</v>
      </c>
      <c r="S320" s="18">
        <v>46041</v>
      </c>
      <c r="T320" s="7" t="s">
        <v>61</v>
      </c>
      <c r="U320" s="36" t="s">
        <v>61</v>
      </c>
      <c r="V320" s="38" t="s">
        <v>980</v>
      </c>
      <c r="W320" s="36"/>
      <c r="X320" s="36" t="s">
        <v>981</v>
      </c>
      <c r="Y320" s="36" t="s">
        <v>982</v>
      </c>
      <c r="Z320" s="41"/>
      <c r="AA320" s="42" t="e">
        <f>_xlfn.XLOOKUP(C320,#REF!,#REF!,"",0,1)</f>
        <v>#REF!</v>
      </c>
      <c r="AB320" s="43">
        <f t="shared" si="11"/>
        <v>0</v>
      </c>
    </row>
    <row r="321" spans="1:28" ht="91.5" thickBot="1" x14ac:dyDescent="0.3">
      <c r="A321" s="36">
        <v>320</v>
      </c>
      <c r="B321" s="36" t="s">
        <v>983</v>
      </c>
      <c r="C321" s="36" t="s">
        <v>263</v>
      </c>
      <c r="D321" s="37">
        <v>45828</v>
      </c>
      <c r="E321" s="36" t="s">
        <v>968</v>
      </c>
      <c r="F321" s="36" t="s">
        <v>969</v>
      </c>
      <c r="G321" s="36" t="s">
        <v>55</v>
      </c>
      <c r="H321" s="36" t="s">
        <v>984</v>
      </c>
      <c r="I321" s="36" t="s">
        <v>169</v>
      </c>
      <c r="J321" s="36" t="str">
        <f t="shared" si="10"/>
        <v>Home (DG Office)DG Office EstablishmentCPolice ConstableS7 (21700 - 69100)</v>
      </c>
      <c r="K321" s="36"/>
      <c r="L321" s="36"/>
      <c r="M321" s="38" t="s">
        <v>985</v>
      </c>
      <c r="N321" s="36" t="s">
        <v>986</v>
      </c>
      <c r="O321" s="6" t="s">
        <v>33</v>
      </c>
      <c r="P321" s="7"/>
      <c r="Q321" s="8"/>
      <c r="R321" s="8"/>
      <c r="S321" s="7" t="s">
        <v>3240</v>
      </c>
      <c r="T321" s="4" t="s">
        <v>3276</v>
      </c>
      <c r="U321" s="36" t="s">
        <v>61</v>
      </c>
      <c r="V321" s="38"/>
      <c r="W321" s="36"/>
      <c r="X321" s="36"/>
      <c r="Y321" s="36"/>
      <c r="Z321" s="41"/>
      <c r="AA321" s="42" t="e">
        <f>_xlfn.XLOOKUP(C321,#REF!,#REF!,"",0,1)</f>
        <v>#REF!</v>
      </c>
      <c r="AB321" s="43">
        <f t="shared" ref="AB321" si="12">IFERROR(FLOOR(P321*AA321,1),0)</f>
        <v>0</v>
      </c>
    </row>
    <row r="322" spans="1:28" ht="78.5" thickBot="1" x14ac:dyDescent="0.3">
      <c r="A322" s="36">
        <v>321</v>
      </c>
      <c r="B322" s="36" t="s">
        <v>24</v>
      </c>
      <c r="C322" s="36" t="s">
        <v>263</v>
      </c>
      <c r="D322" s="37">
        <v>45834</v>
      </c>
      <c r="E322" s="36" t="s">
        <v>987</v>
      </c>
      <c r="F322" s="36" t="s">
        <v>988</v>
      </c>
      <c r="G322" s="36" t="s">
        <v>28</v>
      </c>
      <c r="H322" s="36" t="s">
        <v>803</v>
      </c>
      <c r="I322" s="36" t="s">
        <v>38</v>
      </c>
      <c r="J322" s="36" t="str">
        <f t="shared" ref="J322:J385" si="13">_xlfn.CONCAT(E322:I322)</f>
        <v>Home (Excise)Excise EstablishmentASuperintendentS20 (56100 - 177500)</v>
      </c>
      <c r="K322" s="36" t="s">
        <v>45</v>
      </c>
      <c r="L322" s="36" t="s">
        <v>247</v>
      </c>
      <c r="M322" s="38" t="s">
        <v>728</v>
      </c>
      <c r="N322" s="36" t="s">
        <v>41</v>
      </c>
      <c r="O322" s="6" t="s">
        <v>33</v>
      </c>
      <c r="P322" s="7">
        <v>10</v>
      </c>
      <c r="Q322" s="7" t="s">
        <v>100</v>
      </c>
      <c r="R322" s="7">
        <v>3</v>
      </c>
      <c r="S322" s="18">
        <v>45868</v>
      </c>
      <c r="T322" s="7" t="s">
        <v>61</v>
      </c>
      <c r="U322" s="36" t="s">
        <v>989</v>
      </c>
      <c r="V322" s="38"/>
      <c r="W322" s="36"/>
      <c r="X322" s="36"/>
      <c r="Y322" s="36"/>
      <c r="Z322" s="41"/>
      <c r="AA322" s="42" t="e">
        <f>_xlfn.XLOOKUP(C322,#REF!,#REF!,"",0,1)</f>
        <v>#REF!</v>
      </c>
      <c r="AB322" s="43">
        <f t="shared" ref="AB322:AB328" si="14">IFERROR(FLOOR(P322*AA322,1),0)</f>
        <v>0</v>
      </c>
    </row>
    <row r="323" spans="1:28" ht="117.5" thickBot="1" x14ac:dyDescent="0.3">
      <c r="A323" s="36">
        <v>322</v>
      </c>
      <c r="B323" s="36" t="s">
        <v>24</v>
      </c>
      <c r="C323" s="36" t="s">
        <v>263</v>
      </c>
      <c r="D323" s="37">
        <v>45834</v>
      </c>
      <c r="E323" s="36" t="s">
        <v>987</v>
      </c>
      <c r="F323" s="36" t="s">
        <v>988</v>
      </c>
      <c r="G323" s="36" t="s">
        <v>42</v>
      </c>
      <c r="H323" s="36" t="s">
        <v>990</v>
      </c>
      <c r="I323" s="36" t="s">
        <v>54</v>
      </c>
      <c r="J323" s="36" t="str">
        <f t="shared" si="13"/>
        <v>Home (Excise)Excise EstablishmentB (Gazetted)Deputy SuperintendentS16 (44900 - 142400)</v>
      </c>
      <c r="K323" s="36" t="s">
        <v>45</v>
      </c>
      <c r="L323" s="36" t="s">
        <v>247</v>
      </c>
      <c r="M323" s="38" t="s">
        <v>991</v>
      </c>
      <c r="N323" s="36" t="s">
        <v>41</v>
      </c>
      <c r="O323" s="6" t="s">
        <v>33</v>
      </c>
      <c r="P323" s="7">
        <v>9</v>
      </c>
      <c r="Q323" s="7" t="s">
        <v>100</v>
      </c>
      <c r="R323" s="7">
        <v>9</v>
      </c>
      <c r="S323" s="18">
        <v>45855</v>
      </c>
      <c r="T323" s="7" t="s">
        <v>61</v>
      </c>
      <c r="U323" s="36" t="s">
        <v>989</v>
      </c>
      <c r="V323" s="38"/>
      <c r="W323" s="36"/>
      <c r="X323" s="36"/>
      <c r="Y323" s="36"/>
      <c r="Z323" s="41"/>
      <c r="AA323" s="42" t="e">
        <f>_xlfn.XLOOKUP(C323,#REF!,#REF!,"",0,1)</f>
        <v>#REF!</v>
      </c>
      <c r="AB323" s="43">
        <f t="shared" si="14"/>
        <v>0</v>
      </c>
    </row>
    <row r="324" spans="1:28" ht="117.5" thickBot="1" x14ac:dyDescent="0.3">
      <c r="A324" s="36">
        <v>323</v>
      </c>
      <c r="B324" s="36" t="s">
        <v>24</v>
      </c>
      <c r="C324" s="36" t="s">
        <v>263</v>
      </c>
      <c r="D324" s="37">
        <v>45834</v>
      </c>
      <c r="E324" s="36" t="s">
        <v>987</v>
      </c>
      <c r="F324" s="36" t="s">
        <v>988</v>
      </c>
      <c r="G324" s="36" t="s">
        <v>42</v>
      </c>
      <c r="H324" s="36" t="s">
        <v>992</v>
      </c>
      <c r="I324" s="36" t="s">
        <v>54</v>
      </c>
      <c r="J324" s="36" t="str">
        <f t="shared" si="13"/>
        <v>Home (Excise)Excise EstablishmentB (Gazetted)Assistant CommissionerS16 (44900 - 142400)</v>
      </c>
      <c r="K324" s="36" t="s">
        <v>45</v>
      </c>
      <c r="L324" s="36" t="s">
        <v>247</v>
      </c>
      <c r="M324" s="38" t="s">
        <v>991</v>
      </c>
      <c r="N324" s="36" t="s">
        <v>41</v>
      </c>
      <c r="O324" s="6" t="s">
        <v>33</v>
      </c>
      <c r="P324" s="7">
        <v>1</v>
      </c>
      <c r="Q324" s="7" t="s">
        <v>34</v>
      </c>
      <c r="R324" s="8"/>
      <c r="S324" s="8"/>
      <c r="T324" s="7" t="s">
        <v>2395</v>
      </c>
      <c r="U324" s="36" t="s">
        <v>989</v>
      </c>
      <c r="V324" s="38"/>
      <c r="W324" s="36"/>
      <c r="X324" s="36"/>
      <c r="Y324" s="36"/>
      <c r="Z324" s="41"/>
      <c r="AA324" s="42" t="e">
        <f>_xlfn.XLOOKUP(C324,#REF!,#REF!,"",0,1)</f>
        <v>#REF!</v>
      </c>
      <c r="AB324" s="43">
        <f t="shared" si="14"/>
        <v>0</v>
      </c>
    </row>
    <row r="325" spans="1:28" ht="91.5" thickBot="1" x14ac:dyDescent="0.3">
      <c r="A325" s="36">
        <v>324</v>
      </c>
      <c r="B325" s="36" t="s">
        <v>24</v>
      </c>
      <c r="C325" s="36" t="s">
        <v>263</v>
      </c>
      <c r="D325" s="37">
        <v>45834</v>
      </c>
      <c r="E325" s="36" t="s">
        <v>987</v>
      </c>
      <c r="F325" s="36" t="s">
        <v>988</v>
      </c>
      <c r="G325" s="36" t="s">
        <v>55</v>
      </c>
      <c r="H325" s="36" t="s">
        <v>993</v>
      </c>
      <c r="I325" s="36" t="s">
        <v>668</v>
      </c>
      <c r="J325" s="36" t="str">
        <f t="shared" si="13"/>
        <v>Home (Excise)Excise EstablishmentCSUB INSPECTORS12 (32000 - 101600)</v>
      </c>
      <c r="K325" s="36" t="s">
        <v>994</v>
      </c>
      <c r="L325" s="36" t="s">
        <v>228</v>
      </c>
      <c r="M325" s="38" t="s">
        <v>728</v>
      </c>
      <c r="N325" s="36" t="s">
        <v>41</v>
      </c>
      <c r="O325" s="6" t="s">
        <v>33</v>
      </c>
      <c r="P325" s="7">
        <v>130</v>
      </c>
      <c r="Q325" s="7" t="s">
        <v>100</v>
      </c>
      <c r="R325" s="7">
        <v>125</v>
      </c>
      <c r="S325" s="18">
        <v>45996</v>
      </c>
      <c r="T325" s="7" t="s">
        <v>61</v>
      </c>
      <c r="U325" s="36" t="s">
        <v>989</v>
      </c>
      <c r="V325" s="38" t="s">
        <v>995</v>
      </c>
      <c r="W325" s="36"/>
      <c r="X325" s="36" t="s">
        <v>996</v>
      </c>
      <c r="Y325" s="36" t="s">
        <v>997</v>
      </c>
      <c r="Z325" s="41"/>
      <c r="AA325" s="42" t="e">
        <f>_xlfn.XLOOKUP(C325,#REF!,#REF!,"",0,1)</f>
        <v>#REF!</v>
      </c>
      <c r="AB325" s="43">
        <f t="shared" si="14"/>
        <v>0</v>
      </c>
    </row>
    <row r="326" spans="1:28" ht="78.5" thickBot="1" x14ac:dyDescent="0.3">
      <c r="A326" s="36">
        <v>325</v>
      </c>
      <c r="B326" s="36" t="s">
        <v>24</v>
      </c>
      <c r="C326" s="36" t="s">
        <v>263</v>
      </c>
      <c r="D326" s="37">
        <v>45834</v>
      </c>
      <c r="E326" s="36" t="s">
        <v>987</v>
      </c>
      <c r="F326" s="36" t="s">
        <v>988</v>
      </c>
      <c r="G326" s="36" t="s">
        <v>55</v>
      </c>
      <c r="H326" s="36" t="s">
        <v>998</v>
      </c>
      <c r="I326" s="36" t="s">
        <v>44</v>
      </c>
      <c r="J326" s="36" t="str">
        <f t="shared" si="13"/>
        <v>Home (Excise)Excise EstablishmentCStenographer (LG)S15 (41800 - 132300)</v>
      </c>
      <c r="K326" s="36" t="s">
        <v>68</v>
      </c>
      <c r="L326" s="36" t="s">
        <v>231</v>
      </c>
      <c r="M326" s="38" t="s">
        <v>999</v>
      </c>
      <c r="N326" s="36" t="s">
        <v>70</v>
      </c>
      <c r="O326" s="6" t="s">
        <v>33</v>
      </c>
      <c r="P326" s="7">
        <v>3</v>
      </c>
      <c r="Q326" s="7" t="s">
        <v>34</v>
      </c>
      <c r="R326" s="8"/>
      <c r="S326" s="8"/>
      <c r="T326" s="4" t="s">
        <v>3276</v>
      </c>
      <c r="U326" s="36" t="s">
        <v>989</v>
      </c>
      <c r="V326" s="38"/>
      <c r="W326" s="36"/>
      <c r="X326" s="36"/>
      <c r="Y326" s="36"/>
      <c r="Z326" s="41"/>
      <c r="AA326" s="42" t="e">
        <f>_xlfn.XLOOKUP(C326,#REF!,#REF!,"",0,1)</f>
        <v>#REF!</v>
      </c>
      <c r="AB326" s="43">
        <f t="shared" si="14"/>
        <v>0</v>
      </c>
    </row>
    <row r="327" spans="1:28" ht="91.5" thickBot="1" x14ac:dyDescent="0.3">
      <c r="A327" s="36">
        <v>326</v>
      </c>
      <c r="B327" s="36" t="s">
        <v>24</v>
      </c>
      <c r="C327" s="36" t="s">
        <v>263</v>
      </c>
      <c r="D327" s="37">
        <v>45834</v>
      </c>
      <c r="E327" s="36" t="s">
        <v>987</v>
      </c>
      <c r="F327" s="36" t="s">
        <v>988</v>
      </c>
      <c r="G327" s="36" t="s">
        <v>55</v>
      </c>
      <c r="H327" s="36" t="s">
        <v>684</v>
      </c>
      <c r="I327" s="36" t="s">
        <v>54</v>
      </c>
      <c r="J327" s="36" t="str">
        <f t="shared" si="13"/>
        <v>Home (Excise)Excise EstablishmentCStenographer (HG)S16 (44900 - 142400)</v>
      </c>
      <c r="K327" s="36" t="s">
        <v>68</v>
      </c>
      <c r="L327" s="36" t="s">
        <v>231</v>
      </c>
      <c r="M327" s="38" t="s">
        <v>1000</v>
      </c>
      <c r="N327" s="36" t="s">
        <v>70</v>
      </c>
      <c r="O327" s="6" t="s">
        <v>33</v>
      </c>
      <c r="P327" s="7">
        <v>0</v>
      </c>
      <c r="Q327" s="7" t="s">
        <v>34</v>
      </c>
      <c r="R327" s="8"/>
      <c r="S327" s="8"/>
      <c r="T327" s="4" t="s">
        <v>3276</v>
      </c>
      <c r="U327" s="36" t="s">
        <v>989</v>
      </c>
      <c r="V327" s="38"/>
      <c r="W327" s="36"/>
      <c r="X327" s="36"/>
      <c r="Y327" s="36"/>
      <c r="Z327" s="41"/>
      <c r="AA327" s="42" t="e">
        <f>_xlfn.XLOOKUP(C327,#REF!,#REF!,"",0,1)</f>
        <v>#REF!</v>
      </c>
      <c r="AB327" s="43">
        <f t="shared" si="14"/>
        <v>0</v>
      </c>
    </row>
    <row r="328" spans="1:28" ht="91.5" thickBot="1" x14ac:dyDescent="0.3">
      <c r="A328" s="36">
        <v>327</v>
      </c>
      <c r="B328" s="36" t="s">
        <v>24</v>
      </c>
      <c r="C328" s="36" t="s">
        <v>263</v>
      </c>
      <c r="D328" s="37">
        <v>45834</v>
      </c>
      <c r="E328" s="36" t="s">
        <v>987</v>
      </c>
      <c r="F328" s="36" t="s">
        <v>988</v>
      </c>
      <c r="G328" s="36" t="s">
        <v>55</v>
      </c>
      <c r="H328" s="36" t="s">
        <v>486</v>
      </c>
      <c r="I328" s="36" t="s">
        <v>74</v>
      </c>
      <c r="J328" s="36" t="str">
        <f t="shared" si="13"/>
        <v>Home (Excise)Excise EstablishmentCClerkS6 (19900 - 63200)</v>
      </c>
      <c r="K328" s="36" t="s">
        <v>75</v>
      </c>
      <c r="L328" s="36" t="s">
        <v>228</v>
      </c>
      <c r="M328" s="38" t="s">
        <v>1001</v>
      </c>
      <c r="N328" s="36" t="s">
        <v>70</v>
      </c>
      <c r="O328" s="6" t="s">
        <v>33</v>
      </c>
      <c r="P328" s="7">
        <v>38</v>
      </c>
      <c r="Q328" s="7" t="s">
        <v>34</v>
      </c>
      <c r="R328" s="8"/>
      <c r="S328" s="8"/>
      <c r="T328" s="7" t="s">
        <v>61</v>
      </c>
      <c r="U328" s="36" t="s">
        <v>1002</v>
      </c>
      <c r="V328" s="38" t="s">
        <v>125</v>
      </c>
      <c r="W328" s="36"/>
      <c r="X328" s="36" t="s">
        <v>77</v>
      </c>
      <c r="Y328" s="36" t="s">
        <v>78</v>
      </c>
      <c r="Z328" s="41"/>
      <c r="AA328" s="42" t="e">
        <f>_xlfn.XLOOKUP(C328,#REF!,#REF!,"",0,1)</f>
        <v>#REF!</v>
      </c>
      <c r="AB328" s="43">
        <f t="shared" si="14"/>
        <v>0</v>
      </c>
    </row>
    <row r="329" spans="1:28" ht="78.5" thickBot="1" x14ac:dyDescent="0.3">
      <c r="A329" s="36">
        <v>328</v>
      </c>
      <c r="B329" s="36" t="s">
        <v>983</v>
      </c>
      <c r="C329" s="36" t="s">
        <v>263</v>
      </c>
      <c r="D329" s="37">
        <v>45834</v>
      </c>
      <c r="E329" s="36" t="s">
        <v>987</v>
      </c>
      <c r="F329" s="36" t="s">
        <v>988</v>
      </c>
      <c r="G329" s="36" t="s">
        <v>55</v>
      </c>
      <c r="H329" s="36" t="s">
        <v>1003</v>
      </c>
      <c r="I329" s="36" t="s">
        <v>169</v>
      </c>
      <c r="J329" s="36" t="str">
        <f t="shared" si="13"/>
        <v>Home (Excise)Excise EstablishmentCConstable Cum DriverS7 (21700 - 69100)</v>
      </c>
      <c r="K329" s="36"/>
      <c r="L329" s="36"/>
      <c r="M329" s="38" t="s">
        <v>1004</v>
      </c>
      <c r="N329" s="36" t="s">
        <v>986</v>
      </c>
      <c r="O329" s="6" t="s">
        <v>33</v>
      </c>
      <c r="P329" s="7">
        <v>144</v>
      </c>
      <c r="Q329" s="7" t="s">
        <v>34</v>
      </c>
      <c r="R329" s="8"/>
      <c r="S329" s="8"/>
      <c r="T329" s="4" t="s">
        <v>3276</v>
      </c>
      <c r="U329" s="36" t="s">
        <v>1002</v>
      </c>
      <c r="V329" s="38"/>
      <c r="W329" s="36"/>
      <c r="X329" s="36"/>
      <c r="Y329" s="36"/>
      <c r="Z329" s="41"/>
      <c r="AA329" s="42" t="e">
        <f>_xlfn.XLOOKUP(C329,#REF!,#REF!,"",0,1)</f>
        <v>#REF!</v>
      </c>
      <c r="AB329" s="43">
        <f t="shared" ref="AB329:AB385" si="15">IFERROR(FLOOR(P329*AA329,1),0)</f>
        <v>0</v>
      </c>
    </row>
    <row r="330" spans="1:28" ht="65.5" thickBot="1" x14ac:dyDescent="0.3">
      <c r="A330" s="36">
        <v>329</v>
      </c>
      <c r="B330" s="36" t="s">
        <v>983</v>
      </c>
      <c r="C330" s="36" t="s">
        <v>263</v>
      </c>
      <c r="D330" s="37">
        <v>45834</v>
      </c>
      <c r="E330" s="36" t="s">
        <v>987</v>
      </c>
      <c r="F330" s="36" t="s">
        <v>988</v>
      </c>
      <c r="G330" s="36" t="s">
        <v>55</v>
      </c>
      <c r="H330" s="36" t="s">
        <v>1005</v>
      </c>
      <c r="I330" s="36" t="s">
        <v>169</v>
      </c>
      <c r="J330" s="36" t="str">
        <f t="shared" si="13"/>
        <v>Home (Excise)Excise EstablishmentCConstableS7 (21700 - 69100)</v>
      </c>
      <c r="K330" s="36"/>
      <c r="L330" s="36"/>
      <c r="M330" s="38" t="s">
        <v>1006</v>
      </c>
      <c r="N330" s="36" t="s">
        <v>986</v>
      </c>
      <c r="O330" s="6" t="s">
        <v>33</v>
      </c>
      <c r="P330" s="7">
        <v>353</v>
      </c>
      <c r="Q330" s="7" t="s">
        <v>34</v>
      </c>
      <c r="R330" s="8"/>
      <c r="S330" s="8"/>
      <c r="T330" s="4" t="s">
        <v>3276</v>
      </c>
      <c r="U330" s="36" t="s">
        <v>1002</v>
      </c>
      <c r="V330" s="38"/>
      <c r="W330" s="36"/>
      <c r="X330" s="36"/>
      <c r="Y330" s="36"/>
      <c r="Z330" s="41"/>
      <c r="AA330" s="42" t="e">
        <f>_xlfn.XLOOKUP(C330,#REF!,#REF!,"",0,1)</f>
        <v>#REF!</v>
      </c>
      <c r="AB330" s="43">
        <f t="shared" si="15"/>
        <v>0</v>
      </c>
    </row>
    <row r="331" spans="1:28" ht="65.5" thickBot="1" x14ac:dyDescent="0.3">
      <c r="A331" s="36">
        <v>330</v>
      </c>
      <c r="B331" s="36" t="s">
        <v>24</v>
      </c>
      <c r="C331" s="36" t="s">
        <v>263</v>
      </c>
      <c r="D331" s="37">
        <v>45834</v>
      </c>
      <c r="E331" s="36" t="s">
        <v>987</v>
      </c>
      <c r="F331" s="36" t="s">
        <v>988</v>
      </c>
      <c r="G331" s="36" t="s">
        <v>55</v>
      </c>
      <c r="H331" s="36" t="s">
        <v>364</v>
      </c>
      <c r="I331" s="36" t="s">
        <v>80</v>
      </c>
      <c r="J331" s="36" t="str">
        <f t="shared" si="13"/>
        <v>Home (Excise)Excise EstablishmentCStenotypistS8 (25500 - 81100)</v>
      </c>
      <c r="K331" s="36" t="s">
        <v>68</v>
      </c>
      <c r="L331" s="36" t="s">
        <v>231</v>
      </c>
      <c r="M331" s="38" t="s">
        <v>1007</v>
      </c>
      <c r="N331" s="36" t="s">
        <v>70</v>
      </c>
      <c r="O331" s="6" t="s">
        <v>33</v>
      </c>
      <c r="P331" s="7">
        <v>2</v>
      </c>
      <c r="Q331" s="7" t="s">
        <v>34</v>
      </c>
      <c r="R331" s="8"/>
      <c r="S331" s="8"/>
      <c r="T331" s="4" t="s">
        <v>3276</v>
      </c>
      <c r="U331" s="36" t="s">
        <v>989</v>
      </c>
      <c r="V331" s="38"/>
      <c r="W331" s="36"/>
      <c r="X331" s="36"/>
      <c r="Y331" s="36"/>
      <c r="Z331" s="41"/>
      <c r="AA331" s="42" t="e">
        <f>_xlfn.XLOOKUP(C331,#REF!,#REF!,"",0,1)</f>
        <v>#REF!</v>
      </c>
      <c r="AB331" s="43">
        <f t="shared" si="15"/>
        <v>0</v>
      </c>
    </row>
    <row r="332" spans="1:28" ht="104.5" thickBot="1" x14ac:dyDescent="0.3">
      <c r="A332" s="36">
        <v>331</v>
      </c>
      <c r="B332" s="36" t="s">
        <v>24</v>
      </c>
      <c r="C332" s="36" t="s">
        <v>1008</v>
      </c>
      <c r="D332" s="37">
        <v>38164</v>
      </c>
      <c r="E332" s="36" t="s">
        <v>1009</v>
      </c>
      <c r="F332" s="36" t="s">
        <v>1010</v>
      </c>
      <c r="G332" s="36" t="s">
        <v>28</v>
      </c>
      <c r="H332" s="36" t="s">
        <v>1011</v>
      </c>
      <c r="I332" s="36" t="s">
        <v>38</v>
      </c>
      <c r="J332" s="36" t="str">
        <f t="shared" si="13"/>
        <v>Home (Forensic Science)Forensic Science EstablishmentALaw OfficerS20 (56100 - 177500)</v>
      </c>
      <c r="K332" s="36" t="s">
        <v>408</v>
      </c>
      <c r="L332" s="36" t="s">
        <v>247</v>
      </c>
      <c r="M332" s="38" t="s">
        <v>1012</v>
      </c>
      <c r="N332" s="36" t="s">
        <v>410</v>
      </c>
      <c r="O332" s="6" t="s">
        <v>33</v>
      </c>
      <c r="P332" s="7">
        <v>1</v>
      </c>
      <c r="Q332" s="7" t="s">
        <v>34</v>
      </c>
      <c r="R332" s="8"/>
      <c r="S332" s="8"/>
      <c r="T332" s="7" t="s">
        <v>2395</v>
      </c>
      <c r="U332" s="36" t="s">
        <v>35</v>
      </c>
      <c r="V332" s="38"/>
      <c r="W332" s="36"/>
      <c r="X332" s="36"/>
      <c r="Y332" s="36"/>
      <c r="Z332" s="41"/>
      <c r="AA332" s="42" t="e">
        <f>_xlfn.XLOOKUP(C332,#REF!,#REF!,"",0,1)</f>
        <v>#REF!</v>
      </c>
      <c r="AB332" s="43">
        <f t="shared" si="15"/>
        <v>0</v>
      </c>
    </row>
    <row r="333" spans="1:28" ht="117.5" thickBot="1" x14ac:dyDescent="0.3">
      <c r="A333" s="36">
        <v>332</v>
      </c>
      <c r="B333" s="36" t="s">
        <v>24</v>
      </c>
      <c r="C333" s="36" t="s">
        <v>1008</v>
      </c>
      <c r="D333" s="37">
        <v>38164</v>
      </c>
      <c r="E333" s="36" t="s">
        <v>1009</v>
      </c>
      <c r="F333" s="36" t="s">
        <v>1010</v>
      </c>
      <c r="G333" s="36" t="s">
        <v>28</v>
      </c>
      <c r="H333" s="36" t="s">
        <v>1013</v>
      </c>
      <c r="I333" s="36" t="s">
        <v>38</v>
      </c>
      <c r="J333" s="36" t="str">
        <f t="shared" si="13"/>
        <v>Home (Forensic Science)Forensic Science EstablishmentAAccount OfficerS20 (56100 - 177500)</v>
      </c>
      <c r="K333" s="36"/>
      <c r="L333" s="36" t="s">
        <v>243</v>
      </c>
      <c r="M333" s="38" t="s">
        <v>1014</v>
      </c>
      <c r="N333" s="36" t="s">
        <v>595</v>
      </c>
      <c r="O333" s="6" t="s">
        <v>33</v>
      </c>
      <c r="P333" s="7">
        <v>1</v>
      </c>
      <c r="Q333" s="7" t="s">
        <v>34</v>
      </c>
      <c r="R333" s="8"/>
      <c r="S333" s="8"/>
      <c r="T333" s="4" t="s">
        <v>3276</v>
      </c>
      <c r="U333" s="36" t="s">
        <v>35</v>
      </c>
      <c r="V333" s="38"/>
      <c r="W333" s="36"/>
      <c r="X333" s="36"/>
      <c r="Y333" s="36"/>
      <c r="Z333" s="41"/>
      <c r="AA333" s="42" t="e">
        <f>_xlfn.XLOOKUP(C333,#REF!,#REF!,"",0,1)</f>
        <v>#REF!</v>
      </c>
      <c r="AB333" s="43">
        <f t="shared" si="15"/>
        <v>0</v>
      </c>
    </row>
    <row r="334" spans="1:28" ht="130.5" thickBot="1" x14ac:dyDescent="0.3">
      <c r="A334" s="36">
        <v>333</v>
      </c>
      <c r="B334" s="36" t="s">
        <v>24</v>
      </c>
      <c r="C334" s="36" t="s">
        <v>1008</v>
      </c>
      <c r="D334" s="37">
        <v>38164</v>
      </c>
      <c r="E334" s="36" t="s">
        <v>1009</v>
      </c>
      <c r="F334" s="36" t="s">
        <v>1010</v>
      </c>
      <c r="G334" s="36" t="s">
        <v>28</v>
      </c>
      <c r="H334" s="36" t="s">
        <v>1015</v>
      </c>
      <c r="I334" s="36" t="s">
        <v>242</v>
      </c>
      <c r="J334" s="36" t="str">
        <f t="shared" si="13"/>
        <v>Home (Forensic Science)Forensic Science EstablishmentAAssistant Director (Psychology)S23 (67700 - 208700)</v>
      </c>
      <c r="K334" s="36"/>
      <c r="L334" s="36" t="s">
        <v>243</v>
      </c>
      <c r="M334" s="38" t="s">
        <v>1016</v>
      </c>
      <c r="N334" s="36" t="s">
        <v>32</v>
      </c>
      <c r="O334" s="6" t="s">
        <v>33</v>
      </c>
      <c r="P334" s="7">
        <v>1</v>
      </c>
      <c r="Q334" s="7" t="s">
        <v>34</v>
      </c>
      <c r="R334" s="8"/>
      <c r="S334" s="8"/>
      <c r="T334" s="4" t="s">
        <v>3276</v>
      </c>
      <c r="U334" s="36" t="s">
        <v>35</v>
      </c>
      <c r="V334" s="38"/>
      <c r="W334" s="36"/>
      <c r="X334" s="36"/>
      <c r="Y334" s="36"/>
      <c r="Z334" s="41"/>
      <c r="AA334" s="42" t="e">
        <f>_xlfn.XLOOKUP(C334,#REF!,#REF!,"",0,1)</f>
        <v>#REF!</v>
      </c>
      <c r="AB334" s="43">
        <f t="shared" si="15"/>
        <v>0</v>
      </c>
    </row>
    <row r="335" spans="1:28" ht="156.5" thickBot="1" x14ac:dyDescent="0.3">
      <c r="A335" s="36">
        <v>334</v>
      </c>
      <c r="B335" s="36" t="s">
        <v>24</v>
      </c>
      <c r="C335" s="36" t="s">
        <v>1008</v>
      </c>
      <c r="D335" s="37">
        <v>38164</v>
      </c>
      <c r="E335" s="36" t="s">
        <v>1009</v>
      </c>
      <c r="F335" s="36" t="s">
        <v>1010</v>
      </c>
      <c r="G335" s="36" t="s">
        <v>28</v>
      </c>
      <c r="H335" s="36" t="s">
        <v>344</v>
      </c>
      <c r="I335" s="36" t="s">
        <v>242</v>
      </c>
      <c r="J335" s="36" t="str">
        <f t="shared" si="13"/>
        <v>Home (Forensic Science)Forensic Science EstablishmentAAssistant DirectorS23 (67700 - 208700)</v>
      </c>
      <c r="K335" s="36"/>
      <c r="L335" s="36" t="s">
        <v>243</v>
      </c>
      <c r="M335" s="38" t="s">
        <v>1017</v>
      </c>
      <c r="N335" s="36" t="s">
        <v>32</v>
      </c>
      <c r="O335" s="6" t="s">
        <v>33</v>
      </c>
      <c r="P335" s="7">
        <v>21</v>
      </c>
      <c r="Q335" s="7" t="s">
        <v>34</v>
      </c>
      <c r="R335" s="8"/>
      <c r="S335" s="8"/>
      <c r="T335" s="4" t="s">
        <v>3276</v>
      </c>
      <c r="U335" s="36" t="s">
        <v>35</v>
      </c>
      <c r="V335" s="38"/>
      <c r="W335" s="36"/>
      <c r="X335" s="36"/>
      <c r="Y335" s="36"/>
      <c r="Z335" s="41"/>
      <c r="AA335" s="42" t="e">
        <f>_xlfn.XLOOKUP(C335,#REF!,#REF!,"",0,1)</f>
        <v>#REF!</v>
      </c>
      <c r="AB335" s="43">
        <f t="shared" si="15"/>
        <v>0</v>
      </c>
    </row>
    <row r="336" spans="1:28" ht="169.5" thickBot="1" x14ac:dyDescent="0.3">
      <c r="A336" s="36">
        <v>335</v>
      </c>
      <c r="B336" s="36" t="s">
        <v>24</v>
      </c>
      <c r="C336" s="36" t="s">
        <v>1008</v>
      </c>
      <c r="D336" s="37">
        <v>38164</v>
      </c>
      <c r="E336" s="36" t="s">
        <v>1009</v>
      </c>
      <c r="F336" s="36" t="s">
        <v>1010</v>
      </c>
      <c r="G336" s="36" t="s">
        <v>28</v>
      </c>
      <c r="H336" s="36" t="s">
        <v>1018</v>
      </c>
      <c r="I336" s="36" t="s">
        <v>242</v>
      </c>
      <c r="J336" s="36" t="str">
        <f t="shared" si="13"/>
        <v>Home (Forensic Science)Forensic Science EstablishmentAAssistant Director (Cyber ​​Crime, Tape Authentication &amp; Speaker Identification)S23 (67700 - 208700)</v>
      </c>
      <c r="K336" s="36"/>
      <c r="L336" s="36" t="s">
        <v>243</v>
      </c>
      <c r="M336" s="38" t="s">
        <v>1019</v>
      </c>
      <c r="N336" s="36" t="s">
        <v>32</v>
      </c>
      <c r="O336" s="6" t="s">
        <v>33</v>
      </c>
      <c r="P336" s="7">
        <v>3</v>
      </c>
      <c r="Q336" s="7" t="s">
        <v>34</v>
      </c>
      <c r="R336" s="8"/>
      <c r="S336" s="8"/>
      <c r="T336" s="4" t="s">
        <v>3276</v>
      </c>
      <c r="U336" s="36" t="s">
        <v>35</v>
      </c>
      <c r="V336" s="38"/>
      <c r="W336" s="36"/>
      <c r="X336" s="36"/>
      <c r="Y336" s="36"/>
      <c r="Z336" s="41"/>
      <c r="AA336" s="42" t="e">
        <f>_xlfn.XLOOKUP(C336,#REF!,#REF!,"",0,1)</f>
        <v>#REF!</v>
      </c>
      <c r="AB336" s="43">
        <f t="shared" si="15"/>
        <v>0</v>
      </c>
    </row>
    <row r="337" spans="1:28" ht="234.5" thickBot="1" x14ac:dyDescent="0.3">
      <c r="A337" s="36">
        <v>336</v>
      </c>
      <c r="B337" s="36" t="s">
        <v>24</v>
      </c>
      <c r="C337" s="36" t="s">
        <v>1008</v>
      </c>
      <c r="D337" s="37">
        <v>38164</v>
      </c>
      <c r="E337" s="36" t="s">
        <v>1009</v>
      </c>
      <c r="F337" s="36" t="s">
        <v>1010</v>
      </c>
      <c r="G337" s="36" t="s">
        <v>28</v>
      </c>
      <c r="H337" s="36" t="s">
        <v>326</v>
      </c>
      <c r="I337" s="36" t="s">
        <v>900</v>
      </c>
      <c r="J337" s="36" t="str">
        <f t="shared" si="13"/>
        <v>Home (Forensic Science)Forensic Science EstablishmentADeputy DirectorS24 (71100 - 211900)</v>
      </c>
      <c r="K337" s="36"/>
      <c r="L337" s="36" t="s">
        <v>243</v>
      </c>
      <c r="M337" s="38" t="s">
        <v>1020</v>
      </c>
      <c r="N337" s="36" t="s">
        <v>32</v>
      </c>
      <c r="O337" s="6" t="s">
        <v>33</v>
      </c>
      <c r="P337" s="7">
        <v>5</v>
      </c>
      <c r="Q337" s="7" t="s">
        <v>34</v>
      </c>
      <c r="R337" s="8"/>
      <c r="S337" s="8"/>
      <c r="T337" s="4" t="s">
        <v>3276</v>
      </c>
      <c r="U337" s="36" t="s">
        <v>35</v>
      </c>
      <c r="V337" s="38"/>
      <c r="W337" s="36"/>
      <c r="X337" s="36"/>
      <c r="Y337" s="36"/>
      <c r="Z337" s="41"/>
      <c r="AA337" s="42" t="e">
        <f>_xlfn.XLOOKUP(C337,#REF!,#REF!,"",0,1)</f>
        <v>#REF!</v>
      </c>
      <c r="AB337" s="43">
        <f t="shared" si="15"/>
        <v>0</v>
      </c>
    </row>
    <row r="338" spans="1:28" ht="130.5" thickBot="1" x14ac:dyDescent="0.3">
      <c r="A338" s="36">
        <v>337</v>
      </c>
      <c r="B338" s="36" t="s">
        <v>24</v>
      </c>
      <c r="C338" s="36" t="s">
        <v>1008</v>
      </c>
      <c r="D338" s="37">
        <v>38164</v>
      </c>
      <c r="E338" s="36" t="s">
        <v>1009</v>
      </c>
      <c r="F338" s="36" t="s">
        <v>1010</v>
      </c>
      <c r="G338" s="36" t="s">
        <v>28</v>
      </c>
      <c r="H338" s="36" t="s">
        <v>1021</v>
      </c>
      <c r="I338" s="36" t="s">
        <v>900</v>
      </c>
      <c r="J338" s="36" t="str">
        <f t="shared" si="13"/>
        <v>Home (Forensic Science)Forensic Science EstablishmentADeputy Director (Psychology)S24 (71100 - 211900)</v>
      </c>
      <c r="K338" s="36"/>
      <c r="L338" s="36" t="s">
        <v>243</v>
      </c>
      <c r="M338" s="38" t="s">
        <v>1022</v>
      </c>
      <c r="N338" s="36" t="s">
        <v>32</v>
      </c>
      <c r="O338" s="6" t="s">
        <v>33</v>
      </c>
      <c r="P338" s="7">
        <v>1</v>
      </c>
      <c r="Q338" s="7" t="s">
        <v>34</v>
      </c>
      <c r="R338" s="8"/>
      <c r="S338" s="8"/>
      <c r="T338" s="4" t="s">
        <v>3276</v>
      </c>
      <c r="U338" s="36" t="s">
        <v>35</v>
      </c>
      <c r="V338" s="38"/>
      <c r="W338" s="36"/>
      <c r="X338" s="36"/>
      <c r="Y338" s="36"/>
      <c r="Z338" s="41"/>
      <c r="AA338" s="42" t="e">
        <f>_xlfn.XLOOKUP(C338,#REF!,#REF!,"",0,1)</f>
        <v>#REF!</v>
      </c>
      <c r="AB338" s="43">
        <f t="shared" si="15"/>
        <v>0</v>
      </c>
    </row>
    <row r="339" spans="1:28" ht="221.5" thickBot="1" x14ac:dyDescent="0.3">
      <c r="A339" s="36">
        <v>338</v>
      </c>
      <c r="B339" s="36" t="s">
        <v>24</v>
      </c>
      <c r="C339" s="36" t="s">
        <v>1008</v>
      </c>
      <c r="D339" s="37">
        <v>38164</v>
      </c>
      <c r="E339" s="36" t="s">
        <v>1009</v>
      </c>
      <c r="F339" s="36" t="s">
        <v>1010</v>
      </c>
      <c r="G339" s="36" t="s">
        <v>28</v>
      </c>
      <c r="H339" s="36" t="s">
        <v>1023</v>
      </c>
      <c r="I339" s="36" t="s">
        <v>900</v>
      </c>
      <c r="J339" s="36" t="str">
        <f t="shared" si="13"/>
        <v>Home (Forensic Science)Forensic Science EstablishmentADeputy Director (Cyber ​​Crime, Tape Authentication &amp; Speaker Identification)S24 (71100 - 211900)</v>
      </c>
      <c r="K339" s="36"/>
      <c r="L339" s="36" t="s">
        <v>243</v>
      </c>
      <c r="M339" s="38" t="s">
        <v>1024</v>
      </c>
      <c r="N339" s="36" t="s">
        <v>32</v>
      </c>
      <c r="O339" s="6" t="s">
        <v>33</v>
      </c>
      <c r="P339" s="7">
        <v>2</v>
      </c>
      <c r="Q339" s="7" t="s">
        <v>34</v>
      </c>
      <c r="R339" s="8"/>
      <c r="S339" s="8"/>
      <c r="T339" s="4" t="s">
        <v>3276</v>
      </c>
      <c r="U339" s="36" t="s">
        <v>35</v>
      </c>
      <c r="V339" s="38"/>
      <c r="W339" s="36"/>
      <c r="X339" s="36"/>
      <c r="Y339" s="36"/>
      <c r="Z339" s="41"/>
      <c r="AA339" s="42" t="e">
        <f>_xlfn.XLOOKUP(C339,#REF!,#REF!,"",0,1)</f>
        <v>#REF!</v>
      </c>
      <c r="AB339" s="43">
        <f t="shared" si="15"/>
        <v>0</v>
      </c>
    </row>
    <row r="340" spans="1:28" ht="117.5" thickBot="1" x14ac:dyDescent="0.3">
      <c r="A340" s="36">
        <v>339</v>
      </c>
      <c r="B340" s="36" t="s">
        <v>24</v>
      </c>
      <c r="C340" s="36" t="s">
        <v>1008</v>
      </c>
      <c r="D340" s="37">
        <v>38164</v>
      </c>
      <c r="E340" s="36" t="s">
        <v>1009</v>
      </c>
      <c r="F340" s="36" t="s">
        <v>1010</v>
      </c>
      <c r="G340" s="36" t="s">
        <v>28</v>
      </c>
      <c r="H340" s="36" t="s">
        <v>1025</v>
      </c>
      <c r="I340" s="36" t="s">
        <v>754</v>
      </c>
      <c r="J340" s="36" t="str">
        <f t="shared" si="13"/>
        <v>Home (Forensic Science)Forensic Science EstablishmentAJoint DirectorS27 (118500 - 214100)</v>
      </c>
      <c r="K340" s="36"/>
      <c r="L340" s="36" t="s">
        <v>243</v>
      </c>
      <c r="M340" s="38" t="s">
        <v>1026</v>
      </c>
      <c r="N340" s="36" t="s">
        <v>32</v>
      </c>
      <c r="O340" s="6" t="s">
        <v>33</v>
      </c>
      <c r="P340" s="7">
        <v>0</v>
      </c>
      <c r="Q340" s="7" t="s">
        <v>34</v>
      </c>
      <c r="R340" s="8"/>
      <c r="S340" s="8"/>
      <c r="T340" s="4" t="s">
        <v>3276</v>
      </c>
      <c r="U340" s="36" t="s">
        <v>35</v>
      </c>
      <c r="V340" s="38"/>
      <c r="W340" s="36"/>
      <c r="X340" s="36"/>
      <c r="Y340" s="36"/>
      <c r="Z340" s="41"/>
      <c r="AA340" s="42" t="e">
        <f>_xlfn.XLOOKUP(C340,#REF!,#REF!,"",0,1)</f>
        <v>#REF!</v>
      </c>
      <c r="AB340" s="43">
        <f t="shared" si="15"/>
        <v>0</v>
      </c>
    </row>
    <row r="341" spans="1:28" ht="156.5" thickBot="1" x14ac:dyDescent="0.3">
      <c r="A341" s="36">
        <v>340</v>
      </c>
      <c r="B341" s="36" t="s">
        <v>24</v>
      </c>
      <c r="C341" s="36" t="s">
        <v>1008</v>
      </c>
      <c r="D341" s="37">
        <v>38164</v>
      </c>
      <c r="E341" s="36" t="s">
        <v>1009</v>
      </c>
      <c r="F341" s="36" t="s">
        <v>1010</v>
      </c>
      <c r="G341" s="36" t="s">
        <v>28</v>
      </c>
      <c r="H341" s="36" t="s">
        <v>512</v>
      </c>
      <c r="I341" s="36" t="s">
        <v>1027</v>
      </c>
      <c r="J341" s="36" t="str">
        <f t="shared" si="13"/>
        <v>Home (Forensic Science)Forensic Science EstablishmentADirectorS28 (124800 - 212400)</v>
      </c>
      <c r="K341" s="36"/>
      <c r="L341" s="36" t="s">
        <v>243</v>
      </c>
      <c r="M341" s="38" t="s">
        <v>1028</v>
      </c>
      <c r="N341" s="36" t="s">
        <v>32</v>
      </c>
      <c r="O341" s="6" t="s">
        <v>33</v>
      </c>
      <c r="P341" s="7">
        <v>0</v>
      </c>
      <c r="Q341" s="7" t="s">
        <v>34</v>
      </c>
      <c r="R341" s="8"/>
      <c r="S341" s="8"/>
      <c r="T341" s="4" t="s">
        <v>3276</v>
      </c>
      <c r="U341" s="36" t="s">
        <v>35</v>
      </c>
      <c r="V341" s="38"/>
      <c r="W341" s="36"/>
      <c r="X341" s="36"/>
      <c r="Y341" s="36"/>
      <c r="Z341" s="41"/>
      <c r="AA341" s="42" t="e">
        <f>_xlfn.XLOOKUP(C341,#REF!,#REF!,"",0,1)</f>
        <v>#REF!</v>
      </c>
      <c r="AB341" s="43">
        <f t="shared" si="15"/>
        <v>0</v>
      </c>
    </row>
    <row r="342" spans="1:28" ht="143.5" thickBot="1" x14ac:dyDescent="0.3">
      <c r="A342" s="36">
        <v>341</v>
      </c>
      <c r="B342" s="36" t="s">
        <v>24</v>
      </c>
      <c r="C342" s="36" t="s">
        <v>1008</v>
      </c>
      <c r="D342" s="37">
        <v>38164</v>
      </c>
      <c r="E342" s="36" t="s">
        <v>1009</v>
      </c>
      <c r="F342" s="36" t="s">
        <v>1010</v>
      </c>
      <c r="G342" s="36" t="s">
        <v>42</v>
      </c>
      <c r="H342" s="36" t="s">
        <v>1029</v>
      </c>
      <c r="I342" s="36" t="s">
        <v>44</v>
      </c>
      <c r="J342" s="36" t="str">
        <f t="shared" si="13"/>
        <v>Home (Forensic Science)Forensic Science EstablishmentB (Gazetted)Assistant Chemical AnalyserS15 (41800 - 132300)</v>
      </c>
      <c r="K342" s="36" t="s">
        <v>1030</v>
      </c>
      <c r="L342" s="36" t="s">
        <v>247</v>
      </c>
      <c r="M342" s="38" t="s">
        <v>1031</v>
      </c>
      <c r="N342" s="36"/>
      <c r="O342" s="9"/>
      <c r="P342" s="7">
        <v>20</v>
      </c>
      <c r="Q342" s="7" t="s">
        <v>34</v>
      </c>
      <c r="R342" s="8"/>
      <c r="S342" s="8"/>
      <c r="T342" s="7" t="s">
        <v>61</v>
      </c>
      <c r="U342" s="36" t="s">
        <v>35</v>
      </c>
      <c r="V342" s="38"/>
      <c r="W342" s="36"/>
      <c r="X342" s="36"/>
      <c r="Y342" s="36"/>
      <c r="Z342" s="41"/>
      <c r="AA342" s="42" t="e">
        <f>_xlfn.XLOOKUP(C342,#REF!,#REF!,"",0,1)</f>
        <v>#REF!</v>
      </c>
      <c r="AB342" s="43">
        <f t="shared" si="15"/>
        <v>0</v>
      </c>
    </row>
    <row r="343" spans="1:28" ht="143.5" thickBot="1" x14ac:dyDescent="0.3">
      <c r="A343" s="36">
        <v>342</v>
      </c>
      <c r="B343" s="36" t="s">
        <v>24</v>
      </c>
      <c r="C343" s="36" t="s">
        <v>1008</v>
      </c>
      <c r="D343" s="37">
        <v>38164</v>
      </c>
      <c r="E343" s="36" t="s">
        <v>1009</v>
      </c>
      <c r="F343" s="36" t="s">
        <v>1010</v>
      </c>
      <c r="G343" s="36" t="s">
        <v>42</v>
      </c>
      <c r="H343" s="36" t="s">
        <v>1032</v>
      </c>
      <c r="I343" s="36" t="s">
        <v>44</v>
      </c>
      <c r="J343" s="36" t="str">
        <f t="shared" si="13"/>
        <v>Home (Forensic Science)Forensic Science EstablishmentB (Gazetted)Scientific Officer (Psychology)S15 (41800 - 132300)</v>
      </c>
      <c r="K343" s="36" t="s">
        <v>1033</v>
      </c>
      <c r="L343" s="36" t="s">
        <v>247</v>
      </c>
      <c r="M343" s="38" t="s">
        <v>1034</v>
      </c>
      <c r="N343" s="36" t="s">
        <v>1035</v>
      </c>
      <c r="O343" s="9"/>
      <c r="P343" s="7">
        <v>3</v>
      </c>
      <c r="Q343" s="7" t="s">
        <v>34</v>
      </c>
      <c r="R343" s="8"/>
      <c r="S343" s="8"/>
      <c r="T343" s="7" t="s">
        <v>61</v>
      </c>
      <c r="U343" s="36" t="s">
        <v>35</v>
      </c>
      <c r="V343" s="38"/>
      <c r="W343" s="36"/>
      <c r="X343" s="36"/>
      <c r="Y343" s="36"/>
      <c r="Z343" s="41"/>
      <c r="AA343" s="42" t="e">
        <f>_xlfn.XLOOKUP(C343,#REF!,#REF!,"",0,1)</f>
        <v>#REF!</v>
      </c>
      <c r="AB343" s="43">
        <f t="shared" si="15"/>
        <v>0</v>
      </c>
    </row>
    <row r="344" spans="1:28" ht="195.5" thickBot="1" x14ac:dyDescent="0.3">
      <c r="A344" s="36">
        <v>343</v>
      </c>
      <c r="B344" s="36" t="s">
        <v>24</v>
      </c>
      <c r="C344" s="36" t="s">
        <v>1008</v>
      </c>
      <c r="D344" s="37">
        <v>38164</v>
      </c>
      <c r="E344" s="36" t="s">
        <v>1009</v>
      </c>
      <c r="F344" s="36" t="s">
        <v>1010</v>
      </c>
      <c r="G344" s="36" t="s">
        <v>42</v>
      </c>
      <c r="H344" s="36" t="s">
        <v>1036</v>
      </c>
      <c r="I344" s="36" t="s">
        <v>44</v>
      </c>
      <c r="J344" s="36" t="str">
        <f t="shared" si="13"/>
        <v>Home (Forensic Science)Forensic Science EstablishmentB (Gazetted)Scientific Officer (Cyber ​​Crime, Tape Authentication &amp; Speaker Identification)S15 (41800 - 132300)</v>
      </c>
      <c r="K344" s="36" t="s">
        <v>1030</v>
      </c>
      <c r="L344" s="36" t="s">
        <v>247</v>
      </c>
      <c r="M344" s="38" t="s">
        <v>1037</v>
      </c>
      <c r="N344" s="36"/>
      <c r="O344" s="9"/>
      <c r="P344" s="7">
        <v>13</v>
      </c>
      <c r="Q344" s="7" t="s">
        <v>34</v>
      </c>
      <c r="R344" s="8"/>
      <c r="S344" s="8"/>
      <c r="T344" s="7" t="s">
        <v>61</v>
      </c>
      <c r="U344" s="36" t="s">
        <v>35</v>
      </c>
      <c r="V344" s="38"/>
      <c r="W344" s="36"/>
      <c r="X344" s="36"/>
      <c r="Y344" s="36"/>
      <c r="Z344" s="41"/>
      <c r="AA344" s="42" t="e">
        <f>_xlfn.XLOOKUP(C344,#REF!,#REF!,"",0,1)</f>
        <v>#REF!</v>
      </c>
      <c r="AB344" s="43">
        <f t="shared" si="15"/>
        <v>0</v>
      </c>
    </row>
    <row r="345" spans="1:28" ht="143.5" thickBot="1" x14ac:dyDescent="0.3">
      <c r="A345" s="36">
        <v>344</v>
      </c>
      <c r="B345" s="36" t="s">
        <v>24</v>
      </c>
      <c r="C345" s="36" t="s">
        <v>1008</v>
      </c>
      <c r="D345" s="37">
        <v>38164</v>
      </c>
      <c r="E345" s="36" t="s">
        <v>1009</v>
      </c>
      <c r="F345" s="36" t="s">
        <v>1010</v>
      </c>
      <c r="G345" s="36" t="s">
        <v>42</v>
      </c>
      <c r="H345" s="36" t="s">
        <v>1038</v>
      </c>
      <c r="I345" s="36" t="s">
        <v>44</v>
      </c>
      <c r="J345" s="36" t="str">
        <f t="shared" si="13"/>
        <v>Home (Forensic Science)Forensic Science EstablishmentB (Gazetted)Scientific Officer (Photography)S15 (41800 - 132300)</v>
      </c>
      <c r="K345" s="36"/>
      <c r="L345" s="36" t="s">
        <v>238</v>
      </c>
      <c r="M345" s="38" t="s">
        <v>1039</v>
      </c>
      <c r="N345" s="36"/>
      <c r="O345" s="6" t="s">
        <v>33</v>
      </c>
      <c r="P345" s="7">
        <v>1</v>
      </c>
      <c r="Q345" s="7" t="s">
        <v>34</v>
      </c>
      <c r="R345" s="8"/>
      <c r="S345" s="8"/>
      <c r="T345" s="7" t="s">
        <v>2395</v>
      </c>
      <c r="U345" s="36" t="s">
        <v>35</v>
      </c>
      <c r="V345" s="38"/>
      <c r="W345" s="36"/>
      <c r="X345" s="36"/>
      <c r="Y345" s="36"/>
      <c r="Z345" s="41"/>
      <c r="AA345" s="42" t="e">
        <f>_xlfn.XLOOKUP(C345,#REF!,#REF!,"",0,1)</f>
        <v>#REF!</v>
      </c>
      <c r="AB345" s="43">
        <f t="shared" si="15"/>
        <v>0</v>
      </c>
    </row>
    <row r="346" spans="1:28" ht="104.5" thickBot="1" x14ac:dyDescent="0.3">
      <c r="A346" s="36">
        <v>345</v>
      </c>
      <c r="B346" s="36" t="s">
        <v>24</v>
      </c>
      <c r="C346" s="36" t="s">
        <v>1008</v>
      </c>
      <c r="D346" s="37">
        <v>38164</v>
      </c>
      <c r="E346" s="36" t="s">
        <v>1009</v>
      </c>
      <c r="F346" s="36" t="s">
        <v>1010</v>
      </c>
      <c r="G346" s="36" t="s">
        <v>55</v>
      </c>
      <c r="H346" s="36" t="s">
        <v>1040</v>
      </c>
      <c r="I346" s="36" t="s">
        <v>276</v>
      </c>
      <c r="J346" s="36" t="str">
        <f t="shared" si="13"/>
        <v>Home (Forensic Science)Forensic Science EstablishmentCManager, CanteenS10 (29200 - 92300)</v>
      </c>
      <c r="K346" s="36"/>
      <c r="L346" s="36" t="s">
        <v>238</v>
      </c>
      <c r="M346" s="38" t="s">
        <v>1041</v>
      </c>
      <c r="N346" s="36" t="s">
        <v>283</v>
      </c>
      <c r="O346" s="6" t="s">
        <v>33</v>
      </c>
      <c r="P346" s="7">
        <v>0</v>
      </c>
      <c r="Q346" s="7" t="s">
        <v>34</v>
      </c>
      <c r="R346" s="8"/>
      <c r="S346" s="8"/>
      <c r="T346" s="7" t="s">
        <v>2395</v>
      </c>
      <c r="U346" s="36" t="s">
        <v>35</v>
      </c>
      <c r="V346" s="38"/>
      <c r="W346" s="36"/>
      <c r="X346" s="36"/>
      <c r="Y346" s="36"/>
      <c r="Z346" s="41"/>
      <c r="AA346" s="42" t="e">
        <f>_xlfn.XLOOKUP(C346,#REF!,#REF!,"",0,1)</f>
        <v>#REF!</v>
      </c>
      <c r="AB346" s="43">
        <f t="shared" si="15"/>
        <v>0</v>
      </c>
    </row>
    <row r="347" spans="1:28" ht="182.5" thickBot="1" x14ac:dyDescent="0.3">
      <c r="A347" s="36">
        <v>346</v>
      </c>
      <c r="B347" s="36" t="s">
        <v>24</v>
      </c>
      <c r="C347" s="36" t="s">
        <v>1008</v>
      </c>
      <c r="D347" s="37">
        <v>38164</v>
      </c>
      <c r="E347" s="36" t="s">
        <v>1009</v>
      </c>
      <c r="F347" s="36" t="s">
        <v>1010</v>
      </c>
      <c r="G347" s="36" t="s">
        <v>55</v>
      </c>
      <c r="H347" s="36" t="s">
        <v>1042</v>
      </c>
      <c r="I347" s="36" t="s">
        <v>57</v>
      </c>
      <c r="J347" s="36" t="str">
        <f t="shared" si="13"/>
        <v>Home (Forensic Science)Forensic Science EstablishmentCScientific Assistant (Cyber ​​Crime, Tape Authentication &amp; Speaker Identification)S13 (35400 - 112400)</v>
      </c>
      <c r="K347" s="36" t="s">
        <v>1043</v>
      </c>
      <c r="L347" s="36" t="s">
        <v>225</v>
      </c>
      <c r="M347" s="38" t="s">
        <v>1044</v>
      </c>
      <c r="N347" s="36" t="s">
        <v>60</v>
      </c>
      <c r="O347" s="6" t="s">
        <v>83</v>
      </c>
      <c r="P347" s="7">
        <v>25</v>
      </c>
      <c r="Q347" s="7" t="s">
        <v>34</v>
      </c>
      <c r="R347" s="8"/>
      <c r="S347" s="8"/>
      <c r="T347" s="7" t="s">
        <v>61</v>
      </c>
      <c r="U347" s="36" t="s">
        <v>35</v>
      </c>
      <c r="V347" s="38" t="s">
        <v>1045</v>
      </c>
      <c r="W347" s="36"/>
      <c r="X347" s="36" t="s">
        <v>1046</v>
      </c>
      <c r="Y347" s="36" t="s">
        <v>1047</v>
      </c>
      <c r="Z347" s="41"/>
      <c r="AA347" s="42" t="e">
        <f>_xlfn.XLOOKUP(C347,#REF!,#REF!,"",0,1)</f>
        <v>#REF!</v>
      </c>
      <c r="AB347" s="43">
        <f t="shared" si="15"/>
        <v>0</v>
      </c>
    </row>
    <row r="348" spans="1:28" ht="117.5" thickBot="1" x14ac:dyDescent="0.3">
      <c r="A348" s="36">
        <v>347</v>
      </c>
      <c r="B348" s="36" t="s">
        <v>24</v>
      </c>
      <c r="C348" s="36" t="s">
        <v>1008</v>
      </c>
      <c r="D348" s="37">
        <v>38164</v>
      </c>
      <c r="E348" s="36" t="s">
        <v>1009</v>
      </c>
      <c r="F348" s="36" t="s">
        <v>1010</v>
      </c>
      <c r="G348" s="36" t="s">
        <v>55</v>
      </c>
      <c r="H348" s="36" t="s">
        <v>1048</v>
      </c>
      <c r="I348" s="36" t="s">
        <v>57</v>
      </c>
      <c r="J348" s="36" t="str">
        <f t="shared" si="13"/>
        <v>Home (Forensic Science)Forensic Science EstablishmentCScientific AssistantS13 (35400 - 112400)</v>
      </c>
      <c r="K348" s="36" t="s">
        <v>1043</v>
      </c>
      <c r="L348" s="36" t="s">
        <v>225</v>
      </c>
      <c r="M348" s="38" t="s">
        <v>1049</v>
      </c>
      <c r="N348" s="36" t="s">
        <v>379</v>
      </c>
      <c r="O348" s="6" t="s">
        <v>33</v>
      </c>
      <c r="P348" s="7">
        <v>31</v>
      </c>
      <c r="Q348" s="7" t="s">
        <v>34</v>
      </c>
      <c r="R348" s="8"/>
      <c r="S348" s="8"/>
      <c r="T348" s="7" t="s">
        <v>61</v>
      </c>
      <c r="U348" s="36" t="s">
        <v>35</v>
      </c>
      <c r="V348" s="38" t="s">
        <v>1050</v>
      </c>
      <c r="W348" s="36"/>
      <c r="X348" s="36" t="s">
        <v>1051</v>
      </c>
      <c r="Y348" s="36" t="s">
        <v>1052</v>
      </c>
      <c r="Z348" s="41"/>
      <c r="AA348" s="42" t="e">
        <f>_xlfn.XLOOKUP(C348,#REF!,#REF!,"",0,1)</f>
        <v>#REF!</v>
      </c>
      <c r="AB348" s="43">
        <f t="shared" si="15"/>
        <v>0</v>
      </c>
    </row>
    <row r="349" spans="1:28" ht="130.5" thickBot="1" x14ac:dyDescent="0.3">
      <c r="A349" s="36">
        <v>348</v>
      </c>
      <c r="B349" s="36" t="s">
        <v>24</v>
      </c>
      <c r="C349" s="36" t="s">
        <v>1008</v>
      </c>
      <c r="D349" s="37">
        <v>38164</v>
      </c>
      <c r="E349" s="36" t="s">
        <v>1009</v>
      </c>
      <c r="F349" s="36" t="s">
        <v>1010</v>
      </c>
      <c r="G349" s="36" t="s">
        <v>55</v>
      </c>
      <c r="H349" s="36" t="s">
        <v>1053</v>
      </c>
      <c r="I349" s="36" t="s">
        <v>57</v>
      </c>
      <c r="J349" s="36" t="str">
        <f t="shared" si="13"/>
        <v>Home (Forensic Science)Forensic Science EstablishmentCScientific Assistant (Psychology)S13 (35400 - 112400)</v>
      </c>
      <c r="K349" s="36"/>
      <c r="L349" s="36" t="s">
        <v>238</v>
      </c>
      <c r="M349" s="38" t="s">
        <v>1054</v>
      </c>
      <c r="N349" s="36" t="s">
        <v>283</v>
      </c>
      <c r="O349" s="6" t="s">
        <v>33</v>
      </c>
      <c r="P349" s="7">
        <v>1</v>
      </c>
      <c r="Q349" s="7" t="s">
        <v>34</v>
      </c>
      <c r="R349" s="8"/>
      <c r="S349" s="8"/>
      <c r="T349" s="7" t="s">
        <v>2395</v>
      </c>
      <c r="U349" s="36" t="s">
        <v>35</v>
      </c>
      <c r="V349" s="38"/>
      <c r="W349" s="36"/>
      <c r="X349" s="36"/>
      <c r="Y349" s="36"/>
      <c r="Z349" s="41"/>
      <c r="AA349" s="42" t="e">
        <f>_xlfn.XLOOKUP(C349,#REF!,#REF!,"",0,1)</f>
        <v>#REF!</v>
      </c>
      <c r="AB349" s="43">
        <f t="shared" si="15"/>
        <v>0</v>
      </c>
    </row>
    <row r="350" spans="1:28" ht="117.5" thickBot="1" x14ac:dyDescent="0.3">
      <c r="A350" s="36">
        <v>349</v>
      </c>
      <c r="B350" s="36" t="s">
        <v>24</v>
      </c>
      <c r="C350" s="36" t="s">
        <v>1008</v>
      </c>
      <c r="D350" s="37">
        <v>38164</v>
      </c>
      <c r="E350" s="36" t="s">
        <v>1009</v>
      </c>
      <c r="F350" s="36" t="s">
        <v>1010</v>
      </c>
      <c r="G350" s="36" t="s">
        <v>55</v>
      </c>
      <c r="H350" s="36" t="s">
        <v>1055</v>
      </c>
      <c r="I350" s="36" t="s">
        <v>44</v>
      </c>
      <c r="J350" s="36" t="str">
        <f t="shared" si="13"/>
        <v>Home (Forensic Science)Forensic Science EstablishmentCStenographer (H.G.)S15 (41800 - 132300)</v>
      </c>
      <c r="K350" s="36" t="s">
        <v>68</v>
      </c>
      <c r="L350" s="36" t="s">
        <v>231</v>
      </c>
      <c r="M350" s="38" t="s">
        <v>1056</v>
      </c>
      <c r="N350" s="36" t="s">
        <v>70</v>
      </c>
      <c r="O350" s="9"/>
      <c r="P350" s="7">
        <v>0</v>
      </c>
      <c r="Q350" s="7" t="s">
        <v>34</v>
      </c>
      <c r="R350" s="8"/>
      <c r="S350" s="8"/>
      <c r="T350" s="4" t="s">
        <v>3276</v>
      </c>
      <c r="U350" s="36" t="s">
        <v>35</v>
      </c>
      <c r="V350" s="38"/>
      <c r="W350" s="36"/>
      <c r="X350" s="36"/>
      <c r="Y350" s="36"/>
      <c r="Z350" s="41"/>
      <c r="AA350" s="42" t="e">
        <f>_xlfn.XLOOKUP(C350,#REF!,#REF!,"",0,1)</f>
        <v>#REF!</v>
      </c>
      <c r="AB350" s="43">
        <f t="shared" si="15"/>
        <v>0</v>
      </c>
    </row>
    <row r="351" spans="1:28" ht="91.5" thickBot="1" x14ac:dyDescent="0.3">
      <c r="A351" s="36">
        <v>350</v>
      </c>
      <c r="B351" s="36" t="s">
        <v>24</v>
      </c>
      <c r="C351" s="36" t="s">
        <v>1008</v>
      </c>
      <c r="D351" s="37">
        <v>38164</v>
      </c>
      <c r="E351" s="36" t="s">
        <v>1009</v>
      </c>
      <c r="F351" s="36" t="s">
        <v>1010</v>
      </c>
      <c r="G351" s="36" t="s">
        <v>55</v>
      </c>
      <c r="H351" s="36" t="s">
        <v>630</v>
      </c>
      <c r="I351" s="36" t="s">
        <v>74</v>
      </c>
      <c r="J351" s="36" t="str">
        <f t="shared" si="13"/>
        <v>Home (Forensic Science)Forensic Science EstablishmentCClerkTypistS6 (19900 - 63200)</v>
      </c>
      <c r="K351" s="36" t="s">
        <v>75</v>
      </c>
      <c r="L351" s="36" t="s">
        <v>228</v>
      </c>
      <c r="M351" s="38" t="s">
        <v>1057</v>
      </c>
      <c r="N351" s="36" t="s">
        <v>70</v>
      </c>
      <c r="O351" s="6" t="s">
        <v>83</v>
      </c>
      <c r="P351" s="7">
        <v>40</v>
      </c>
      <c r="Q351" s="7" t="s">
        <v>34</v>
      </c>
      <c r="R351" s="8"/>
      <c r="S351" s="8"/>
      <c r="T351" s="7" t="s">
        <v>61</v>
      </c>
      <c r="U351" s="36" t="s">
        <v>35</v>
      </c>
      <c r="V351" s="38" t="s">
        <v>125</v>
      </c>
      <c r="W351" s="36"/>
      <c r="X351" s="36" t="s">
        <v>77</v>
      </c>
      <c r="Y351" s="36" t="s">
        <v>78</v>
      </c>
      <c r="Z351" s="41"/>
      <c r="AA351" s="42" t="e">
        <f>_xlfn.XLOOKUP(C351,#REF!,#REF!,"",0,1)</f>
        <v>#REF!</v>
      </c>
      <c r="AB351" s="43">
        <f t="shared" si="15"/>
        <v>0</v>
      </c>
    </row>
    <row r="352" spans="1:28" ht="104.5" thickBot="1" x14ac:dyDescent="0.3">
      <c r="A352" s="36">
        <v>351</v>
      </c>
      <c r="B352" s="36" t="s">
        <v>24</v>
      </c>
      <c r="C352" s="36" t="s">
        <v>1008</v>
      </c>
      <c r="D352" s="37">
        <v>38164</v>
      </c>
      <c r="E352" s="36" t="s">
        <v>1009</v>
      </c>
      <c r="F352" s="36" t="s">
        <v>1010</v>
      </c>
      <c r="G352" s="36" t="s">
        <v>55</v>
      </c>
      <c r="H352" s="36" t="s">
        <v>362</v>
      </c>
      <c r="I352" s="36" t="s">
        <v>74</v>
      </c>
      <c r="J352" s="36" t="str">
        <f t="shared" si="13"/>
        <v>Home (Forensic Science)Forensic Science EstablishmentCTelephone OperatorS6 (19900 - 63200)</v>
      </c>
      <c r="K352" s="36" t="s">
        <v>611</v>
      </c>
      <c r="L352" s="36" t="s">
        <v>225</v>
      </c>
      <c r="M352" s="38" t="s">
        <v>1058</v>
      </c>
      <c r="N352" s="36" t="s">
        <v>199</v>
      </c>
      <c r="O352" s="6" t="s">
        <v>33</v>
      </c>
      <c r="P352" s="7">
        <v>1</v>
      </c>
      <c r="Q352" s="7" t="s">
        <v>34</v>
      </c>
      <c r="R352" s="8"/>
      <c r="S352" s="8"/>
      <c r="T352" s="7" t="s">
        <v>2395</v>
      </c>
      <c r="U352" s="36" t="s">
        <v>35</v>
      </c>
      <c r="V352" s="38" t="s">
        <v>612</v>
      </c>
      <c r="W352" s="36"/>
      <c r="X352" s="36" t="s">
        <v>613</v>
      </c>
      <c r="Y352" s="46">
        <v>31324</v>
      </c>
      <c r="Z352" s="41"/>
      <c r="AA352" s="42" t="e">
        <f>_xlfn.XLOOKUP(C352,#REF!,#REF!,"",0,1)</f>
        <v>#REF!</v>
      </c>
      <c r="AB352" s="43">
        <f t="shared" si="15"/>
        <v>0</v>
      </c>
    </row>
    <row r="353" spans="1:28" ht="117.5" thickBot="1" x14ac:dyDescent="0.3">
      <c r="A353" s="36">
        <v>352</v>
      </c>
      <c r="B353" s="36" t="s">
        <v>24</v>
      </c>
      <c r="C353" s="36" t="s">
        <v>1008</v>
      </c>
      <c r="D353" s="37">
        <v>38164</v>
      </c>
      <c r="E353" s="36" t="s">
        <v>1009</v>
      </c>
      <c r="F353" s="36" t="s">
        <v>1010</v>
      </c>
      <c r="G353" s="36" t="s">
        <v>55</v>
      </c>
      <c r="H353" s="36" t="s">
        <v>1059</v>
      </c>
      <c r="I353" s="36" t="s">
        <v>169</v>
      </c>
      <c r="J353" s="36" t="str">
        <f t="shared" si="13"/>
        <v>Home (Forensic Science)Forensic Science EstablishmentCJunior Laboratory AssistantS7 (21700 - 69100)</v>
      </c>
      <c r="K353" s="36" t="s">
        <v>377</v>
      </c>
      <c r="L353" s="36" t="s">
        <v>225</v>
      </c>
      <c r="M353" s="38" t="s">
        <v>1060</v>
      </c>
      <c r="N353" s="36" t="s">
        <v>379</v>
      </c>
      <c r="O353" s="6" t="s">
        <v>33</v>
      </c>
      <c r="P353" s="7">
        <v>18</v>
      </c>
      <c r="Q353" s="7" t="s">
        <v>34</v>
      </c>
      <c r="R353" s="8"/>
      <c r="S353" s="8"/>
      <c r="T353" s="7" t="s">
        <v>61</v>
      </c>
      <c r="U353" s="36" t="s">
        <v>35</v>
      </c>
      <c r="V353" s="38" t="s">
        <v>1060</v>
      </c>
      <c r="W353" s="36"/>
      <c r="X353" s="36" t="s">
        <v>1051</v>
      </c>
      <c r="Y353" s="36" t="s">
        <v>1052</v>
      </c>
      <c r="Z353" s="41"/>
      <c r="AA353" s="42" t="e">
        <f>_xlfn.XLOOKUP(C353,#REF!,#REF!,"",0,1)</f>
        <v>#REF!</v>
      </c>
      <c r="AB353" s="43">
        <f t="shared" si="15"/>
        <v>0</v>
      </c>
    </row>
    <row r="354" spans="1:28" ht="117.5" thickBot="1" x14ac:dyDescent="0.3">
      <c r="A354" s="36">
        <v>353</v>
      </c>
      <c r="B354" s="36" t="s">
        <v>24</v>
      </c>
      <c r="C354" s="36" t="s">
        <v>1008</v>
      </c>
      <c r="D354" s="37">
        <v>38164</v>
      </c>
      <c r="E354" s="36" t="s">
        <v>1009</v>
      </c>
      <c r="F354" s="36" t="s">
        <v>1010</v>
      </c>
      <c r="G354" s="36" t="s">
        <v>55</v>
      </c>
      <c r="H354" s="36" t="s">
        <v>1061</v>
      </c>
      <c r="I354" s="36" t="s">
        <v>80</v>
      </c>
      <c r="J354" s="36" t="str">
        <f t="shared" si="13"/>
        <v>Home (Forensic Science)Forensic Science EstablishmentCSenior Laboratory AssistantS8 (25500 - 81100)</v>
      </c>
      <c r="K354" s="36" t="s">
        <v>377</v>
      </c>
      <c r="L354" s="36" t="s">
        <v>225</v>
      </c>
      <c r="M354" s="38" t="s">
        <v>1062</v>
      </c>
      <c r="N354" s="36" t="s">
        <v>379</v>
      </c>
      <c r="O354" s="6" t="s">
        <v>33</v>
      </c>
      <c r="P354" s="7">
        <v>15</v>
      </c>
      <c r="Q354" s="7" t="s">
        <v>34</v>
      </c>
      <c r="R354" s="8"/>
      <c r="S354" s="8"/>
      <c r="T354" s="7" t="s">
        <v>61</v>
      </c>
      <c r="U354" s="36" t="s">
        <v>35</v>
      </c>
      <c r="V354" s="38" t="s">
        <v>1062</v>
      </c>
      <c r="W354" s="36"/>
      <c r="X354" s="36" t="s">
        <v>1051</v>
      </c>
      <c r="Y354" s="36" t="s">
        <v>1052</v>
      </c>
      <c r="Z354" s="41"/>
      <c r="AA354" s="42" t="e">
        <f>_xlfn.XLOOKUP(C354,#REF!,#REF!,"",0,1)</f>
        <v>#REF!</v>
      </c>
      <c r="AB354" s="43">
        <f t="shared" si="15"/>
        <v>0</v>
      </c>
    </row>
    <row r="355" spans="1:28" ht="104.5" thickBot="1" x14ac:dyDescent="0.3">
      <c r="A355" s="36">
        <v>354</v>
      </c>
      <c r="B355" s="36" t="s">
        <v>24</v>
      </c>
      <c r="C355" s="36" t="s">
        <v>1008</v>
      </c>
      <c r="D355" s="37">
        <v>38164</v>
      </c>
      <c r="E355" s="36" t="s">
        <v>1009</v>
      </c>
      <c r="F355" s="36" t="s">
        <v>1010</v>
      </c>
      <c r="G355" s="36" t="s">
        <v>55</v>
      </c>
      <c r="H355" s="36" t="s">
        <v>1063</v>
      </c>
      <c r="I355" s="36" t="s">
        <v>80</v>
      </c>
      <c r="J355" s="36" t="str">
        <f t="shared" si="13"/>
        <v>Home (Forensic Science)Forensic Science EstablishmentCSenior Clerk (Store)S8 (25500 - 81100)</v>
      </c>
      <c r="K355" s="36" t="s">
        <v>75</v>
      </c>
      <c r="L355" s="36" t="s">
        <v>228</v>
      </c>
      <c r="M355" s="38" t="s">
        <v>1064</v>
      </c>
      <c r="N355" s="36" t="s">
        <v>70</v>
      </c>
      <c r="O355" s="6" t="s">
        <v>33</v>
      </c>
      <c r="P355" s="7">
        <v>6</v>
      </c>
      <c r="Q355" s="7" t="s">
        <v>34</v>
      </c>
      <c r="R355" s="8"/>
      <c r="S355" s="8"/>
      <c r="T355" s="7" t="s">
        <v>61</v>
      </c>
      <c r="U355" s="36" t="s">
        <v>35</v>
      </c>
      <c r="V355" s="38" t="s">
        <v>1065</v>
      </c>
      <c r="W355" s="36"/>
      <c r="X355" s="36" t="s">
        <v>1066</v>
      </c>
      <c r="Y355" s="46">
        <v>26269</v>
      </c>
      <c r="Z355" s="41"/>
      <c r="AA355" s="42" t="e">
        <f>_xlfn.XLOOKUP(C355,#REF!,#REF!,"",0,1)</f>
        <v>#REF!</v>
      </c>
      <c r="AB355" s="43">
        <f t="shared" si="15"/>
        <v>0</v>
      </c>
    </row>
    <row r="356" spans="1:28" ht="130.5" thickBot="1" x14ac:dyDescent="0.3">
      <c r="A356" s="36">
        <v>355</v>
      </c>
      <c r="B356" s="36" t="s">
        <v>24</v>
      </c>
      <c r="C356" s="36" t="s">
        <v>263</v>
      </c>
      <c r="D356" s="37">
        <v>45440</v>
      </c>
      <c r="E356" s="36" t="s">
        <v>1067</v>
      </c>
      <c r="F356" s="36" t="s">
        <v>1068</v>
      </c>
      <c r="G356" s="36" t="s">
        <v>55</v>
      </c>
      <c r="H356" s="36" t="s">
        <v>1069</v>
      </c>
      <c r="I356" s="36" t="s">
        <v>276</v>
      </c>
      <c r="J356" s="36" t="str">
        <f t="shared" si="13"/>
        <v>Home (Home Guard, Prison, Civil Defense, Public Prosecution)Civil Defense EstablishmentCDemonstratorS10 (29200 - 92300)</v>
      </c>
      <c r="K356" s="36" t="s">
        <v>297</v>
      </c>
      <c r="L356" s="36" t="s">
        <v>225</v>
      </c>
      <c r="M356" s="38" t="s">
        <v>1070</v>
      </c>
      <c r="N356" s="36" t="s">
        <v>299</v>
      </c>
      <c r="O356" s="6" t="s">
        <v>33</v>
      </c>
      <c r="P356" s="7">
        <v>4</v>
      </c>
      <c r="Q356" s="7" t="s">
        <v>34</v>
      </c>
      <c r="R356" s="8"/>
      <c r="S356" s="8"/>
      <c r="T356" s="7" t="s">
        <v>35</v>
      </c>
      <c r="U356" s="36" t="s">
        <v>35</v>
      </c>
      <c r="V356" s="38" t="s">
        <v>1071</v>
      </c>
      <c r="W356" s="36"/>
      <c r="X356" s="36" t="s">
        <v>1072</v>
      </c>
      <c r="Y356" s="36" t="s">
        <v>1073</v>
      </c>
      <c r="Z356" s="41"/>
      <c r="AA356" s="42" t="e">
        <f>_xlfn.XLOOKUP(C356,#REF!,#REF!,"",0,1)</f>
        <v>#REF!</v>
      </c>
      <c r="AB356" s="43">
        <f t="shared" si="15"/>
        <v>0</v>
      </c>
    </row>
    <row r="357" spans="1:28" ht="130.5" thickBot="1" x14ac:dyDescent="0.3">
      <c r="A357" s="36">
        <v>356</v>
      </c>
      <c r="B357" s="36" t="s">
        <v>24</v>
      </c>
      <c r="C357" s="36" t="s">
        <v>263</v>
      </c>
      <c r="D357" s="37">
        <v>45440</v>
      </c>
      <c r="E357" s="36" t="s">
        <v>1067</v>
      </c>
      <c r="F357" s="36" t="s">
        <v>1068</v>
      </c>
      <c r="G357" s="36" t="s">
        <v>55</v>
      </c>
      <c r="H357" s="36" t="s">
        <v>1074</v>
      </c>
      <c r="I357" s="36" t="s">
        <v>276</v>
      </c>
      <c r="J357" s="36" t="str">
        <f t="shared" si="13"/>
        <v>Home (Home Guard, Prison, Civil Defense, Public Prosecution)Civil Defense EstablishmentCSubControl OfficerS10 (29200 - 92300)</v>
      </c>
      <c r="K357" s="36"/>
      <c r="L357" s="36" t="s">
        <v>238</v>
      </c>
      <c r="M357" s="38" t="s">
        <v>1075</v>
      </c>
      <c r="N357" s="36"/>
      <c r="O357" s="6" t="s">
        <v>33</v>
      </c>
      <c r="P357" s="7">
        <v>4</v>
      </c>
      <c r="Q357" s="7" t="s">
        <v>34</v>
      </c>
      <c r="R357" s="8"/>
      <c r="S357" s="8"/>
      <c r="T357" s="7" t="s">
        <v>35</v>
      </c>
      <c r="U357" s="36" t="s">
        <v>35</v>
      </c>
      <c r="V357" s="38"/>
      <c r="W357" s="36"/>
      <c r="X357" s="36"/>
      <c r="Y357" s="36"/>
      <c r="Z357" s="41"/>
      <c r="AA357" s="42" t="e">
        <f>_xlfn.XLOOKUP(C357,#REF!,#REF!,"",0,1)</f>
        <v>#REF!</v>
      </c>
      <c r="AB357" s="43">
        <f t="shared" si="15"/>
        <v>0</v>
      </c>
    </row>
    <row r="358" spans="1:28" ht="156.5" thickBot="1" x14ac:dyDescent="0.3">
      <c r="A358" s="36">
        <v>357</v>
      </c>
      <c r="B358" s="36" t="s">
        <v>24</v>
      </c>
      <c r="C358" s="36" t="s">
        <v>263</v>
      </c>
      <c r="D358" s="37">
        <v>45440</v>
      </c>
      <c r="E358" s="36" t="s">
        <v>1067</v>
      </c>
      <c r="F358" s="36" t="s">
        <v>1068</v>
      </c>
      <c r="G358" s="36" t="s">
        <v>55</v>
      </c>
      <c r="H358" s="36" t="s">
        <v>1076</v>
      </c>
      <c r="I358" s="36" t="s">
        <v>57</v>
      </c>
      <c r="J358" s="36" t="str">
        <f t="shared" si="13"/>
        <v>Home (Home Guard, Prison, Civil Defense, Public Prosecution)Civil Defense EstablishmentCAssistant Deputy ControllerS13 (35400 - 112400)</v>
      </c>
      <c r="K358" s="36" t="s">
        <v>197</v>
      </c>
      <c r="L358" s="36" t="s">
        <v>228</v>
      </c>
      <c r="M358" s="38" t="s">
        <v>1077</v>
      </c>
      <c r="N358" s="36" t="s">
        <v>60</v>
      </c>
      <c r="O358" s="6" t="s">
        <v>33</v>
      </c>
      <c r="P358" s="7">
        <v>36</v>
      </c>
      <c r="Q358" s="7" t="s">
        <v>34</v>
      </c>
      <c r="R358" s="8"/>
      <c r="S358" s="8"/>
      <c r="T358" s="7" t="s">
        <v>35</v>
      </c>
      <c r="U358" s="36" t="s">
        <v>35</v>
      </c>
      <c r="V358" s="38" t="s">
        <v>1078</v>
      </c>
      <c r="W358" s="36"/>
      <c r="X358" s="36" t="s">
        <v>1079</v>
      </c>
      <c r="Y358" s="46">
        <v>31691</v>
      </c>
      <c r="Z358" s="41"/>
      <c r="AA358" s="42" t="e">
        <f>_xlfn.XLOOKUP(C358,#REF!,#REF!,"",0,1)</f>
        <v>#REF!</v>
      </c>
      <c r="AB358" s="43">
        <f t="shared" si="15"/>
        <v>0</v>
      </c>
    </row>
    <row r="359" spans="1:28" ht="143.5" thickBot="1" x14ac:dyDescent="0.3">
      <c r="A359" s="36">
        <v>358</v>
      </c>
      <c r="B359" s="36" t="s">
        <v>24</v>
      </c>
      <c r="C359" s="36" t="s">
        <v>263</v>
      </c>
      <c r="D359" s="37">
        <v>45440</v>
      </c>
      <c r="E359" s="36" t="s">
        <v>1067</v>
      </c>
      <c r="F359" s="36" t="s">
        <v>1068</v>
      </c>
      <c r="G359" s="36" t="s">
        <v>55</v>
      </c>
      <c r="H359" s="36" t="s">
        <v>771</v>
      </c>
      <c r="I359" s="36" t="s">
        <v>67</v>
      </c>
      <c r="J359" s="36" t="str">
        <f t="shared" si="13"/>
        <v>Home (Home Guard, Prison, Civil Defense, Public Prosecution)Civil Defense EstablishmentCStenographer (L.G.)S14 (38600 - 122800)</v>
      </c>
      <c r="K359" s="36" t="s">
        <v>68</v>
      </c>
      <c r="L359" s="36" t="s">
        <v>231</v>
      </c>
      <c r="M359" s="38" t="s">
        <v>356</v>
      </c>
      <c r="N359" s="36" t="s">
        <v>70</v>
      </c>
      <c r="O359" s="6" t="s">
        <v>33</v>
      </c>
      <c r="P359" s="7">
        <v>5</v>
      </c>
      <c r="Q359" s="7" t="s">
        <v>100</v>
      </c>
      <c r="R359" s="7">
        <v>5</v>
      </c>
      <c r="S359" s="8"/>
      <c r="T359" s="4" t="s">
        <v>3276</v>
      </c>
      <c r="U359" s="36" t="s">
        <v>35</v>
      </c>
      <c r="V359" s="38"/>
      <c r="W359" s="36"/>
      <c r="X359" s="36"/>
      <c r="Y359" s="36"/>
      <c r="Z359" s="41"/>
      <c r="AA359" s="42" t="e">
        <f>_xlfn.XLOOKUP(C359,#REF!,#REF!,"",0,1)</f>
        <v>#REF!</v>
      </c>
      <c r="AB359" s="43">
        <f t="shared" si="15"/>
        <v>0</v>
      </c>
    </row>
    <row r="360" spans="1:28" ht="169.5" thickBot="1" x14ac:dyDescent="0.3">
      <c r="A360" s="36">
        <v>359</v>
      </c>
      <c r="B360" s="36" t="s">
        <v>24</v>
      </c>
      <c r="C360" s="36" t="s">
        <v>263</v>
      </c>
      <c r="D360" s="37">
        <v>45440</v>
      </c>
      <c r="E360" s="36" t="s">
        <v>1067</v>
      </c>
      <c r="F360" s="36" t="s">
        <v>1068</v>
      </c>
      <c r="G360" s="36" t="s">
        <v>65</v>
      </c>
      <c r="H360" s="36" t="s">
        <v>1055</v>
      </c>
      <c r="I360" s="36" t="s">
        <v>44</v>
      </c>
      <c r="J360" s="36" t="str">
        <f t="shared" si="13"/>
        <v>Home (Home Guard, Prison, Civil Defense, Public Prosecution)Civil Defense EstablishmentB (Non Gazetted)Stenographer (H.G.)S15 (41800 - 132300)</v>
      </c>
      <c r="K360" s="36" t="s">
        <v>68</v>
      </c>
      <c r="L360" s="36" t="s">
        <v>231</v>
      </c>
      <c r="M360" s="38" t="s">
        <v>356</v>
      </c>
      <c r="N360" s="36" t="s">
        <v>70</v>
      </c>
      <c r="O360" s="6" t="s">
        <v>33</v>
      </c>
      <c r="P360" s="7">
        <v>1</v>
      </c>
      <c r="Q360" s="7" t="s">
        <v>100</v>
      </c>
      <c r="R360" s="7">
        <v>1</v>
      </c>
      <c r="S360" s="8"/>
      <c r="T360" s="4" t="s">
        <v>3276</v>
      </c>
      <c r="U360" s="36" t="s">
        <v>35</v>
      </c>
      <c r="V360" s="38"/>
      <c r="W360" s="36"/>
      <c r="X360" s="36"/>
      <c r="Y360" s="36"/>
      <c r="Z360" s="41"/>
      <c r="AA360" s="42" t="e">
        <f>_xlfn.XLOOKUP(C360,#REF!,#REF!,"",0,1)</f>
        <v>#REF!</v>
      </c>
      <c r="AB360" s="43">
        <f t="shared" si="15"/>
        <v>0</v>
      </c>
    </row>
    <row r="361" spans="1:28" ht="117.5" thickBot="1" x14ac:dyDescent="0.3">
      <c r="A361" s="36">
        <v>360</v>
      </c>
      <c r="B361" s="36" t="s">
        <v>24</v>
      </c>
      <c r="C361" s="36" t="s">
        <v>263</v>
      </c>
      <c r="D361" s="37">
        <v>45440</v>
      </c>
      <c r="E361" s="36" t="s">
        <v>1067</v>
      </c>
      <c r="F361" s="36" t="s">
        <v>1068</v>
      </c>
      <c r="G361" s="36" t="s">
        <v>55</v>
      </c>
      <c r="H361" s="36" t="s">
        <v>630</v>
      </c>
      <c r="I361" s="36" t="s">
        <v>74</v>
      </c>
      <c r="J361" s="36" t="str">
        <f t="shared" si="13"/>
        <v>Home (Home Guard, Prison, Civil Defense, Public Prosecution)Civil Defense EstablishmentCClerkTypistS6 (19900 - 63200)</v>
      </c>
      <c r="K361" s="36" t="s">
        <v>75</v>
      </c>
      <c r="L361" s="36" t="s">
        <v>228</v>
      </c>
      <c r="M361" s="38" t="s">
        <v>356</v>
      </c>
      <c r="N361" s="36" t="s">
        <v>70</v>
      </c>
      <c r="O361" s="6" t="s">
        <v>33</v>
      </c>
      <c r="P361" s="7">
        <v>17</v>
      </c>
      <c r="Q361" s="7" t="s">
        <v>100</v>
      </c>
      <c r="R361" s="7">
        <v>17</v>
      </c>
      <c r="S361" s="8"/>
      <c r="T361" s="7" t="s">
        <v>35</v>
      </c>
      <c r="U361" s="36" t="s">
        <v>35</v>
      </c>
      <c r="V361" s="38" t="s">
        <v>125</v>
      </c>
      <c r="W361" s="36"/>
      <c r="X361" s="36" t="s">
        <v>77</v>
      </c>
      <c r="Y361" s="36" t="s">
        <v>78</v>
      </c>
      <c r="Z361" s="41"/>
      <c r="AA361" s="42" t="e">
        <f>_xlfn.XLOOKUP(C361,#REF!,#REF!,"",0,1)</f>
        <v>#REF!</v>
      </c>
      <c r="AB361" s="43">
        <f t="shared" si="15"/>
        <v>0</v>
      </c>
    </row>
    <row r="362" spans="1:28" ht="130.5" thickBot="1" x14ac:dyDescent="0.3">
      <c r="A362" s="36">
        <v>361</v>
      </c>
      <c r="B362" s="36" t="s">
        <v>24</v>
      </c>
      <c r="C362" s="36" t="s">
        <v>263</v>
      </c>
      <c r="D362" s="37">
        <v>45440</v>
      </c>
      <c r="E362" s="36" t="s">
        <v>1067</v>
      </c>
      <c r="F362" s="36" t="s">
        <v>1068</v>
      </c>
      <c r="G362" s="36" t="s">
        <v>55</v>
      </c>
      <c r="H362" s="36" t="s">
        <v>1080</v>
      </c>
      <c r="I362" s="36" t="s">
        <v>74</v>
      </c>
      <c r="J362" s="36" t="str">
        <f t="shared" si="13"/>
        <v>Home (Home Guard, Prison, Civil Defense, Public Prosecution)Civil Defense EstablishmentCFireman / RescuerS6 (19900 - 63200)</v>
      </c>
      <c r="K362" s="36" t="s">
        <v>297</v>
      </c>
      <c r="L362" s="36" t="s">
        <v>225</v>
      </c>
      <c r="M362" s="38" t="s">
        <v>1081</v>
      </c>
      <c r="N362" s="36" t="s">
        <v>299</v>
      </c>
      <c r="O362" s="6" t="s">
        <v>83</v>
      </c>
      <c r="P362" s="7">
        <v>50</v>
      </c>
      <c r="Q362" s="7" t="s">
        <v>34</v>
      </c>
      <c r="R362" s="8"/>
      <c r="S362" s="8"/>
      <c r="T362" s="7" t="s">
        <v>35</v>
      </c>
      <c r="U362" s="36" t="s">
        <v>35</v>
      </c>
      <c r="V362" s="38" t="s">
        <v>1081</v>
      </c>
      <c r="W362" s="36"/>
      <c r="X362" s="36" t="s">
        <v>150</v>
      </c>
      <c r="Y362" s="36" t="s">
        <v>150</v>
      </c>
      <c r="Z362" s="41"/>
      <c r="AA362" s="42" t="e">
        <f>_xlfn.XLOOKUP(C362,#REF!,#REF!,"",0,1)</f>
        <v>#REF!</v>
      </c>
      <c r="AB362" s="43">
        <f t="shared" si="15"/>
        <v>0</v>
      </c>
    </row>
    <row r="363" spans="1:28" ht="117.5" thickBot="1" x14ac:dyDescent="0.3">
      <c r="A363" s="36">
        <v>362</v>
      </c>
      <c r="B363" s="36" t="s">
        <v>24</v>
      </c>
      <c r="C363" s="36" t="s">
        <v>263</v>
      </c>
      <c r="D363" s="37">
        <v>45440</v>
      </c>
      <c r="E363" s="36" t="s">
        <v>1067</v>
      </c>
      <c r="F363" s="36" t="s">
        <v>1068</v>
      </c>
      <c r="G363" s="36" t="s">
        <v>55</v>
      </c>
      <c r="H363" s="36" t="s">
        <v>1082</v>
      </c>
      <c r="I363" s="36" t="s">
        <v>74</v>
      </c>
      <c r="J363" s="36" t="str">
        <f t="shared" si="13"/>
        <v>Home (Home Guard, Prison, Civil Defense, Public Prosecution)Civil Defense EstablishmentCStoremanS6 (19900 - 63200)</v>
      </c>
      <c r="K363" s="36" t="s">
        <v>288</v>
      </c>
      <c r="L363" s="36" t="s">
        <v>228</v>
      </c>
      <c r="M363" s="38" t="s">
        <v>356</v>
      </c>
      <c r="N363" s="36" t="s">
        <v>41</v>
      </c>
      <c r="O363" s="6" t="s">
        <v>33</v>
      </c>
      <c r="P363" s="7">
        <v>7</v>
      </c>
      <c r="Q363" s="7" t="s">
        <v>100</v>
      </c>
      <c r="R363" s="7">
        <v>7</v>
      </c>
      <c r="S363" s="8"/>
      <c r="T363" s="7" t="s">
        <v>35</v>
      </c>
      <c r="U363" s="36" t="s">
        <v>35</v>
      </c>
      <c r="V363" s="38" t="s">
        <v>1083</v>
      </c>
      <c r="W363" s="36"/>
      <c r="X363" s="36" t="s">
        <v>1084</v>
      </c>
      <c r="Y363" s="46">
        <v>44572</v>
      </c>
      <c r="Z363" s="41"/>
      <c r="AA363" s="42" t="e">
        <f>_xlfn.XLOOKUP(C363,#REF!,#REF!,"",0,1)</f>
        <v>#REF!</v>
      </c>
      <c r="AB363" s="43">
        <f t="shared" si="15"/>
        <v>0</v>
      </c>
    </row>
    <row r="364" spans="1:28" ht="117.5" thickBot="1" x14ac:dyDescent="0.3">
      <c r="A364" s="44">
        <v>363</v>
      </c>
      <c r="B364" s="44" t="s">
        <v>24</v>
      </c>
      <c r="C364" s="36" t="s">
        <v>263</v>
      </c>
      <c r="D364" s="37">
        <v>45440</v>
      </c>
      <c r="E364" s="44" t="s">
        <v>1067</v>
      </c>
      <c r="F364" s="44" t="s">
        <v>1068</v>
      </c>
      <c r="G364" s="44" t="s">
        <v>55</v>
      </c>
      <c r="H364" s="44" t="s">
        <v>1085</v>
      </c>
      <c r="I364" s="44" t="s">
        <v>74</v>
      </c>
      <c r="J364" s="44" t="str">
        <f t="shared" si="13"/>
        <v>Home (Home Guard, Prison, Civil Defense, Public Prosecution)Civil Defense EstablishmentCFirst AiderS6 (19900 - 63200)</v>
      </c>
      <c r="K364" s="44"/>
      <c r="L364" s="44" t="s">
        <v>261</v>
      </c>
      <c r="M364" s="45" t="s">
        <v>1086</v>
      </c>
      <c r="N364" s="44" t="s">
        <v>113</v>
      </c>
      <c r="O364" s="11" t="s">
        <v>33</v>
      </c>
      <c r="P364" s="12">
        <v>2</v>
      </c>
      <c r="Q364" s="12" t="s">
        <v>34</v>
      </c>
      <c r="R364" s="13"/>
      <c r="S364" s="13"/>
      <c r="T364" s="4" t="s">
        <v>3276</v>
      </c>
      <c r="U364" s="44" t="s">
        <v>35</v>
      </c>
      <c r="V364" s="45"/>
      <c r="W364" s="44"/>
      <c r="X364" s="44"/>
      <c r="Y364" s="44"/>
      <c r="Z364" s="41"/>
      <c r="AA364" s="42" t="e">
        <f>_xlfn.XLOOKUP(C364,#REF!,#REF!,"",0,1)</f>
        <v>#REF!</v>
      </c>
      <c r="AB364" s="43">
        <f t="shared" si="15"/>
        <v>0</v>
      </c>
    </row>
    <row r="365" spans="1:28" ht="130.5" thickBot="1" x14ac:dyDescent="0.3">
      <c r="A365" s="44">
        <v>364</v>
      </c>
      <c r="B365" s="44" t="s">
        <v>24</v>
      </c>
      <c r="C365" s="36" t="s">
        <v>263</v>
      </c>
      <c r="D365" s="37">
        <v>45440</v>
      </c>
      <c r="E365" s="44" t="s">
        <v>1067</v>
      </c>
      <c r="F365" s="44" t="s">
        <v>1068</v>
      </c>
      <c r="G365" s="44" t="s">
        <v>55</v>
      </c>
      <c r="H365" s="44" t="s">
        <v>362</v>
      </c>
      <c r="I365" s="44" t="s">
        <v>74</v>
      </c>
      <c r="J365" s="44" t="str">
        <f t="shared" si="13"/>
        <v>Home (Home Guard, Prison, Civil Defense, Public Prosecution)Civil Defense EstablishmentCTelephone OperatorS6 (19900 - 63200)</v>
      </c>
      <c r="K365" s="44"/>
      <c r="L365" s="44" t="s">
        <v>261</v>
      </c>
      <c r="M365" s="45" t="s">
        <v>1087</v>
      </c>
      <c r="N365" s="44" t="s">
        <v>113</v>
      </c>
      <c r="O365" s="11" t="s">
        <v>33</v>
      </c>
      <c r="P365" s="12"/>
      <c r="Q365" s="12" t="s">
        <v>34</v>
      </c>
      <c r="R365" s="13"/>
      <c r="S365" s="13"/>
      <c r="T365" s="4" t="s">
        <v>3276</v>
      </c>
      <c r="U365" s="44" t="s">
        <v>35</v>
      </c>
      <c r="V365" s="45"/>
      <c r="W365" s="44"/>
      <c r="X365" s="44"/>
      <c r="Y365" s="44"/>
      <c r="Z365" s="41"/>
      <c r="AA365" s="42" t="e">
        <f>_xlfn.XLOOKUP(C365,#REF!,#REF!,"",0,1)</f>
        <v>#REF!</v>
      </c>
      <c r="AB365" s="43">
        <f t="shared" si="15"/>
        <v>0</v>
      </c>
    </row>
    <row r="366" spans="1:28" ht="143.5" thickBot="1" x14ac:dyDescent="0.3">
      <c r="A366" s="44">
        <v>365</v>
      </c>
      <c r="B366" s="44" t="s">
        <v>24</v>
      </c>
      <c r="C366" s="36" t="s">
        <v>263</v>
      </c>
      <c r="D366" s="37">
        <v>45440</v>
      </c>
      <c r="E366" s="44" t="s">
        <v>1067</v>
      </c>
      <c r="F366" s="44" t="s">
        <v>1068</v>
      </c>
      <c r="G366" s="44" t="s">
        <v>55</v>
      </c>
      <c r="H366" s="44" t="s">
        <v>1088</v>
      </c>
      <c r="I366" s="44" t="s">
        <v>169</v>
      </c>
      <c r="J366" s="44" t="str">
        <f t="shared" si="13"/>
        <v>Home (Home Guard, Prison, Civil Defense, Public Prosecution)Civil Defense EstablishmentCElectrician (Junior Grade)S7 (21700 - 69100)</v>
      </c>
      <c r="K366" s="44"/>
      <c r="L366" s="44" t="s">
        <v>261</v>
      </c>
      <c r="M366" s="45" t="s">
        <v>1089</v>
      </c>
      <c r="N366" s="44" t="s">
        <v>113</v>
      </c>
      <c r="O366" s="11" t="s">
        <v>83</v>
      </c>
      <c r="P366" s="12">
        <v>2</v>
      </c>
      <c r="Q366" s="12" t="s">
        <v>34</v>
      </c>
      <c r="R366" s="13"/>
      <c r="S366" s="13"/>
      <c r="T366" s="4" t="s">
        <v>3276</v>
      </c>
      <c r="U366" s="44" t="s">
        <v>35</v>
      </c>
      <c r="V366" s="45"/>
      <c r="W366" s="44"/>
      <c r="X366" s="44"/>
      <c r="Y366" s="44"/>
      <c r="Z366" s="41"/>
      <c r="AA366" s="42" t="e">
        <f>_xlfn.XLOOKUP(C366,#REF!,#REF!,"",0,1)</f>
        <v>#REF!</v>
      </c>
      <c r="AB366" s="43">
        <f t="shared" si="15"/>
        <v>0</v>
      </c>
    </row>
    <row r="367" spans="1:28" ht="130.5" thickBot="1" x14ac:dyDescent="0.3">
      <c r="A367" s="44">
        <v>366</v>
      </c>
      <c r="B367" s="44" t="s">
        <v>24</v>
      </c>
      <c r="C367" s="36" t="s">
        <v>263</v>
      </c>
      <c r="D367" s="37">
        <v>45440</v>
      </c>
      <c r="E367" s="44" t="s">
        <v>1067</v>
      </c>
      <c r="F367" s="44" t="s">
        <v>1068</v>
      </c>
      <c r="G367" s="44" t="s">
        <v>55</v>
      </c>
      <c r="H367" s="44" t="s">
        <v>1090</v>
      </c>
      <c r="I367" s="44" t="s">
        <v>169</v>
      </c>
      <c r="J367" s="44" t="str">
        <f t="shared" si="13"/>
        <v>Home (Home Guard, Prison, Civil Defense, Public Prosecution)Civil Defense EstablishmentCAssistant Fitter MechanicS7 (21700 - 69100)</v>
      </c>
      <c r="K367" s="44"/>
      <c r="L367" s="44" t="s">
        <v>261</v>
      </c>
      <c r="M367" s="45" t="s">
        <v>1091</v>
      </c>
      <c r="N367" s="44" t="s">
        <v>113</v>
      </c>
      <c r="O367" s="11" t="s">
        <v>83</v>
      </c>
      <c r="P367" s="12">
        <v>2</v>
      </c>
      <c r="Q367" s="12" t="s">
        <v>34</v>
      </c>
      <c r="R367" s="13"/>
      <c r="S367" s="13"/>
      <c r="T367" s="4" t="s">
        <v>3276</v>
      </c>
      <c r="U367" s="44" t="s">
        <v>35</v>
      </c>
      <c r="V367" s="45"/>
      <c r="W367" s="44"/>
      <c r="X367" s="44"/>
      <c r="Y367" s="44"/>
      <c r="Z367" s="41"/>
      <c r="AA367" s="42" t="e">
        <f>_xlfn.XLOOKUP(C367,#REF!,#REF!,"",0,1)</f>
        <v>#REF!</v>
      </c>
      <c r="AB367" s="43">
        <f t="shared" si="15"/>
        <v>0</v>
      </c>
    </row>
    <row r="368" spans="1:28" ht="130.5" thickBot="1" x14ac:dyDescent="0.3">
      <c r="A368" s="44">
        <v>367</v>
      </c>
      <c r="B368" s="44" t="s">
        <v>24</v>
      </c>
      <c r="C368" s="36" t="s">
        <v>263</v>
      </c>
      <c r="D368" s="37">
        <v>45440</v>
      </c>
      <c r="E368" s="44" t="s">
        <v>1067</v>
      </c>
      <c r="F368" s="44" t="s">
        <v>1068</v>
      </c>
      <c r="G368" s="44" t="s">
        <v>55</v>
      </c>
      <c r="H368" s="44" t="s">
        <v>1092</v>
      </c>
      <c r="I368" s="44" t="s">
        <v>169</v>
      </c>
      <c r="J368" s="44" t="str">
        <f t="shared" si="13"/>
        <v>Home (Home Guard, Prison, Civil Defense, Public Prosecution)Civil Defense EstablishmentCAssistant Auto ElectricianS7 (21700 - 69100)</v>
      </c>
      <c r="K368" s="44"/>
      <c r="L368" s="44" t="s">
        <v>261</v>
      </c>
      <c r="M368" s="45" t="s">
        <v>1093</v>
      </c>
      <c r="N368" s="44" t="s">
        <v>113</v>
      </c>
      <c r="O368" s="11" t="s">
        <v>83</v>
      </c>
      <c r="P368" s="12">
        <v>1</v>
      </c>
      <c r="Q368" s="12" t="s">
        <v>34</v>
      </c>
      <c r="R368" s="13"/>
      <c r="S368" s="13"/>
      <c r="T368" s="4" t="s">
        <v>3276</v>
      </c>
      <c r="U368" s="44" t="s">
        <v>35</v>
      </c>
      <c r="V368" s="45"/>
      <c r="W368" s="44"/>
      <c r="X368" s="44"/>
      <c r="Y368" s="44"/>
      <c r="Z368" s="41"/>
      <c r="AA368" s="42" t="e">
        <f>_xlfn.XLOOKUP(C368,#REF!,#REF!,"",0,1)</f>
        <v>#REF!</v>
      </c>
      <c r="AB368" s="43">
        <f t="shared" si="15"/>
        <v>0</v>
      </c>
    </row>
    <row r="369" spans="1:28" ht="130.5" thickBot="1" x14ac:dyDescent="0.3">
      <c r="A369" s="36">
        <v>368</v>
      </c>
      <c r="B369" s="36" t="s">
        <v>24</v>
      </c>
      <c r="C369" s="36" t="s">
        <v>263</v>
      </c>
      <c r="D369" s="37">
        <v>45440</v>
      </c>
      <c r="E369" s="36" t="s">
        <v>1067</v>
      </c>
      <c r="F369" s="36" t="s">
        <v>1068</v>
      </c>
      <c r="G369" s="36" t="s">
        <v>55</v>
      </c>
      <c r="H369" s="36" t="s">
        <v>362</v>
      </c>
      <c r="I369" s="36" t="s">
        <v>169</v>
      </c>
      <c r="J369" s="36" t="str">
        <f t="shared" si="13"/>
        <v>Home (Home Guard, Prison, Civil Defense, Public Prosecution)Civil Defense EstablishmentCTelephone OperatorS7 (21700 - 69100)</v>
      </c>
      <c r="K369" s="36" t="s">
        <v>611</v>
      </c>
      <c r="L369" s="36" t="s">
        <v>225</v>
      </c>
      <c r="M369" s="38" t="s">
        <v>1094</v>
      </c>
      <c r="N369" s="36" t="s">
        <v>199</v>
      </c>
      <c r="O369" s="6" t="s">
        <v>33</v>
      </c>
      <c r="P369" s="7">
        <v>4</v>
      </c>
      <c r="Q369" s="7" t="s">
        <v>34</v>
      </c>
      <c r="R369" s="8"/>
      <c r="S369" s="8"/>
      <c r="T369" s="7" t="s">
        <v>35</v>
      </c>
      <c r="U369" s="36" t="s">
        <v>35</v>
      </c>
      <c r="V369" s="38" t="s">
        <v>1095</v>
      </c>
      <c r="W369" s="36"/>
      <c r="X369" s="36" t="s">
        <v>1096</v>
      </c>
      <c r="Y369" s="36" t="s">
        <v>1097</v>
      </c>
      <c r="Z369" s="41"/>
      <c r="AA369" s="42" t="e">
        <f>_xlfn.XLOOKUP(C369,#REF!,#REF!,"",0,1)</f>
        <v>#REF!</v>
      </c>
      <c r="AB369" s="43">
        <f t="shared" si="15"/>
        <v>0</v>
      </c>
    </row>
    <row r="370" spans="1:28" ht="130.5" thickBot="1" x14ac:dyDescent="0.3">
      <c r="A370" s="36">
        <v>369</v>
      </c>
      <c r="B370" s="36" t="s">
        <v>494</v>
      </c>
      <c r="C370" s="36" t="s">
        <v>263</v>
      </c>
      <c r="D370" s="37">
        <v>45440</v>
      </c>
      <c r="E370" s="36" t="s">
        <v>1067</v>
      </c>
      <c r="F370" s="36" t="s">
        <v>1068</v>
      </c>
      <c r="G370" s="36" t="s">
        <v>55</v>
      </c>
      <c r="H370" s="36" t="s">
        <v>1098</v>
      </c>
      <c r="I370" s="36" t="s">
        <v>169</v>
      </c>
      <c r="J370" s="36" t="str">
        <f t="shared" si="13"/>
        <v>Home (Home Guard, Prison, Civil Defense, Public Prosecution)Civil Defense EstablishmentCDriver OperatorS7 (21700 - 69100)</v>
      </c>
      <c r="K370" s="36"/>
      <c r="L370" s="36"/>
      <c r="M370" s="38" t="s">
        <v>1099</v>
      </c>
      <c r="N370" s="36" t="s">
        <v>496</v>
      </c>
      <c r="O370" s="6" t="s">
        <v>33</v>
      </c>
      <c r="P370" s="7">
        <v>5</v>
      </c>
      <c r="Q370" s="7" t="s">
        <v>34</v>
      </c>
      <c r="R370" s="8"/>
      <c r="S370" s="8"/>
      <c r="T370" s="4" t="s">
        <v>3276</v>
      </c>
      <c r="U370" s="36" t="s">
        <v>35</v>
      </c>
      <c r="V370" s="38"/>
      <c r="W370" s="36"/>
      <c r="X370" s="36"/>
      <c r="Y370" s="36"/>
      <c r="Z370" s="41"/>
      <c r="AA370" s="42" t="e">
        <f>_xlfn.XLOOKUP(C370,#REF!,#REF!,"",0,1)</f>
        <v>#REF!</v>
      </c>
      <c r="AB370" s="43">
        <f t="shared" si="15"/>
        <v>0</v>
      </c>
    </row>
    <row r="371" spans="1:28" ht="130.5" thickBot="1" x14ac:dyDescent="0.3">
      <c r="A371" s="36">
        <v>370</v>
      </c>
      <c r="B371" s="36" t="s">
        <v>584</v>
      </c>
      <c r="C371" s="36" t="s">
        <v>263</v>
      </c>
      <c r="D371" s="37">
        <v>45440</v>
      </c>
      <c r="E371" s="36" t="s">
        <v>1067</v>
      </c>
      <c r="F371" s="36" t="s">
        <v>1068</v>
      </c>
      <c r="G371" s="36" t="s">
        <v>55</v>
      </c>
      <c r="H371" s="36" t="s">
        <v>1100</v>
      </c>
      <c r="I371" s="36" t="s">
        <v>169</v>
      </c>
      <c r="J371" s="36" t="str">
        <f t="shared" si="13"/>
        <v>Home (Home Guard, Prison, Civil Defense, Public Prosecution)Civil Defense EstablishmentCFire / Rescue LeaderS7 (21700 - 69100)</v>
      </c>
      <c r="K371" s="36"/>
      <c r="L371" s="36"/>
      <c r="M371" s="38" t="s">
        <v>1101</v>
      </c>
      <c r="N371" s="36"/>
      <c r="O371" s="6" t="s">
        <v>33</v>
      </c>
      <c r="P371" s="7">
        <v>5</v>
      </c>
      <c r="Q371" s="7" t="s">
        <v>34</v>
      </c>
      <c r="R371" s="8"/>
      <c r="S371" s="8"/>
      <c r="T371" s="4" t="s">
        <v>3276</v>
      </c>
      <c r="U371" s="36" t="s">
        <v>35</v>
      </c>
      <c r="V371" s="38"/>
      <c r="W371" s="36"/>
      <c r="X371" s="36"/>
      <c r="Y371" s="36"/>
      <c r="Z371" s="41"/>
      <c r="AA371" s="42" t="e">
        <f>_xlfn.XLOOKUP(C371,#REF!,#REF!,"",0,1)</f>
        <v>#REF!</v>
      </c>
      <c r="AB371" s="43">
        <f t="shared" si="15"/>
        <v>0</v>
      </c>
    </row>
    <row r="372" spans="1:28" ht="130.5" thickBot="1" x14ac:dyDescent="0.3">
      <c r="A372" s="36">
        <v>371</v>
      </c>
      <c r="B372" s="36" t="s">
        <v>24</v>
      </c>
      <c r="C372" s="36" t="s">
        <v>263</v>
      </c>
      <c r="D372" s="37">
        <v>45440</v>
      </c>
      <c r="E372" s="36" t="s">
        <v>1067</v>
      </c>
      <c r="F372" s="36" t="s">
        <v>1068</v>
      </c>
      <c r="G372" s="36" t="s">
        <v>55</v>
      </c>
      <c r="H372" s="36" t="s">
        <v>1102</v>
      </c>
      <c r="I372" s="36" t="s">
        <v>80</v>
      </c>
      <c r="J372" s="36" t="str">
        <f t="shared" si="13"/>
        <v>Home (Home Guard, Prison, Civil Defense, Public Prosecution)Civil Defense EstablishmentCRadio Wireless OperatorS8 (25500 - 81100)</v>
      </c>
      <c r="K372" s="36" t="s">
        <v>127</v>
      </c>
      <c r="L372" s="36" t="s">
        <v>225</v>
      </c>
      <c r="M372" s="38" t="s">
        <v>1103</v>
      </c>
      <c r="N372" s="36" t="s">
        <v>129</v>
      </c>
      <c r="O372" s="6" t="s">
        <v>33</v>
      </c>
      <c r="P372" s="7"/>
      <c r="Q372" s="7" t="s">
        <v>34</v>
      </c>
      <c r="R372" s="8"/>
      <c r="S372" s="8"/>
      <c r="T372" s="7" t="s">
        <v>35</v>
      </c>
      <c r="U372" s="36" t="s">
        <v>35</v>
      </c>
      <c r="V372" s="38" t="s">
        <v>1103</v>
      </c>
      <c r="W372" s="36"/>
      <c r="X372" s="36" t="s">
        <v>1104</v>
      </c>
      <c r="Y372" s="36" t="s">
        <v>1105</v>
      </c>
      <c r="Z372" s="41"/>
      <c r="AA372" s="42" t="e">
        <f>_xlfn.XLOOKUP(C372,#REF!,#REF!,"",0,1)</f>
        <v>#REF!</v>
      </c>
      <c r="AB372" s="43">
        <f t="shared" si="15"/>
        <v>0</v>
      </c>
    </row>
    <row r="373" spans="1:28" ht="130.5" thickBot="1" x14ac:dyDescent="0.3">
      <c r="A373" s="36">
        <v>372</v>
      </c>
      <c r="B373" s="36" t="s">
        <v>24</v>
      </c>
      <c r="C373" s="36" t="s">
        <v>263</v>
      </c>
      <c r="D373" s="37">
        <v>45440</v>
      </c>
      <c r="E373" s="36" t="s">
        <v>1067</v>
      </c>
      <c r="F373" s="36" t="s">
        <v>1068</v>
      </c>
      <c r="G373" s="36" t="s">
        <v>55</v>
      </c>
      <c r="H373" s="36" t="s">
        <v>1106</v>
      </c>
      <c r="I373" s="36" t="s">
        <v>80</v>
      </c>
      <c r="J373" s="36" t="str">
        <f t="shared" si="13"/>
        <v>Home (Home Guard, Prison, Civil Defense, Public Prosecution)Civil Defense EstablishmentCAuto ElectricianS8 (25500 - 81100)</v>
      </c>
      <c r="K373" s="36" t="s">
        <v>127</v>
      </c>
      <c r="L373" s="36" t="s">
        <v>225</v>
      </c>
      <c r="M373" s="38" t="s">
        <v>1107</v>
      </c>
      <c r="N373" s="36" t="s">
        <v>129</v>
      </c>
      <c r="O373" s="6" t="s">
        <v>83</v>
      </c>
      <c r="P373" s="7">
        <v>1</v>
      </c>
      <c r="Q373" s="7" t="s">
        <v>34</v>
      </c>
      <c r="R373" s="8"/>
      <c r="S373" s="8"/>
      <c r="T373" s="7" t="s">
        <v>2395</v>
      </c>
      <c r="U373" s="36" t="s">
        <v>35</v>
      </c>
      <c r="V373" s="38" t="s">
        <v>1108</v>
      </c>
      <c r="W373" s="36"/>
      <c r="X373" s="36" t="s">
        <v>1109</v>
      </c>
      <c r="Y373" s="36" t="s">
        <v>1110</v>
      </c>
      <c r="Z373" s="41"/>
      <c r="AA373" s="42" t="e">
        <f>_xlfn.XLOOKUP(C373,#REF!,#REF!,"",0,1)</f>
        <v>#REF!</v>
      </c>
      <c r="AB373" s="43">
        <f t="shared" si="15"/>
        <v>0</v>
      </c>
    </row>
    <row r="374" spans="1:28" ht="117.5" thickBot="1" x14ac:dyDescent="0.3">
      <c r="A374" s="36">
        <v>373</v>
      </c>
      <c r="B374" s="36" t="s">
        <v>24</v>
      </c>
      <c r="C374" s="36" t="s">
        <v>263</v>
      </c>
      <c r="D374" s="37">
        <v>45440</v>
      </c>
      <c r="E374" s="36" t="s">
        <v>1067</v>
      </c>
      <c r="F374" s="36" t="s">
        <v>1068</v>
      </c>
      <c r="G374" s="36" t="s">
        <v>55</v>
      </c>
      <c r="H374" s="36" t="s">
        <v>1111</v>
      </c>
      <c r="I374" s="36" t="s">
        <v>80</v>
      </c>
      <c r="J374" s="36" t="str">
        <f t="shared" si="13"/>
        <v>Home (Home Guard, Prison, Civil Defense, Public Prosecution)Civil Defense EstablishmentCWelderS8 (25500 - 81100)</v>
      </c>
      <c r="K374" s="36" t="s">
        <v>127</v>
      </c>
      <c r="L374" s="36" t="s">
        <v>225</v>
      </c>
      <c r="M374" s="38" t="s">
        <v>1112</v>
      </c>
      <c r="N374" s="36" t="s">
        <v>129</v>
      </c>
      <c r="O374" s="6" t="s">
        <v>83</v>
      </c>
      <c r="P374" s="7"/>
      <c r="Q374" s="7" t="s">
        <v>34</v>
      </c>
      <c r="R374" s="8"/>
      <c r="S374" s="8"/>
      <c r="T374" s="7" t="s">
        <v>35</v>
      </c>
      <c r="U374" s="36" t="s">
        <v>35</v>
      </c>
      <c r="V374" s="38" t="s">
        <v>1113</v>
      </c>
      <c r="W374" s="36"/>
      <c r="X374" s="36" t="s">
        <v>1109</v>
      </c>
      <c r="Y374" s="36" t="s">
        <v>1110</v>
      </c>
      <c r="Z374" s="41"/>
      <c r="AA374" s="42" t="e">
        <f>_xlfn.XLOOKUP(C374,#REF!,#REF!,"",0,1)</f>
        <v>#REF!</v>
      </c>
      <c r="AB374" s="43">
        <f t="shared" si="15"/>
        <v>0</v>
      </c>
    </row>
    <row r="375" spans="1:28" ht="143.5" thickBot="1" x14ac:dyDescent="0.3">
      <c r="A375" s="44">
        <v>374</v>
      </c>
      <c r="B375" s="44" t="s">
        <v>24</v>
      </c>
      <c r="C375" s="36" t="s">
        <v>263</v>
      </c>
      <c r="D375" s="37">
        <v>45440</v>
      </c>
      <c r="E375" s="44" t="s">
        <v>1067</v>
      </c>
      <c r="F375" s="44" t="s">
        <v>1068</v>
      </c>
      <c r="G375" s="44" t="s">
        <v>55</v>
      </c>
      <c r="H375" s="44" t="s">
        <v>1114</v>
      </c>
      <c r="I375" s="44" t="s">
        <v>80</v>
      </c>
      <c r="J375" s="44" t="str">
        <f t="shared" si="13"/>
        <v>Home (Home Guard, Prison, Civil Defense, Public Prosecution)Civil Defense EstablishmentCTech. Assistant, Grade IIS8 (25500 - 81100)</v>
      </c>
      <c r="K375" s="44"/>
      <c r="L375" s="44" t="s">
        <v>261</v>
      </c>
      <c r="M375" s="45" t="s">
        <v>1115</v>
      </c>
      <c r="N375" s="44" t="s">
        <v>113</v>
      </c>
      <c r="O375" s="11" t="s">
        <v>83</v>
      </c>
      <c r="P375" s="12">
        <v>1</v>
      </c>
      <c r="Q375" s="12" t="s">
        <v>34</v>
      </c>
      <c r="R375" s="13"/>
      <c r="S375" s="13"/>
      <c r="T375" s="4" t="s">
        <v>3276</v>
      </c>
      <c r="U375" s="44" t="s">
        <v>35</v>
      </c>
      <c r="V375" s="45"/>
      <c r="W375" s="44"/>
      <c r="X375" s="44"/>
      <c r="Y375" s="44"/>
      <c r="Z375" s="41"/>
      <c r="AA375" s="42" t="e">
        <f>_xlfn.XLOOKUP(C375,#REF!,#REF!,"",0,1)</f>
        <v>#REF!</v>
      </c>
      <c r="AB375" s="43">
        <f t="shared" si="15"/>
        <v>0</v>
      </c>
    </row>
    <row r="376" spans="1:28" ht="130.5" thickBot="1" x14ac:dyDescent="0.3">
      <c r="A376" s="44">
        <v>375</v>
      </c>
      <c r="B376" s="44" t="s">
        <v>24</v>
      </c>
      <c r="C376" s="36" t="s">
        <v>263</v>
      </c>
      <c r="D376" s="37">
        <v>45440</v>
      </c>
      <c r="E376" s="44" t="s">
        <v>1067</v>
      </c>
      <c r="F376" s="44" t="s">
        <v>1068</v>
      </c>
      <c r="G376" s="44" t="s">
        <v>55</v>
      </c>
      <c r="H376" s="44" t="s">
        <v>1116</v>
      </c>
      <c r="I376" s="44" t="s">
        <v>80</v>
      </c>
      <c r="J376" s="44" t="str">
        <f t="shared" si="13"/>
        <v>Home (Home Guard, Prison, Civil Defense, Public Prosecution)Civil Defense EstablishmentCRadio Wireless MechanicS8 (25500 - 81100)</v>
      </c>
      <c r="K376" s="44"/>
      <c r="L376" s="44" t="s">
        <v>261</v>
      </c>
      <c r="M376" s="45" t="s">
        <v>1117</v>
      </c>
      <c r="N376" s="44" t="s">
        <v>113</v>
      </c>
      <c r="O376" s="11" t="s">
        <v>83</v>
      </c>
      <c r="P376" s="12">
        <v>6</v>
      </c>
      <c r="Q376" s="12" t="s">
        <v>34</v>
      </c>
      <c r="R376" s="13"/>
      <c r="S376" s="13"/>
      <c r="T376" s="4" t="s">
        <v>3276</v>
      </c>
      <c r="U376" s="44" t="s">
        <v>35</v>
      </c>
      <c r="V376" s="45"/>
      <c r="W376" s="44"/>
      <c r="X376" s="44"/>
      <c r="Y376" s="44"/>
      <c r="Z376" s="41"/>
      <c r="AA376" s="42" t="e">
        <f>_xlfn.XLOOKUP(C376,#REF!,#REF!,"",0,1)</f>
        <v>#REF!</v>
      </c>
      <c r="AB376" s="43">
        <f t="shared" si="15"/>
        <v>0</v>
      </c>
    </row>
    <row r="377" spans="1:28" ht="143.5" thickBot="1" x14ac:dyDescent="0.3">
      <c r="A377" s="44">
        <v>376</v>
      </c>
      <c r="B377" s="44" t="s">
        <v>24</v>
      </c>
      <c r="C377" s="36" t="s">
        <v>263</v>
      </c>
      <c r="D377" s="37">
        <v>45440</v>
      </c>
      <c r="E377" s="44" t="s">
        <v>1067</v>
      </c>
      <c r="F377" s="44" t="s">
        <v>1068</v>
      </c>
      <c r="G377" s="44" t="s">
        <v>55</v>
      </c>
      <c r="H377" s="44" t="s">
        <v>1118</v>
      </c>
      <c r="I377" s="44" t="s">
        <v>80</v>
      </c>
      <c r="J377" s="44" t="str">
        <f t="shared" si="13"/>
        <v>Home (Home Guard, Prison, Civil Defense, Public Prosecution)Civil Defense EstablishmentCPrinting ForemancumOperatorS8 (25500 - 81100)</v>
      </c>
      <c r="K377" s="44"/>
      <c r="L377" s="44" t="s">
        <v>261</v>
      </c>
      <c r="M377" s="45" t="s">
        <v>1119</v>
      </c>
      <c r="N377" s="44" t="s">
        <v>113</v>
      </c>
      <c r="O377" s="11" t="s">
        <v>33</v>
      </c>
      <c r="P377" s="12">
        <v>1</v>
      </c>
      <c r="Q377" s="12" t="s">
        <v>34</v>
      </c>
      <c r="R377" s="13"/>
      <c r="S377" s="13"/>
      <c r="T377" s="4" t="s">
        <v>3276</v>
      </c>
      <c r="U377" s="44" t="s">
        <v>35</v>
      </c>
      <c r="V377" s="45"/>
      <c r="W377" s="44"/>
      <c r="X377" s="44"/>
      <c r="Y377" s="44"/>
      <c r="Z377" s="41"/>
      <c r="AA377" s="42" t="e">
        <f>_xlfn.XLOOKUP(C377,#REF!,#REF!,"",0,1)</f>
        <v>#REF!</v>
      </c>
      <c r="AB377" s="43">
        <f t="shared" si="15"/>
        <v>0</v>
      </c>
    </row>
    <row r="378" spans="1:28" ht="130.5" thickBot="1" x14ac:dyDescent="0.3">
      <c r="A378" s="36">
        <v>377</v>
      </c>
      <c r="B378" s="36" t="s">
        <v>584</v>
      </c>
      <c r="C378" s="36" t="s">
        <v>263</v>
      </c>
      <c r="D378" s="37">
        <v>45440</v>
      </c>
      <c r="E378" s="36" t="s">
        <v>1067</v>
      </c>
      <c r="F378" s="36" t="s">
        <v>1068</v>
      </c>
      <c r="G378" s="36" t="s">
        <v>55</v>
      </c>
      <c r="H378" s="36" t="s">
        <v>1120</v>
      </c>
      <c r="I378" s="36" t="s">
        <v>80</v>
      </c>
      <c r="J378" s="36" t="str">
        <f t="shared" si="13"/>
        <v>Home (Home Guard, Prison, Civil Defense, Public Prosecution)Civil Defense EstablishmentCFitter MechanicS8 (25500 - 81100)</v>
      </c>
      <c r="K378" s="36"/>
      <c r="L378" s="36"/>
      <c r="M378" s="38" t="s">
        <v>1121</v>
      </c>
      <c r="N378" s="36"/>
      <c r="O378" s="6" t="s">
        <v>33</v>
      </c>
      <c r="P378" s="7">
        <v>2</v>
      </c>
      <c r="Q378" s="7" t="s">
        <v>34</v>
      </c>
      <c r="R378" s="8"/>
      <c r="S378" s="8"/>
      <c r="T378" s="4" t="s">
        <v>3276</v>
      </c>
      <c r="U378" s="36" t="s">
        <v>35</v>
      </c>
      <c r="V378" s="38"/>
      <c r="W378" s="36"/>
      <c r="X378" s="36"/>
      <c r="Y378" s="36"/>
      <c r="Z378" s="41"/>
      <c r="AA378" s="42" t="e">
        <f>_xlfn.XLOOKUP(C378,#REF!,#REF!,"",0,1)</f>
        <v>#REF!</v>
      </c>
      <c r="AB378" s="43">
        <f t="shared" si="15"/>
        <v>0</v>
      </c>
    </row>
    <row r="379" spans="1:28" ht="143.5" thickBot="1" x14ac:dyDescent="0.3">
      <c r="A379" s="36">
        <v>378</v>
      </c>
      <c r="B379" s="36" t="s">
        <v>532</v>
      </c>
      <c r="C379" s="36" t="s">
        <v>263</v>
      </c>
      <c r="D379" s="37">
        <v>45440</v>
      </c>
      <c r="E379" s="36" t="s">
        <v>1067</v>
      </c>
      <c r="F379" s="36" t="s">
        <v>1122</v>
      </c>
      <c r="G379" s="36" t="s">
        <v>28</v>
      </c>
      <c r="H379" s="36" t="s">
        <v>1123</v>
      </c>
      <c r="I379" s="36" t="s">
        <v>38</v>
      </c>
      <c r="J379" s="36" t="str">
        <f t="shared" si="13"/>
        <v>Home (Home Guard, Prison, Civil Defense, Public Prosecution)Home guard EstablishmentADistrict CommanderS20 (56100 - 177500)</v>
      </c>
      <c r="K379" s="36"/>
      <c r="L379" s="36"/>
      <c r="M379" s="38" t="s">
        <v>1124</v>
      </c>
      <c r="N379" s="36" t="s">
        <v>41</v>
      </c>
      <c r="O379" s="6" t="s">
        <v>33</v>
      </c>
      <c r="P379" s="7">
        <v>34</v>
      </c>
      <c r="Q379" s="7" t="s">
        <v>34</v>
      </c>
      <c r="R379" s="8"/>
      <c r="S379" s="8"/>
      <c r="T379" s="4" t="s">
        <v>3276</v>
      </c>
      <c r="U379" s="36" t="s">
        <v>36</v>
      </c>
      <c r="V379" s="38"/>
      <c r="W379" s="36"/>
      <c r="X379" s="36"/>
      <c r="Y379" s="36"/>
      <c r="Z379" s="41"/>
      <c r="AA379" s="42" t="e">
        <f>_xlfn.XLOOKUP(C379,#REF!,#REF!,"",0,1)</f>
        <v>#REF!</v>
      </c>
      <c r="AB379" s="43">
        <f t="shared" si="15"/>
        <v>0</v>
      </c>
    </row>
    <row r="380" spans="1:28" ht="143.5" thickBot="1" x14ac:dyDescent="0.3">
      <c r="A380" s="36">
        <v>379</v>
      </c>
      <c r="B380" s="36" t="s">
        <v>24</v>
      </c>
      <c r="C380" s="36" t="s">
        <v>263</v>
      </c>
      <c r="D380" s="37">
        <v>45440</v>
      </c>
      <c r="E380" s="36" t="s">
        <v>1067</v>
      </c>
      <c r="F380" s="36" t="s">
        <v>1122</v>
      </c>
      <c r="G380" s="36" t="s">
        <v>55</v>
      </c>
      <c r="H380" s="36" t="s">
        <v>1125</v>
      </c>
      <c r="I380" s="36" t="s">
        <v>44</v>
      </c>
      <c r="J380" s="36" t="str">
        <f t="shared" si="13"/>
        <v>Home (Home Guard, Prison, Civil Defense, Public Prosecution)Home guard EstablishmentCSenior StenographerS15 (41800 - 132300)</v>
      </c>
      <c r="K380" s="36" t="s">
        <v>68</v>
      </c>
      <c r="L380" s="36" t="s">
        <v>231</v>
      </c>
      <c r="M380" s="38" t="s">
        <v>1126</v>
      </c>
      <c r="N380" s="36" t="s">
        <v>70</v>
      </c>
      <c r="O380" s="6" t="s">
        <v>33</v>
      </c>
      <c r="P380" s="7">
        <v>1</v>
      </c>
      <c r="Q380" s="7" t="s">
        <v>34</v>
      </c>
      <c r="R380" s="8"/>
      <c r="S380" s="8"/>
      <c r="T380" s="4" t="s">
        <v>3276</v>
      </c>
      <c r="U380" s="36" t="s">
        <v>36</v>
      </c>
      <c r="V380" s="38"/>
      <c r="W380" s="36"/>
      <c r="X380" s="36"/>
      <c r="Y380" s="36"/>
      <c r="Z380" s="41"/>
      <c r="AA380" s="42" t="e">
        <f>_xlfn.XLOOKUP(C380,#REF!,#REF!,"",0,1)</f>
        <v>#REF!</v>
      </c>
      <c r="AB380" s="43">
        <f t="shared" si="15"/>
        <v>0</v>
      </c>
    </row>
    <row r="381" spans="1:28" ht="130.5" thickBot="1" x14ac:dyDescent="0.3">
      <c r="A381" s="44">
        <v>380</v>
      </c>
      <c r="B381" s="44" t="s">
        <v>24</v>
      </c>
      <c r="C381" s="36" t="s">
        <v>263</v>
      </c>
      <c r="D381" s="37">
        <v>45440</v>
      </c>
      <c r="E381" s="44" t="s">
        <v>1067</v>
      </c>
      <c r="F381" s="44" t="s">
        <v>1122</v>
      </c>
      <c r="G381" s="44" t="s">
        <v>55</v>
      </c>
      <c r="H381" s="44" t="s">
        <v>1127</v>
      </c>
      <c r="I381" s="44" t="s">
        <v>281</v>
      </c>
      <c r="J381" s="44" t="str">
        <f t="shared" si="13"/>
        <v>Home (Home Guard, Prison, Civil Defense, Public Prosecution)Home guard EstablishmentCDespatch RiderS5 (18000 56900)</v>
      </c>
      <c r="K381" s="44"/>
      <c r="L381" s="44" t="s">
        <v>261</v>
      </c>
      <c r="M381" s="45" t="s">
        <v>1128</v>
      </c>
      <c r="N381" s="44" t="s">
        <v>283</v>
      </c>
      <c r="O381" s="11" t="s">
        <v>33</v>
      </c>
      <c r="P381" s="12"/>
      <c r="Q381" s="12" t="s">
        <v>34</v>
      </c>
      <c r="R381" s="13"/>
      <c r="S381" s="13"/>
      <c r="T381" s="4" t="s">
        <v>3276</v>
      </c>
      <c r="U381" s="44" t="s">
        <v>36</v>
      </c>
      <c r="V381" s="45"/>
      <c r="W381" s="44"/>
      <c r="X381" s="44"/>
      <c r="Y381" s="44"/>
      <c r="Z381" s="41"/>
      <c r="AA381" s="42" t="e">
        <f>_xlfn.XLOOKUP(C381,#REF!,#REF!,"",0,1)</f>
        <v>#REF!</v>
      </c>
      <c r="AB381" s="43">
        <f t="shared" si="15"/>
        <v>0</v>
      </c>
    </row>
    <row r="382" spans="1:28" ht="156.5" thickBot="1" x14ac:dyDescent="0.3">
      <c r="A382" s="36">
        <v>381</v>
      </c>
      <c r="B382" s="36" t="s">
        <v>24</v>
      </c>
      <c r="C382" s="36" t="s">
        <v>263</v>
      </c>
      <c r="D382" s="37">
        <v>45440</v>
      </c>
      <c r="E382" s="36" t="s">
        <v>1067</v>
      </c>
      <c r="F382" s="36" t="s">
        <v>1122</v>
      </c>
      <c r="G382" s="36" t="s">
        <v>55</v>
      </c>
      <c r="H382" s="36" t="s">
        <v>1129</v>
      </c>
      <c r="I382" s="36" t="s">
        <v>74</v>
      </c>
      <c r="J382" s="36" t="str">
        <f t="shared" si="13"/>
        <v>Home (Home Guard, Prison, Civil Defense, Public Prosecution)Home guard EstablishmentCJunior Clerk (outside Greater Mumbai)S6 (19900 - 63200)</v>
      </c>
      <c r="K382" s="36" t="s">
        <v>75</v>
      </c>
      <c r="L382" s="36" t="s">
        <v>228</v>
      </c>
      <c r="M382" s="38" t="s">
        <v>1130</v>
      </c>
      <c r="N382" s="36" t="s">
        <v>70</v>
      </c>
      <c r="O382" s="6" t="s">
        <v>33</v>
      </c>
      <c r="P382" s="7">
        <v>3</v>
      </c>
      <c r="Q382" s="7" t="s">
        <v>100</v>
      </c>
      <c r="R382" s="7">
        <v>3</v>
      </c>
      <c r="S382" s="18">
        <v>45524</v>
      </c>
      <c r="T382" s="7" t="s">
        <v>61</v>
      </c>
      <c r="U382" s="36" t="s">
        <v>989</v>
      </c>
      <c r="V382" s="38" t="s">
        <v>125</v>
      </c>
      <c r="W382" s="36"/>
      <c r="X382" s="36" t="s">
        <v>77</v>
      </c>
      <c r="Y382" s="36" t="s">
        <v>78</v>
      </c>
      <c r="Z382" s="41"/>
      <c r="AA382" s="42" t="e">
        <f>_xlfn.XLOOKUP(C382,#REF!,#REF!,"",0,1)</f>
        <v>#REF!</v>
      </c>
      <c r="AB382" s="43">
        <f t="shared" si="15"/>
        <v>0</v>
      </c>
    </row>
    <row r="383" spans="1:28" ht="156.5" thickBot="1" x14ac:dyDescent="0.3">
      <c r="A383" s="36">
        <v>382</v>
      </c>
      <c r="B383" s="36" t="s">
        <v>24</v>
      </c>
      <c r="C383" s="36" t="s">
        <v>263</v>
      </c>
      <c r="D383" s="37">
        <v>45440</v>
      </c>
      <c r="E383" s="36" t="s">
        <v>1067</v>
      </c>
      <c r="F383" s="36" t="s">
        <v>1122</v>
      </c>
      <c r="G383" s="36" t="s">
        <v>55</v>
      </c>
      <c r="H383" s="36" t="s">
        <v>1131</v>
      </c>
      <c r="I383" s="36" t="s">
        <v>74</v>
      </c>
      <c r="J383" s="36" t="str">
        <f t="shared" si="13"/>
        <v>Home (Home Guard, Prison, Civil Defense, Public Prosecution)Home guard EstablishmentCClerk Typist/ Storekeeper (Brihanmumbai Offices)S6 (19900 - 63200)</v>
      </c>
      <c r="K383" s="36" t="s">
        <v>75</v>
      </c>
      <c r="L383" s="36" t="s">
        <v>228</v>
      </c>
      <c r="M383" s="38" t="s">
        <v>1132</v>
      </c>
      <c r="N383" s="36" t="s">
        <v>70</v>
      </c>
      <c r="O383" s="6" t="s">
        <v>33</v>
      </c>
      <c r="P383" s="7">
        <v>2</v>
      </c>
      <c r="Q383" s="7" t="s">
        <v>100</v>
      </c>
      <c r="R383" s="7">
        <v>2</v>
      </c>
      <c r="S383" s="7" t="s">
        <v>3241</v>
      </c>
      <c r="T383" s="7" t="s">
        <v>61</v>
      </c>
      <c r="U383" s="36" t="s">
        <v>989</v>
      </c>
      <c r="V383" s="38" t="s">
        <v>125</v>
      </c>
      <c r="W383" s="36"/>
      <c r="X383" s="36" t="s">
        <v>77</v>
      </c>
      <c r="Y383" s="36" t="s">
        <v>78</v>
      </c>
      <c r="Z383" s="41"/>
      <c r="AA383" s="42" t="e">
        <f>_xlfn.XLOOKUP(C383,#REF!,#REF!,"",0,1)</f>
        <v>#REF!</v>
      </c>
      <c r="AB383" s="43">
        <f t="shared" si="15"/>
        <v>0</v>
      </c>
    </row>
    <row r="384" spans="1:28" ht="182.5" thickBot="1" x14ac:dyDescent="0.3">
      <c r="A384" s="36">
        <v>383</v>
      </c>
      <c r="B384" s="36" t="s">
        <v>24</v>
      </c>
      <c r="C384" s="36" t="s">
        <v>263</v>
      </c>
      <c r="D384" s="37">
        <v>45440</v>
      </c>
      <c r="E384" s="36" t="s">
        <v>1067</v>
      </c>
      <c r="F384" s="36" t="s">
        <v>1122</v>
      </c>
      <c r="G384" s="36" t="s">
        <v>55</v>
      </c>
      <c r="H384" s="36" t="s">
        <v>1133</v>
      </c>
      <c r="I384" s="36" t="s">
        <v>80</v>
      </c>
      <c r="J384" s="36" t="str">
        <f t="shared" si="13"/>
        <v>Home (Home Guard, Prison, Civil Defense, Public Prosecution)Home guard EstablishmentCHawaldar Instructor/ Junior Instructor/ Demonstrator InstructorS8 (25500 - 81100)</v>
      </c>
      <c r="K384" s="36" t="s">
        <v>197</v>
      </c>
      <c r="L384" s="36" t="s">
        <v>228</v>
      </c>
      <c r="M384" s="38" t="s">
        <v>1134</v>
      </c>
      <c r="N384" s="36" t="s">
        <v>1135</v>
      </c>
      <c r="O384" s="6" t="s">
        <v>33</v>
      </c>
      <c r="P384" s="7">
        <v>153</v>
      </c>
      <c r="Q384" s="7" t="s">
        <v>34</v>
      </c>
      <c r="R384" s="8"/>
      <c r="S384" s="8"/>
      <c r="T384" s="7" t="s">
        <v>35</v>
      </c>
      <c r="U384" s="36" t="s">
        <v>36</v>
      </c>
      <c r="V384" s="38" t="s">
        <v>1136</v>
      </c>
      <c r="W384" s="36"/>
      <c r="X384" s="36" t="s">
        <v>1137</v>
      </c>
      <c r="Y384" s="36" t="s">
        <v>1138</v>
      </c>
      <c r="Z384" s="41"/>
      <c r="AA384" s="42" t="e">
        <f>_xlfn.XLOOKUP(C384,#REF!,#REF!,"",0,1)</f>
        <v>#REF!</v>
      </c>
      <c r="AB384" s="43">
        <f t="shared" si="15"/>
        <v>0</v>
      </c>
    </row>
    <row r="385" spans="1:28" ht="182.5" thickBot="1" x14ac:dyDescent="0.3">
      <c r="A385" s="36">
        <v>384</v>
      </c>
      <c r="B385" s="36" t="s">
        <v>24</v>
      </c>
      <c r="C385" s="36" t="s">
        <v>263</v>
      </c>
      <c r="D385" s="37">
        <v>45205</v>
      </c>
      <c r="E385" s="44" t="s">
        <v>1067</v>
      </c>
      <c r="F385" s="44" t="s">
        <v>1139</v>
      </c>
      <c r="G385" s="44" t="s">
        <v>28</v>
      </c>
      <c r="H385" s="36" t="s">
        <v>1140</v>
      </c>
      <c r="I385" s="36" t="s">
        <v>38</v>
      </c>
      <c r="J385" s="36" t="str">
        <f t="shared" si="13"/>
        <v>Home (Home Guard, Prison, Civil Defense, Public Prosecution)Prison &amp; Correctional Service EstablishmentASuperintendent, Jail IndustryS20 (56100 - 177500)</v>
      </c>
      <c r="K385" s="36"/>
      <c r="L385" s="36" t="s">
        <v>238</v>
      </c>
      <c r="M385" s="45" t="s">
        <v>1141</v>
      </c>
      <c r="N385" s="36" t="s">
        <v>447</v>
      </c>
      <c r="O385" s="11" t="s">
        <v>83</v>
      </c>
      <c r="P385" s="7"/>
      <c r="Q385" s="13"/>
      <c r="R385" s="13"/>
      <c r="S385" s="12" t="s">
        <v>1143</v>
      </c>
      <c r="T385" s="13" t="s">
        <v>3276</v>
      </c>
      <c r="U385" s="44" t="s">
        <v>517</v>
      </c>
      <c r="V385" s="38"/>
      <c r="W385" s="36"/>
      <c r="X385" s="36"/>
      <c r="Y385" s="36"/>
      <c r="Z385" s="41"/>
      <c r="AA385" s="42" t="e">
        <f>_xlfn.XLOOKUP(C385,#REF!,#REF!,"",0,1)</f>
        <v>#REF!</v>
      </c>
      <c r="AB385" s="43">
        <f t="shared" si="15"/>
        <v>0</v>
      </c>
    </row>
    <row r="386" spans="1:28" ht="169.5" thickBot="1" x14ac:dyDescent="0.3">
      <c r="A386" s="44">
        <v>385</v>
      </c>
      <c r="B386" s="44" t="s">
        <v>24</v>
      </c>
      <c r="C386" s="36" t="s">
        <v>263</v>
      </c>
      <c r="D386" s="37">
        <v>45205</v>
      </c>
      <c r="E386" s="44" t="s">
        <v>1067</v>
      </c>
      <c r="F386" s="44" t="s">
        <v>1139</v>
      </c>
      <c r="G386" s="44" t="s">
        <v>28</v>
      </c>
      <c r="H386" s="44" t="s">
        <v>636</v>
      </c>
      <c r="I386" s="44" t="s">
        <v>38</v>
      </c>
      <c r="J386" s="44" t="str">
        <f t="shared" ref="J386:J449" si="16">_xlfn.CONCAT(E386:I386)</f>
        <v>Home (Home Guard, Prison, Civil Defense, Public Prosecution)Prison &amp; Correctional Service EstablishmentAResearch OfficerS20 (56100 - 177500)</v>
      </c>
      <c r="K386" s="44"/>
      <c r="L386" s="44" t="s">
        <v>261</v>
      </c>
      <c r="M386" s="45" t="s">
        <v>1144</v>
      </c>
      <c r="N386" s="44" t="s">
        <v>113</v>
      </c>
      <c r="O386" s="11" t="s">
        <v>33</v>
      </c>
      <c r="P386" s="7"/>
      <c r="Q386" s="13"/>
      <c r="R386" s="13"/>
      <c r="S386" s="12" t="s">
        <v>1142</v>
      </c>
      <c r="T386" s="4" t="s">
        <v>3276</v>
      </c>
      <c r="U386" s="44" t="s">
        <v>517</v>
      </c>
      <c r="V386" s="45"/>
      <c r="W386" s="44"/>
      <c r="X386" s="44"/>
      <c r="Y386" s="44"/>
      <c r="Z386" s="41"/>
      <c r="AA386" s="42" t="e">
        <f>_xlfn.XLOOKUP(C386,#REF!,#REF!,"",0,1)</f>
        <v>#REF!</v>
      </c>
      <c r="AB386" s="43">
        <f t="shared" ref="AB386:AB390" si="17">IFERROR(FLOOR(P386*AA386,1),0)</f>
        <v>0</v>
      </c>
    </row>
    <row r="387" spans="1:28" ht="208.5" thickBot="1" x14ac:dyDescent="0.3">
      <c r="A387" s="36">
        <v>386</v>
      </c>
      <c r="B387" s="36" t="s">
        <v>24</v>
      </c>
      <c r="C387" s="36" t="s">
        <v>263</v>
      </c>
      <c r="D387" s="37">
        <v>45205</v>
      </c>
      <c r="E387" s="36" t="s">
        <v>1067</v>
      </c>
      <c r="F387" s="36" t="s">
        <v>1139</v>
      </c>
      <c r="G387" s="36" t="s">
        <v>42</v>
      </c>
      <c r="H387" s="36" t="s">
        <v>1145</v>
      </c>
      <c r="I387" s="36" t="s">
        <v>30</v>
      </c>
      <c r="J387" s="36" t="str">
        <f t="shared" si="16"/>
        <v>Home (Home Guard, Prison, Civil Defense, Public Prosecution)Prison &amp; Correctional Service EstablishmentB (Gazetted)Superintendent, District Prison ClassIIS18 (49100 - 155800)</v>
      </c>
      <c r="K387" s="36" t="s">
        <v>45</v>
      </c>
      <c r="L387" s="36" t="s">
        <v>247</v>
      </c>
      <c r="M387" s="38" t="s">
        <v>1146</v>
      </c>
      <c r="N387" s="36" t="s">
        <v>1147</v>
      </c>
      <c r="O387" s="6" t="s">
        <v>33</v>
      </c>
      <c r="P387" s="7">
        <v>14</v>
      </c>
      <c r="Q387" s="7" t="s">
        <v>34</v>
      </c>
      <c r="R387" s="8"/>
      <c r="S387" s="8"/>
      <c r="T387" s="7" t="s">
        <v>35</v>
      </c>
      <c r="U387" s="36" t="s">
        <v>35</v>
      </c>
      <c r="V387" s="38"/>
      <c r="W387" s="36"/>
      <c r="X387" s="36"/>
      <c r="Y387" s="36"/>
      <c r="Z387" s="41"/>
      <c r="AA387" s="42" t="e">
        <f>_xlfn.XLOOKUP(C387,#REF!,#REF!,"",0,1)</f>
        <v>#REF!</v>
      </c>
      <c r="AB387" s="43">
        <f t="shared" si="17"/>
        <v>0</v>
      </c>
    </row>
    <row r="388" spans="1:28" ht="156.5" thickBot="1" x14ac:dyDescent="0.3">
      <c r="A388" s="36">
        <v>387</v>
      </c>
      <c r="B388" s="36" t="s">
        <v>24</v>
      </c>
      <c r="C388" s="36" t="s">
        <v>263</v>
      </c>
      <c r="D388" s="37">
        <v>45205</v>
      </c>
      <c r="E388" s="36" t="s">
        <v>1067</v>
      </c>
      <c r="F388" s="36" t="s">
        <v>1139</v>
      </c>
      <c r="G388" s="36" t="s">
        <v>55</v>
      </c>
      <c r="H388" s="36" t="s">
        <v>1148</v>
      </c>
      <c r="I388" s="36" t="s">
        <v>276</v>
      </c>
      <c r="J388" s="36" t="str">
        <f t="shared" si="16"/>
        <v>Home (Home Guard, Prison, Civil Defense, Public Prosecution)Prison &amp; Correctional Service EstablishmentCCompounderS10 (29200 - 92300)</v>
      </c>
      <c r="K388" s="36" t="s">
        <v>377</v>
      </c>
      <c r="L388" s="36" t="s">
        <v>225</v>
      </c>
      <c r="M388" s="38" t="s">
        <v>1149</v>
      </c>
      <c r="N388" s="36" t="s">
        <v>41</v>
      </c>
      <c r="O388" s="6" t="s">
        <v>33</v>
      </c>
      <c r="P388" s="7"/>
      <c r="Q388" s="8"/>
      <c r="R388" s="8"/>
      <c r="S388" s="8"/>
      <c r="T388" s="8" t="s">
        <v>35</v>
      </c>
      <c r="U388" s="36" t="s">
        <v>35</v>
      </c>
      <c r="V388" s="38" t="s">
        <v>1150</v>
      </c>
      <c r="W388" s="36"/>
      <c r="X388" s="36" t="s">
        <v>1151</v>
      </c>
      <c r="Y388" s="36" t="s">
        <v>1152</v>
      </c>
      <c r="Z388" s="41"/>
      <c r="AA388" s="42" t="e">
        <f>_xlfn.XLOOKUP(C388,#REF!,#REF!,"",0,1)</f>
        <v>#REF!</v>
      </c>
      <c r="AB388" s="43">
        <f t="shared" si="17"/>
        <v>0</v>
      </c>
    </row>
    <row r="389" spans="1:28" ht="156.5" thickBot="1" x14ac:dyDescent="0.3">
      <c r="A389" s="36">
        <v>388</v>
      </c>
      <c r="B389" s="36" t="s">
        <v>24</v>
      </c>
      <c r="C389" s="36" t="s">
        <v>263</v>
      </c>
      <c r="D389" s="37">
        <v>45205</v>
      </c>
      <c r="E389" s="36" t="s">
        <v>1067</v>
      </c>
      <c r="F389" s="36" t="s">
        <v>1139</v>
      </c>
      <c r="G389" s="36" t="s">
        <v>55</v>
      </c>
      <c r="H389" s="36" t="s">
        <v>110</v>
      </c>
      <c r="I389" s="36" t="s">
        <v>276</v>
      </c>
      <c r="J389" s="36" t="str">
        <f t="shared" si="16"/>
        <v>Home (Home Guard, Prison, Civil Defense, Public Prosecution)Prison &amp; Correctional Service EstablishmentCLab TechnicianS10 (29200 - 92300)</v>
      </c>
      <c r="K389" s="36" t="s">
        <v>377</v>
      </c>
      <c r="L389" s="36" t="s">
        <v>225</v>
      </c>
      <c r="M389" s="38" t="s">
        <v>1153</v>
      </c>
      <c r="N389" s="36" t="s">
        <v>379</v>
      </c>
      <c r="O389" s="6" t="s">
        <v>33</v>
      </c>
      <c r="P389" s="7"/>
      <c r="Q389" s="8"/>
      <c r="R389" s="8"/>
      <c r="S389" s="8"/>
      <c r="T389" s="8" t="s">
        <v>35</v>
      </c>
      <c r="U389" s="36" t="s">
        <v>35</v>
      </c>
      <c r="V389" s="38" t="s">
        <v>1154</v>
      </c>
      <c r="W389" s="36"/>
      <c r="X389" s="36" t="s">
        <v>1151</v>
      </c>
      <c r="Y389" s="36" t="s">
        <v>1152</v>
      </c>
      <c r="Z389" s="41"/>
      <c r="AA389" s="42" t="e">
        <f>_xlfn.XLOOKUP(C389,#REF!,#REF!,"",0,1)</f>
        <v>#REF!</v>
      </c>
      <c r="AB389" s="43">
        <f t="shared" si="17"/>
        <v>0</v>
      </c>
    </row>
    <row r="390" spans="1:28" ht="156.5" thickBot="1" x14ac:dyDescent="0.3">
      <c r="A390" s="44">
        <v>389</v>
      </c>
      <c r="B390" s="44" t="s">
        <v>24</v>
      </c>
      <c r="C390" s="36" t="s">
        <v>263</v>
      </c>
      <c r="D390" s="37">
        <v>45205</v>
      </c>
      <c r="E390" s="44" t="s">
        <v>1067</v>
      </c>
      <c r="F390" s="44" t="s">
        <v>1139</v>
      </c>
      <c r="G390" s="44" t="s">
        <v>55</v>
      </c>
      <c r="H390" s="44" t="s">
        <v>162</v>
      </c>
      <c r="I390" s="44" t="s">
        <v>276</v>
      </c>
      <c r="J390" s="44" t="str">
        <f t="shared" si="16"/>
        <v>Home (Home Guard, Prison, Civil Defense, Public Prosecution)Prison &amp; Correctional Service EstablishmentCMechanical InstructorS10 (29200 - 92300)</v>
      </c>
      <c r="K390" s="44"/>
      <c r="L390" s="44" t="s">
        <v>261</v>
      </c>
      <c r="M390" s="45" t="s">
        <v>1155</v>
      </c>
      <c r="N390" s="44" t="s">
        <v>113</v>
      </c>
      <c r="O390" s="11" t="s">
        <v>33</v>
      </c>
      <c r="P390" s="12"/>
      <c r="Q390" s="13"/>
      <c r="R390" s="13"/>
      <c r="S390" s="13"/>
      <c r="T390" s="4" t="s">
        <v>3276</v>
      </c>
      <c r="U390" s="44" t="s">
        <v>35</v>
      </c>
      <c r="V390" s="45"/>
      <c r="W390" s="44"/>
      <c r="X390" s="44"/>
      <c r="Y390" s="44"/>
      <c r="Z390" s="41"/>
      <c r="AA390" s="42" t="e">
        <f>_xlfn.XLOOKUP(C390,#REF!,#REF!,"",0,1)</f>
        <v>#REF!</v>
      </c>
      <c r="AB390" s="43">
        <f t="shared" si="17"/>
        <v>0</v>
      </c>
    </row>
    <row r="391" spans="1:28" ht="156.5" thickBot="1" x14ac:dyDescent="0.3">
      <c r="A391" s="36">
        <v>390</v>
      </c>
      <c r="B391" s="36" t="s">
        <v>983</v>
      </c>
      <c r="C391" s="36" t="s">
        <v>263</v>
      </c>
      <c r="D391" s="37">
        <v>45205</v>
      </c>
      <c r="E391" s="36" t="s">
        <v>1067</v>
      </c>
      <c r="F391" s="36" t="s">
        <v>1139</v>
      </c>
      <c r="G391" s="36" t="s">
        <v>55</v>
      </c>
      <c r="H391" s="36" t="s">
        <v>1156</v>
      </c>
      <c r="I391" s="36" t="s">
        <v>67</v>
      </c>
      <c r="J391" s="36" t="str">
        <f t="shared" si="16"/>
        <v>Home (Home Guard, Prison, Civil Defense, Public Prosecution)Prison &amp; Correctional Service EstablishmentCJailor Grade 2S14 (38600 - 122800)</v>
      </c>
      <c r="K391" s="36"/>
      <c r="L391" s="36"/>
      <c r="M391" s="38" t="s">
        <v>1157</v>
      </c>
      <c r="N391" s="36" t="s">
        <v>986</v>
      </c>
      <c r="O391" s="6" t="s">
        <v>33</v>
      </c>
      <c r="P391" s="7">
        <v>196</v>
      </c>
      <c r="Q391" s="7" t="s">
        <v>34</v>
      </c>
      <c r="R391" s="8"/>
      <c r="S391" s="8"/>
      <c r="T391" s="4" t="s">
        <v>3276</v>
      </c>
      <c r="U391" s="36" t="s">
        <v>35</v>
      </c>
      <c r="V391" s="38"/>
      <c r="W391" s="36"/>
      <c r="X391" s="36"/>
      <c r="Y391" s="36"/>
      <c r="Z391" s="41"/>
      <c r="AA391" s="42" t="e">
        <f>_xlfn.XLOOKUP(C391,#REF!,#REF!,"",0,1)</f>
        <v>#REF!</v>
      </c>
      <c r="AB391" s="43">
        <f t="shared" ref="AB391:AB449" si="18">IFERROR(FLOOR(P391*AA391,1),0)</f>
        <v>0</v>
      </c>
    </row>
    <row r="392" spans="1:28" ht="169.5" thickBot="1" x14ac:dyDescent="0.3">
      <c r="A392" s="36">
        <v>391</v>
      </c>
      <c r="B392" s="36" t="s">
        <v>24</v>
      </c>
      <c r="C392" s="36" t="s">
        <v>263</v>
      </c>
      <c r="D392" s="37">
        <v>45205</v>
      </c>
      <c r="E392" s="36" t="s">
        <v>1067</v>
      </c>
      <c r="F392" s="36" t="s">
        <v>1139</v>
      </c>
      <c r="G392" s="36" t="s">
        <v>55</v>
      </c>
      <c r="H392" s="36" t="s">
        <v>1158</v>
      </c>
      <c r="I392" s="36" t="s">
        <v>67</v>
      </c>
      <c r="J392" s="36" t="str">
        <f t="shared" si="16"/>
        <v>Home (Home Guard, Prison, Civil Defense, Public Prosecution)Prison &amp; Correctional Service EstablishmentCStenographer LowerS14 (38600 - 122800)</v>
      </c>
      <c r="K392" s="36"/>
      <c r="L392" s="36" t="s">
        <v>231</v>
      </c>
      <c r="M392" s="38" t="s">
        <v>1159</v>
      </c>
      <c r="N392" s="36" t="s">
        <v>113</v>
      </c>
      <c r="O392" s="6" t="s">
        <v>33</v>
      </c>
      <c r="P392" s="7"/>
      <c r="Q392" s="8"/>
      <c r="R392" s="8"/>
      <c r="S392" s="8"/>
      <c r="T392" s="4" t="s">
        <v>3276</v>
      </c>
      <c r="U392" s="36" t="s">
        <v>35</v>
      </c>
      <c r="V392" s="38"/>
      <c r="W392" s="36"/>
      <c r="X392" s="36"/>
      <c r="Y392" s="36"/>
      <c r="Z392" s="41"/>
      <c r="AA392" s="42" t="e">
        <f>_xlfn.XLOOKUP(C392,#REF!,#REF!,"",0,1)</f>
        <v>#REF!</v>
      </c>
      <c r="AB392" s="43">
        <f t="shared" si="18"/>
        <v>0</v>
      </c>
    </row>
    <row r="393" spans="1:28" ht="143.5" thickBot="1" x14ac:dyDescent="0.3">
      <c r="A393" s="36">
        <v>392</v>
      </c>
      <c r="B393" s="36" t="s">
        <v>24</v>
      </c>
      <c r="C393" s="36" t="s">
        <v>263</v>
      </c>
      <c r="D393" s="37">
        <v>45205</v>
      </c>
      <c r="E393" s="36" t="s">
        <v>1067</v>
      </c>
      <c r="F393" s="36" t="s">
        <v>1139</v>
      </c>
      <c r="G393" s="36" t="s">
        <v>55</v>
      </c>
      <c r="H393" s="36" t="s">
        <v>123</v>
      </c>
      <c r="I393" s="36" t="s">
        <v>74</v>
      </c>
      <c r="J393" s="36" t="str">
        <f t="shared" si="16"/>
        <v>Home (Home Guard, Prison, Civil Defense, Public Prosecution)Prison &amp; Correctional Service EstablishmentCJunior ClerkS6 (19900 - 63200)</v>
      </c>
      <c r="K393" s="36" t="s">
        <v>75</v>
      </c>
      <c r="L393" s="36" t="s">
        <v>228</v>
      </c>
      <c r="M393" s="38" t="s">
        <v>356</v>
      </c>
      <c r="N393" s="36" t="s">
        <v>70</v>
      </c>
      <c r="O393" s="6" t="s">
        <v>33</v>
      </c>
      <c r="P393" s="7">
        <v>0</v>
      </c>
      <c r="Q393" s="7" t="s">
        <v>34</v>
      </c>
      <c r="R393" s="8"/>
      <c r="S393" s="8"/>
      <c r="T393" s="7" t="s">
        <v>2395</v>
      </c>
      <c r="U393" s="36" t="s">
        <v>35</v>
      </c>
      <c r="V393" s="38" t="s">
        <v>1160</v>
      </c>
      <c r="W393" s="36"/>
      <c r="X393" s="36" t="s">
        <v>1161</v>
      </c>
      <c r="Y393" s="36" t="s">
        <v>1162</v>
      </c>
      <c r="Z393" s="41"/>
      <c r="AA393" s="42" t="e">
        <f>_xlfn.XLOOKUP(C393,#REF!,#REF!,"",0,1)</f>
        <v>#REF!</v>
      </c>
      <c r="AB393" s="43">
        <f t="shared" si="18"/>
        <v>0</v>
      </c>
    </row>
    <row r="394" spans="1:28" ht="143.5" thickBot="1" x14ac:dyDescent="0.3">
      <c r="A394" s="36">
        <v>393</v>
      </c>
      <c r="B394" s="36" t="s">
        <v>983</v>
      </c>
      <c r="C394" s="36" t="s">
        <v>263</v>
      </c>
      <c r="D394" s="37">
        <v>45205</v>
      </c>
      <c r="E394" s="36" t="s">
        <v>1067</v>
      </c>
      <c r="F394" s="36" t="s">
        <v>1139</v>
      </c>
      <c r="G394" s="36" t="s">
        <v>55</v>
      </c>
      <c r="H394" s="36" t="s">
        <v>1163</v>
      </c>
      <c r="I394" s="36" t="s">
        <v>169</v>
      </c>
      <c r="J394" s="36" t="str">
        <f t="shared" si="16"/>
        <v>Home (Home Guard, Prison, Civil Defense, Public Prosecution)Prison &amp; Correctional Service EstablishmentCJail SepoyS7 (21700 - 69100)</v>
      </c>
      <c r="K394" s="36"/>
      <c r="L394" s="36"/>
      <c r="M394" s="38" t="s">
        <v>1164</v>
      </c>
      <c r="N394" s="36" t="s">
        <v>986</v>
      </c>
      <c r="O394" s="6" t="s">
        <v>33</v>
      </c>
      <c r="P394" s="7"/>
      <c r="Q394" s="8"/>
      <c r="R394" s="8"/>
      <c r="S394" s="8"/>
      <c r="T394" s="4" t="s">
        <v>3276</v>
      </c>
      <c r="U394" s="36" t="s">
        <v>35</v>
      </c>
      <c r="V394" s="38"/>
      <c r="W394" s="36"/>
      <c r="X394" s="36"/>
      <c r="Y394" s="36"/>
      <c r="Z394" s="41"/>
      <c r="AA394" s="42" t="e">
        <f>_xlfn.XLOOKUP(C394,#REF!,#REF!,"",0,1)</f>
        <v>#REF!</v>
      </c>
      <c r="AB394" s="43">
        <f t="shared" si="18"/>
        <v>0</v>
      </c>
    </row>
    <row r="395" spans="1:28" ht="156.5" thickBot="1" x14ac:dyDescent="0.3">
      <c r="A395" s="44">
        <v>394</v>
      </c>
      <c r="B395" s="44" t="s">
        <v>24</v>
      </c>
      <c r="C395" s="36" t="s">
        <v>263</v>
      </c>
      <c r="D395" s="37">
        <v>45205</v>
      </c>
      <c r="E395" s="44" t="s">
        <v>1067</v>
      </c>
      <c r="F395" s="44" t="s">
        <v>1139</v>
      </c>
      <c r="G395" s="44" t="s">
        <v>55</v>
      </c>
      <c r="H395" s="44" t="s">
        <v>477</v>
      </c>
      <c r="I395" s="44" t="s">
        <v>80</v>
      </c>
      <c r="J395" s="44" t="str">
        <f t="shared" si="16"/>
        <v>Home (Home Guard, Prison, Civil Defense, Public Prosecution)Prison &amp; Correctional Service EstablishmentCHouse MasterS8 (25500 - 81100)</v>
      </c>
      <c r="K395" s="44"/>
      <c r="L395" s="44" t="s">
        <v>261</v>
      </c>
      <c r="M395" s="45" t="s">
        <v>1165</v>
      </c>
      <c r="N395" s="44" t="s">
        <v>113</v>
      </c>
      <c r="O395" s="11" t="s">
        <v>33</v>
      </c>
      <c r="P395" s="12"/>
      <c r="Q395" s="13"/>
      <c r="R395" s="13"/>
      <c r="S395" s="13"/>
      <c r="T395" s="4" t="s">
        <v>3276</v>
      </c>
      <c r="U395" s="44" t="s">
        <v>35</v>
      </c>
      <c r="V395" s="45"/>
      <c r="W395" s="44"/>
      <c r="X395" s="44"/>
      <c r="Y395" s="44"/>
      <c r="Z395" s="41"/>
      <c r="AA395" s="42" t="e">
        <f>_xlfn.XLOOKUP(C395,#REF!,#REF!,"",0,1)</f>
        <v>#REF!</v>
      </c>
      <c r="AB395" s="43">
        <f t="shared" si="18"/>
        <v>0</v>
      </c>
    </row>
    <row r="396" spans="1:28" ht="143.5" thickBot="1" x14ac:dyDescent="0.3">
      <c r="A396" s="44">
        <v>395</v>
      </c>
      <c r="B396" s="44" t="s">
        <v>24</v>
      </c>
      <c r="C396" s="36" t="s">
        <v>263</v>
      </c>
      <c r="D396" s="37">
        <v>45205</v>
      </c>
      <c r="E396" s="44" t="s">
        <v>1067</v>
      </c>
      <c r="F396" s="44" t="s">
        <v>1139</v>
      </c>
      <c r="G396" s="44" t="s">
        <v>55</v>
      </c>
      <c r="H396" s="44" t="s">
        <v>1166</v>
      </c>
      <c r="I396" s="44" t="s">
        <v>80</v>
      </c>
      <c r="J396" s="44" t="str">
        <f t="shared" si="16"/>
        <v>Home (Home Guard, Prison, Civil Defense, Public Prosecution)Prison &amp; Correctional Service EstablishmentCTeacherS8 (25500 - 81100)</v>
      </c>
      <c r="K396" s="44"/>
      <c r="L396" s="44" t="s">
        <v>261</v>
      </c>
      <c r="M396" s="45" t="s">
        <v>1167</v>
      </c>
      <c r="N396" s="44" t="s">
        <v>113</v>
      </c>
      <c r="O396" s="11" t="s">
        <v>33</v>
      </c>
      <c r="P396" s="12"/>
      <c r="Q396" s="13"/>
      <c r="R396" s="13"/>
      <c r="S396" s="13"/>
      <c r="T396" s="4" t="s">
        <v>3276</v>
      </c>
      <c r="U396" s="44" t="s">
        <v>35</v>
      </c>
      <c r="V396" s="45"/>
      <c r="W396" s="44"/>
      <c r="X396" s="44"/>
      <c r="Y396" s="44"/>
      <c r="Z396" s="41"/>
      <c r="AA396" s="42" t="e">
        <f>_xlfn.XLOOKUP(C396,#REF!,#REF!,"",0,1)</f>
        <v>#REF!</v>
      </c>
      <c r="AB396" s="43">
        <f t="shared" si="18"/>
        <v>0</v>
      </c>
    </row>
    <row r="397" spans="1:28" ht="169.5" thickBot="1" x14ac:dyDescent="0.3">
      <c r="A397" s="44">
        <v>396</v>
      </c>
      <c r="B397" s="44" t="s">
        <v>24</v>
      </c>
      <c r="C397" s="36" t="s">
        <v>263</v>
      </c>
      <c r="D397" s="37">
        <v>45205</v>
      </c>
      <c r="E397" s="44" t="s">
        <v>1067</v>
      </c>
      <c r="F397" s="44" t="s">
        <v>1139</v>
      </c>
      <c r="G397" s="44" t="s">
        <v>55</v>
      </c>
      <c r="H397" s="44" t="s">
        <v>1168</v>
      </c>
      <c r="I397" s="44" t="s">
        <v>80</v>
      </c>
      <c r="J397" s="44" t="str">
        <f t="shared" si="16"/>
        <v>Home (Home Guard, Prison, Civil Defense, Public Prosecution)Prison &amp; Correctional Service EstablishmentCPhysical Education InstructorS8 (25500 - 81100)</v>
      </c>
      <c r="K397" s="44"/>
      <c r="L397" s="44" t="s">
        <v>261</v>
      </c>
      <c r="M397" s="45" t="s">
        <v>1169</v>
      </c>
      <c r="N397" s="44" t="s">
        <v>113</v>
      </c>
      <c r="O397" s="11" t="s">
        <v>33</v>
      </c>
      <c r="P397" s="12"/>
      <c r="Q397" s="12" t="s">
        <v>34</v>
      </c>
      <c r="R397" s="13"/>
      <c r="S397" s="13"/>
      <c r="T397" s="4" t="s">
        <v>3276</v>
      </c>
      <c r="U397" s="44" t="s">
        <v>517</v>
      </c>
      <c r="V397" s="45"/>
      <c r="W397" s="44"/>
      <c r="X397" s="44"/>
      <c r="Y397" s="44"/>
      <c r="Z397" s="41"/>
      <c r="AA397" s="42" t="e">
        <f>_xlfn.XLOOKUP(C397,#REF!,#REF!,"",0,1)</f>
        <v>#REF!</v>
      </c>
      <c r="AB397" s="43">
        <f t="shared" si="18"/>
        <v>0</v>
      </c>
    </row>
    <row r="398" spans="1:28" ht="169.5" thickBot="1" x14ac:dyDescent="0.3">
      <c r="A398" s="44">
        <v>397</v>
      </c>
      <c r="B398" s="44" t="s">
        <v>24</v>
      </c>
      <c r="C398" s="36" t="s">
        <v>263</v>
      </c>
      <c r="D398" s="37">
        <v>45205</v>
      </c>
      <c r="E398" s="44" t="s">
        <v>1067</v>
      </c>
      <c r="F398" s="44" t="s">
        <v>1139</v>
      </c>
      <c r="G398" s="44" t="s">
        <v>55</v>
      </c>
      <c r="H398" s="44" t="s">
        <v>1170</v>
      </c>
      <c r="I398" s="44" t="s">
        <v>80</v>
      </c>
      <c r="J398" s="44" t="str">
        <f t="shared" si="16"/>
        <v>Home (Home Guard, Prison, Civil Defense, Public Prosecution)Prison &amp; Correctional Service EstablishmentCPhysical Training InstructorS8 (25500 - 81100)</v>
      </c>
      <c r="K398" s="44"/>
      <c r="L398" s="44" t="s">
        <v>261</v>
      </c>
      <c r="M398" s="45" t="s">
        <v>1171</v>
      </c>
      <c r="N398" s="44" t="s">
        <v>113</v>
      </c>
      <c r="O398" s="11" t="s">
        <v>33</v>
      </c>
      <c r="P398" s="12"/>
      <c r="Q398" s="12" t="s">
        <v>34</v>
      </c>
      <c r="R398" s="13"/>
      <c r="S398" s="13"/>
      <c r="T398" s="4" t="s">
        <v>3276</v>
      </c>
      <c r="U398" s="44" t="s">
        <v>517</v>
      </c>
      <c r="V398" s="45"/>
      <c r="W398" s="44"/>
      <c r="X398" s="44"/>
      <c r="Y398" s="44"/>
      <c r="Z398" s="41"/>
      <c r="AA398" s="42" t="e">
        <f>_xlfn.XLOOKUP(C398,#REF!,#REF!,"",0,1)</f>
        <v>#REF!</v>
      </c>
      <c r="AB398" s="43">
        <f t="shared" si="18"/>
        <v>0</v>
      </c>
    </row>
    <row r="399" spans="1:28" ht="156.5" thickBot="1" x14ac:dyDescent="0.3">
      <c r="A399" s="44">
        <v>398</v>
      </c>
      <c r="B399" s="44" t="s">
        <v>24</v>
      </c>
      <c r="C399" s="36" t="s">
        <v>263</v>
      </c>
      <c r="D399" s="37">
        <v>45205</v>
      </c>
      <c r="E399" s="44" t="s">
        <v>1067</v>
      </c>
      <c r="F399" s="44" t="s">
        <v>1139</v>
      </c>
      <c r="G399" s="44" t="s">
        <v>55</v>
      </c>
      <c r="H399" s="44" t="s">
        <v>1172</v>
      </c>
      <c r="I399" s="44" t="s">
        <v>80</v>
      </c>
      <c r="J399" s="44" t="str">
        <f t="shared" si="16"/>
        <v>Home (Home Guard, Prison, Civil Defense, Public Prosecution)Prison &amp; Correctional Service EstablishmentCBraille InstructorS8 (25500 - 81100)</v>
      </c>
      <c r="K399" s="44"/>
      <c r="L399" s="44" t="s">
        <v>261</v>
      </c>
      <c r="M399" s="45" t="s">
        <v>1173</v>
      </c>
      <c r="N399" s="44" t="s">
        <v>113</v>
      </c>
      <c r="O399" s="11" t="s">
        <v>33</v>
      </c>
      <c r="P399" s="12"/>
      <c r="Q399" s="12" t="s">
        <v>34</v>
      </c>
      <c r="R399" s="13"/>
      <c r="S399" s="13"/>
      <c r="T399" s="4" t="s">
        <v>3276</v>
      </c>
      <c r="U399" s="44" t="s">
        <v>517</v>
      </c>
      <c r="V399" s="45"/>
      <c r="W399" s="44"/>
      <c r="X399" s="44"/>
      <c r="Y399" s="44"/>
      <c r="Z399" s="41"/>
      <c r="AA399" s="42" t="e">
        <f>_xlfn.XLOOKUP(C399,#REF!,#REF!,"",0,1)</f>
        <v>#REF!</v>
      </c>
      <c r="AB399" s="43">
        <f t="shared" si="18"/>
        <v>0</v>
      </c>
    </row>
    <row r="400" spans="1:28" ht="143.5" thickBot="1" x14ac:dyDescent="0.3">
      <c r="A400" s="44">
        <v>399</v>
      </c>
      <c r="B400" s="44" t="s">
        <v>24</v>
      </c>
      <c r="C400" s="36" t="s">
        <v>263</v>
      </c>
      <c r="D400" s="37">
        <v>45205</v>
      </c>
      <c r="E400" s="44" t="s">
        <v>1067</v>
      </c>
      <c r="F400" s="44" t="s">
        <v>1139</v>
      </c>
      <c r="G400" s="44" t="s">
        <v>55</v>
      </c>
      <c r="H400" s="44" t="s">
        <v>1174</v>
      </c>
      <c r="I400" s="44" t="s">
        <v>80</v>
      </c>
      <c r="J400" s="44" t="str">
        <f t="shared" si="16"/>
        <v>Home (Home Guard, Prison, Civil Defense, Public Prosecution)Prison &amp; Correctional Service EstablishmentCStatisticianS8 (25500 - 81100)</v>
      </c>
      <c r="K400" s="44"/>
      <c r="L400" s="44" t="s">
        <v>261</v>
      </c>
      <c r="M400" s="45" t="s">
        <v>1175</v>
      </c>
      <c r="N400" s="44" t="s">
        <v>113</v>
      </c>
      <c r="O400" s="11" t="s">
        <v>33</v>
      </c>
      <c r="P400" s="12"/>
      <c r="Q400" s="12" t="s">
        <v>34</v>
      </c>
      <c r="R400" s="13"/>
      <c r="S400" s="13"/>
      <c r="T400" s="4" t="s">
        <v>3276</v>
      </c>
      <c r="U400" s="44" t="s">
        <v>517</v>
      </c>
      <c r="V400" s="45"/>
      <c r="W400" s="44"/>
      <c r="X400" s="44"/>
      <c r="Y400" s="44"/>
      <c r="Z400" s="41"/>
      <c r="AA400" s="42" t="e">
        <f>_xlfn.XLOOKUP(C400,#REF!,#REF!,"",0,1)</f>
        <v>#REF!</v>
      </c>
      <c r="AB400" s="43">
        <f t="shared" si="18"/>
        <v>0</v>
      </c>
    </row>
    <row r="401" spans="1:28" ht="169.5" thickBot="1" x14ac:dyDescent="0.3">
      <c r="A401" s="44">
        <v>400</v>
      </c>
      <c r="B401" s="44" t="s">
        <v>24</v>
      </c>
      <c r="C401" s="36" t="s">
        <v>263</v>
      </c>
      <c r="D401" s="37">
        <v>45205</v>
      </c>
      <c r="E401" s="44" t="s">
        <v>1067</v>
      </c>
      <c r="F401" s="44" t="s">
        <v>1139</v>
      </c>
      <c r="G401" s="44" t="s">
        <v>55</v>
      </c>
      <c r="H401" s="44" t="s">
        <v>1176</v>
      </c>
      <c r="I401" s="44" t="s">
        <v>80</v>
      </c>
      <c r="J401" s="44" t="str">
        <f t="shared" si="16"/>
        <v>Home (Home Guard, Prison, Civil Defense, Public Prosecution)Prison &amp; Correctional Service EstablishmentCInstructor (Carpet weaving)S8 (25500 - 81100)</v>
      </c>
      <c r="K401" s="44"/>
      <c r="L401" s="44" t="s">
        <v>261</v>
      </c>
      <c r="M401" s="45" t="s">
        <v>1177</v>
      </c>
      <c r="N401" s="44" t="s">
        <v>113</v>
      </c>
      <c r="O401" s="11" t="s">
        <v>33</v>
      </c>
      <c r="P401" s="12"/>
      <c r="Q401" s="12" t="s">
        <v>34</v>
      </c>
      <c r="R401" s="13"/>
      <c r="S401" s="13"/>
      <c r="T401" s="4" t="s">
        <v>3276</v>
      </c>
      <c r="U401" s="44" t="s">
        <v>517</v>
      </c>
      <c r="V401" s="45"/>
      <c r="W401" s="44"/>
      <c r="X401" s="44"/>
      <c r="Y401" s="44"/>
      <c r="Z401" s="41"/>
      <c r="AA401" s="42" t="e">
        <f>_xlfn.XLOOKUP(C401,#REF!,#REF!,"",0,1)</f>
        <v>#REF!</v>
      </c>
      <c r="AB401" s="43">
        <f t="shared" si="18"/>
        <v>0</v>
      </c>
    </row>
    <row r="402" spans="1:28" ht="156.5" thickBot="1" x14ac:dyDescent="0.3">
      <c r="A402" s="44">
        <v>401</v>
      </c>
      <c r="B402" s="44" t="s">
        <v>24</v>
      </c>
      <c r="C402" s="36" t="s">
        <v>263</v>
      </c>
      <c r="D402" s="37">
        <v>45205</v>
      </c>
      <c r="E402" s="44" t="s">
        <v>1067</v>
      </c>
      <c r="F402" s="44" t="s">
        <v>1139</v>
      </c>
      <c r="G402" s="44" t="s">
        <v>55</v>
      </c>
      <c r="H402" s="44" t="s">
        <v>1178</v>
      </c>
      <c r="I402" s="44" t="s">
        <v>80</v>
      </c>
      <c r="J402" s="44" t="str">
        <f t="shared" si="16"/>
        <v>Home (Home Guard, Prison, Civil Defense, Public Prosecution)Prison &amp; Correctional Service EstablishmentCInstructor (Weaving)S8 (25500 - 81100)</v>
      </c>
      <c r="K402" s="44"/>
      <c r="L402" s="44" t="s">
        <v>261</v>
      </c>
      <c r="M402" s="45" t="s">
        <v>1179</v>
      </c>
      <c r="N402" s="44" t="s">
        <v>113</v>
      </c>
      <c r="O402" s="11" t="s">
        <v>33</v>
      </c>
      <c r="P402" s="12"/>
      <c r="Q402" s="12" t="s">
        <v>34</v>
      </c>
      <c r="R402" s="13"/>
      <c r="S402" s="13"/>
      <c r="T402" s="4" t="s">
        <v>3276</v>
      </c>
      <c r="U402" s="44" t="s">
        <v>35</v>
      </c>
      <c r="V402" s="45"/>
      <c r="W402" s="44"/>
      <c r="X402" s="44"/>
      <c r="Y402" s="44"/>
      <c r="Z402" s="41"/>
      <c r="AA402" s="42" t="e">
        <f>_xlfn.XLOOKUP(C402,#REF!,#REF!,"",0,1)</f>
        <v>#REF!</v>
      </c>
      <c r="AB402" s="43">
        <f t="shared" si="18"/>
        <v>0</v>
      </c>
    </row>
    <row r="403" spans="1:28" ht="156.5" thickBot="1" x14ac:dyDescent="0.3">
      <c r="A403" s="44">
        <v>402</v>
      </c>
      <c r="B403" s="44" t="s">
        <v>24</v>
      </c>
      <c r="C403" s="36" t="s">
        <v>263</v>
      </c>
      <c r="D403" s="37">
        <v>45205</v>
      </c>
      <c r="E403" s="44" t="s">
        <v>1067</v>
      </c>
      <c r="F403" s="44" t="s">
        <v>1139</v>
      </c>
      <c r="G403" s="44" t="s">
        <v>55</v>
      </c>
      <c r="H403" s="44" t="s">
        <v>1180</v>
      </c>
      <c r="I403" s="44" t="s">
        <v>80</v>
      </c>
      <c r="J403" s="44" t="str">
        <f t="shared" si="16"/>
        <v>Home (Home Guard, Prison, Civil Defense, Public Prosecution)Prison &amp; Correctional Service EstablishmentCInstructor (Masonary)S8 (25500 - 81100)</v>
      </c>
      <c r="K403" s="44"/>
      <c r="L403" s="44" t="s">
        <v>261</v>
      </c>
      <c r="M403" s="45" t="s">
        <v>1181</v>
      </c>
      <c r="N403" s="44" t="s">
        <v>113</v>
      </c>
      <c r="O403" s="11" t="s">
        <v>33</v>
      </c>
      <c r="P403" s="12"/>
      <c r="Q403" s="12" t="s">
        <v>34</v>
      </c>
      <c r="R403" s="13"/>
      <c r="S403" s="13"/>
      <c r="T403" s="4" t="s">
        <v>3276</v>
      </c>
      <c r="U403" s="44" t="s">
        <v>517</v>
      </c>
      <c r="V403" s="45"/>
      <c r="W403" s="44"/>
      <c r="X403" s="44"/>
      <c r="Y403" s="44"/>
      <c r="Z403" s="41"/>
      <c r="AA403" s="42" t="e">
        <f>_xlfn.XLOOKUP(C403,#REF!,#REF!,"",0,1)</f>
        <v>#REF!</v>
      </c>
      <c r="AB403" s="43">
        <f t="shared" si="18"/>
        <v>0</v>
      </c>
    </row>
    <row r="404" spans="1:28" ht="156.5" thickBot="1" x14ac:dyDescent="0.3">
      <c r="A404" s="44">
        <v>403</v>
      </c>
      <c r="B404" s="44" t="s">
        <v>24</v>
      </c>
      <c r="C404" s="36" t="s">
        <v>263</v>
      </c>
      <c r="D404" s="37">
        <v>45205</v>
      </c>
      <c r="E404" s="44" t="s">
        <v>1067</v>
      </c>
      <c r="F404" s="44" t="s">
        <v>1139</v>
      </c>
      <c r="G404" s="44" t="s">
        <v>55</v>
      </c>
      <c r="H404" s="44" t="s">
        <v>1182</v>
      </c>
      <c r="I404" s="44" t="s">
        <v>80</v>
      </c>
      <c r="J404" s="44" t="str">
        <f t="shared" si="16"/>
        <v>Home (Home Guard, Prison, Civil Defense, Public Prosecution)Prison &amp; Correctional Service EstablishmentCInstructor (Tailoring)S8 (25500 - 81100)</v>
      </c>
      <c r="K404" s="44"/>
      <c r="L404" s="44" t="s">
        <v>261</v>
      </c>
      <c r="M404" s="45" t="s">
        <v>1183</v>
      </c>
      <c r="N404" s="44" t="s">
        <v>113</v>
      </c>
      <c r="O404" s="11" t="s">
        <v>33</v>
      </c>
      <c r="P404" s="12"/>
      <c r="Q404" s="12" t="s">
        <v>34</v>
      </c>
      <c r="R404" s="13"/>
      <c r="S404" s="13"/>
      <c r="T404" s="4" t="s">
        <v>3276</v>
      </c>
      <c r="U404" s="44" t="s">
        <v>35</v>
      </c>
      <c r="V404" s="45"/>
      <c r="W404" s="44"/>
      <c r="X404" s="44"/>
      <c r="Y404" s="44"/>
      <c r="Z404" s="41"/>
      <c r="AA404" s="42" t="e">
        <f>_xlfn.XLOOKUP(C404,#REF!,#REF!,"",0,1)</f>
        <v>#REF!</v>
      </c>
      <c r="AB404" s="43">
        <f t="shared" si="18"/>
        <v>0</v>
      </c>
    </row>
    <row r="405" spans="1:28" ht="169.5" thickBot="1" x14ac:dyDescent="0.3">
      <c r="A405" s="44">
        <v>404</v>
      </c>
      <c r="B405" s="44" t="s">
        <v>24</v>
      </c>
      <c r="C405" s="36" t="s">
        <v>263</v>
      </c>
      <c r="D405" s="37">
        <v>45205</v>
      </c>
      <c r="E405" s="44" t="s">
        <v>1067</v>
      </c>
      <c r="F405" s="44" t="s">
        <v>1139</v>
      </c>
      <c r="G405" s="44" t="s">
        <v>55</v>
      </c>
      <c r="H405" s="44" t="s">
        <v>1184</v>
      </c>
      <c r="I405" s="44" t="s">
        <v>80</v>
      </c>
      <c r="J405" s="44" t="str">
        <f t="shared" si="16"/>
        <v>Home (Home Guard, Prison, Civil Defense, Public Prosecution)Prison &amp; Correctional Service EstablishmentCInstructor (Blacksmithy)S8 (25500 - 81100)</v>
      </c>
      <c r="K405" s="44"/>
      <c r="L405" s="44" t="s">
        <v>261</v>
      </c>
      <c r="M405" s="45" t="s">
        <v>1185</v>
      </c>
      <c r="N405" s="44" t="s">
        <v>113</v>
      </c>
      <c r="O405" s="11" t="s">
        <v>33</v>
      </c>
      <c r="P405" s="12"/>
      <c r="Q405" s="12" t="s">
        <v>34</v>
      </c>
      <c r="R405" s="13"/>
      <c r="S405" s="13"/>
      <c r="T405" s="4" t="s">
        <v>3276</v>
      </c>
      <c r="U405" s="44" t="s">
        <v>35</v>
      </c>
      <c r="V405" s="45"/>
      <c r="W405" s="44"/>
      <c r="X405" s="44"/>
      <c r="Y405" s="44"/>
      <c r="Z405" s="41"/>
      <c r="AA405" s="42" t="e">
        <f>_xlfn.XLOOKUP(C405,#REF!,#REF!,"",0,1)</f>
        <v>#REF!</v>
      </c>
      <c r="AB405" s="43">
        <f t="shared" si="18"/>
        <v>0</v>
      </c>
    </row>
    <row r="406" spans="1:28" ht="156.5" thickBot="1" x14ac:dyDescent="0.3">
      <c r="A406" s="44">
        <v>405</v>
      </c>
      <c r="B406" s="44" t="s">
        <v>24</v>
      </c>
      <c r="C406" s="36" t="s">
        <v>263</v>
      </c>
      <c r="D406" s="37">
        <v>45205</v>
      </c>
      <c r="E406" s="44" t="s">
        <v>1067</v>
      </c>
      <c r="F406" s="44" t="s">
        <v>1139</v>
      </c>
      <c r="G406" s="44" t="s">
        <v>55</v>
      </c>
      <c r="H406" s="44" t="s">
        <v>1186</v>
      </c>
      <c r="I406" s="44" t="s">
        <v>80</v>
      </c>
      <c r="J406" s="44" t="str">
        <f t="shared" si="16"/>
        <v>Home (Home Guard, Prison, Civil Defense, Public Prosecution)Prison &amp; Correctional Service EstablishmentCInstructor (Leather)S8 (25500 - 81100)</v>
      </c>
      <c r="K406" s="44"/>
      <c r="L406" s="44" t="s">
        <v>261</v>
      </c>
      <c r="M406" s="45" t="s">
        <v>1187</v>
      </c>
      <c r="N406" s="44" t="s">
        <v>113</v>
      </c>
      <c r="O406" s="11" t="s">
        <v>33</v>
      </c>
      <c r="P406" s="12"/>
      <c r="Q406" s="12" t="s">
        <v>34</v>
      </c>
      <c r="R406" s="13"/>
      <c r="S406" s="13"/>
      <c r="T406" s="4" t="s">
        <v>3276</v>
      </c>
      <c r="U406" s="44" t="s">
        <v>35</v>
      </c>
      <c r="V406" s="45"/>
      <c r="W406" s="44"/>
      <c r="X406" s="44"/>
      <c r="Y406" s="44"/>
      <c r="Z406" s="41"/>
      <c r="AA406" s="42" t="e">
        <f>_xlfn.XLOOKUP(C406,#REF!,#REF!,"",0,1)</f>
        <v>#REF!</v>
      </c>
      <c r="AB406" s="43">
        <f t="shared" si="18"/>
        <v>0</v>
      </c>
    </row>
    <row r="407" spans="1:28" ht="156.5" thickBot="1" x14ac:dyDescent="0.3">
      <c r="A407" s="44">
        <v>406</v>
      </c>
      <c r="B407" s="44" t="s">
        <v>24</v>
      </c>
      <c r="C407" s="36" t="s">
        <v>263</v>
      </c>
      <c r="D407" s="37">
        <v>45205</v>
      </c>
      <c r="E407" s="44" t="s">
        <v>1067</v>
      </c>
      <c r="F407" s="44" t="s">
        <v>1139</v>
      </c>
      <c r="G407" s="44" t="s">
        <v>55</v>
      </c>
      <c r="H407" s="44" t="s">
        <v>1188</v>
      </c>
      <c r="I407" s="44" t="s">
        <v>80</v>
      </c>
      <c r="J407" s="44" t="str">
        <f t="shared" si="16"/>
        <v>Home (Home Guard, Prison, Civil Defense, Public Prosecution)Prison &amp; Correctional Service EstablishmentCInstructor (Lacquer)S8 (25500 - 81100)</v>
      </c>
      <c r="K407" s="44"/>
      <c r="L407" s="44" t="s">
        <v>261</v>
      </c>
      <c r="M407" s="45" t="s">
        <v>1189</v>
      </c>
      <c r="N407" s="44" t="s">
        <v>113</v>
      </c>
      <c r="O407" s="11" t="s">
        <v>33</v>
      </c>
      <c r="P407" s="12"/>
      <c r="Q407" s="12" t="s">
        <v>34</v>
      </c>
      <c r="R407" s="13"/>
      <c r="S407" s="13"/>
      <c r="T407" s="4" t="s">
        <v>3276</v>
      </c>
      <c r="U407" s="44" t="s">
        <v>517</v>
      </c>
      <c r="V407" s="45"/>
      <c r="W407" s="44"/>
      <c r="X407" s="44"/>
      <c r="Y407" s="44"/>
      <c r="Z407" s="41"/>
      <c r="AA407" s="42" t="e">
        <f>_xlfn.XLOOKUP(C407,#REF!,#REF!,"",0,1)</f>
        <v>#REF!</v>
      </c>
      <c r="AB407" s="43">
        <f t="shared" si="18"/>
        <v>0</v>
      </c>
    </row>
    <row r="408" spans="1:28" ht="156.5" thickBot="1" x14ac:dyDescent="0.3">
      <c r="A408" s="44">
        <v>407</v>
      </c>
      <c r="B408" s="44" t="s">
        <v>24</v>
      </c>
      <c r="C408" s="36" t="s">
        <v>263</v>
      </c>
      <c r="D408" s="37">
        <v>45205</v>
      </c>
      <c r="E408" s="44" t="s">
        <v>1067</v>
      </c>
      <c r="F408" s="44" t="s">
        <v>1139</v>
      </c>
      <c r="G408" s="44" t="s">
        <v>55</v>
      </c>
      <c r="H408" s="44" t="s">
        <v>961</v>
      </c>
      <c r="I408" s="44" t="s">
        <v>80</v>
      </c>
      <c r="J408" s="44" t="str">
        <f t="shared" si="16"/>
        <v>Home (Home Guard, Prison, Civil Defense, Public Prosecution)Prison &amp; Correctional Service EstablishmentCInstructor (Turner)S8 (25500 - 81100)</v>
      </c>
      <c r="K408" s="44"/>
      <c r="L408" s="44" t="s">
        <v>261</v>
      </c>
      <c r="M408" s="45" t="s">
        <v>1190</v>
      </c>
      <c r="N408" s="44" t="s">
        <v>113</v>
      </c>
      <c r="O408" s="11" t="s">
        <v>33</v>
      </c>
      <c r="P408" s="12"/>
      <c r="Q408" s="12" t="s">
        <v>34</v>
      </c>
      <c r="R408" s="13"/>
      <c r="S408" s="13"/>
      <c r="T408" s="4" t="s">
        <v>3276</v>
      </c>
      <c r="U408" s="44" t="s">
        <v>35</v>
      </c>
      <c r="V408" s="45"/>
      <c r="W408" s="44"/>
      <c r="X408" s="44"/>
      <c r="Y408" s="44"/>
      <c r="Z408" s="41"/>
      <c r="AA408" s="42" t="e">
        <f>_xlfn.XLOOKUP(C408,#REF!,#REF!,"",0,1)</f>
        <v>#REF!</v>
      </c>
      <c r="AB408" s="43">
        <f t="shared" si="18"/>
        <v>0</v>
      </c>
    </row>
    <row r="409" spans="1:28" ht="156.5" thickBot="1" x14ac:dyDescent="0.3">
      <c r="A409" s="44">
        <v>408</v>
      </c>
      <c r="B409" s="44" t="s">
        <v>24</v>
      </c>
      <c r="C409" s="36" t="s">
        <v>263</v>
      </c>
      <c r="D409" s="37">
        <v>45205</v>
      </c>
      <c r="E409" s="44" t="s">
        <v>1067</v>
      </c>
      <c r="F409" s="44" t="s">
        <v>1139</v>
      </c>
      <c r="G409" s="44" t="s">
        <v>55</v>
      </c>
      <c r="H409" s="44" t="s">
        <v>953</v>
      </c>
      <c r="I409" s="44" t="s">
        <v>80</v>
      </c>
      <c r="J409" s="44" t="str">
        <f t="shared" si="16"/>
        <v>Home (Home Guard, Prison, Civil Defense, Public Prosecution)Prison &amp; Correctional Service EstablishmentCInstructor (Fitter)S8 (25500 - 81100)</v>
      </c>
      <c r="K409" s="44"/>
      <c r="L409" s="44" t="s">
        <v>261</v>
      </c>
      <c r="M409" s="45" t="s">
        <v>1191</v>
      </c>
      <c r="N409" s="44" t="s">
        <v>113</v>
      </c>
      <c r="O409" s="11" t="s">
        <v>33</v>
      </c>
      <c r="P409" s="12"/>
      <c r="Q409" s="12" t="s">
        <v>34</v>
      </c>
      <c r="R409" s="13"/>
      <c r="S409" s="13"/>
      <c r="T409" s="4" t="s">
        <v>3276</v>
      </c>
      <c r="U409" s="44" t="s">
        <v>517</v>
      </c>
      <c r="V409" s="45"/>
      <c r="W409" s="44"/>
      <c r="X409" s="44"/>
      <c r="Y409" s="44"/>
      <c r="Z409" s="41"/>
      <c r="AA409" s="42" t="e">
        <f>_xlfn.XLOOKUP(C409,#REF!,#REF!,"",0,1)</f>
        <v>#REF!</v>
      </c>
      <c r="AB409" s="43">
        <f t="shared" si="18"/>
        <v>0</v>
      </c>
    </row>
    <row r="410" spans="1:28" ht="156.5" thickBot="1" x14ac:dyDescent="0.3">
      <c r="A410" s="44">
        <v>409</v>
      </c>
      <c r="B410" s="44" t="s">
        <v>24</v>
      </c>
      <c r="C410" s="36" t="s">
        <v>263</v>
      </c>
      <c r="D410" s="37">
        <v>45205</v>
      </c>
      <c r="E410" s="44" t="s">
        <v>1067</v>
      </c>
      <c r="F410" s="44" t="s">
        <v>1139</v>
      </c>
      <c r="G410" s="44" t="s">
        <v>55</v>
      </c>
      <c r="H410" s="44" t="s">
        <v>1192</v>
      </c>
      <c r="I410" s="44" t="s">
        <v>80</v>
      </c>
      <c r="J410" s="44" t="str">
        <f t="shared" si="16"/>
        <v>Home (Home Guard, Prison, Civil Defense, Public Prosecution)Prison &amp; Correctional Service EstablishmentCInstructor (Bakery)S8 (25500 - 81100)</v>
      </c>
      <c r="K410" s="44"/>
      <c r="L410" s="44" t="s">
        <v>261</v>
      </c>
      <c r="M410" s="45" t="s">
        <v>1193</v>
      </c>
      <c r="N410" s="44" t="s">
        <v>113</v>
      </c>
      <c r="O410" s="11" t="s">
        <v>33</v>
      </c>
      <c r="P410" s="12"/>
      <c r="Q410" s="12" t="s">
        <v>34</v>
      </c>
      <c r="R410" s="13"/>
      <c r="S410" s="13"/>
      <c r="T410" s="4" t="s">
        <v>3276</v>
      </c>
      <c r="U410" s="44" t="s">
        <v>35</v>
      </c>
      <c r="V410" s="45"/>
      <c r="W410" s="44"/>
      <c r="X410" s="44"/>
      <c r="Y410" s="44"/>
      <c r="Z410" s="41"/>
      <c r="AA410" s="42" t="e">
        <f>_xlfn.XLOOKUP(C410,#REF!,#REF!,"",0,1)</f>
        <v>#REF!</v>
      </c>
      <c r="AB410" s="43">
        <f t="shared" si="18"/>
        <v>0</v>
      </c>
    </row>
    <row r="411" spans="1:28" ht="169.5" thickBot="1" x14ac:dyDescent="0.3">
      <c r="A411" s="44">
        <v>410</v>
      </c>
      <c r="B411" s="44" t="s">
        <v>24</v>
      </c>
      <c r="C411" s="36" t="s">
        <v>263</v>
      </c>
      <c r="D411" s="37">
        <v>45205</v>
      </c>
      <c r="E411" s="44" t="s">
        <v>1067</v>
      </c>
      <c r="F411" s="44" t="s">
        <v>1139</v>
      </c>
      <c r="G411" s="44" t="s">
        <v>55</v>
      </c>
      <c r="H411" s="44" t="s">
        <v>1194</v>
      </c>
      <c r="I411" s="44" t="s">
        <v>80</v>
      </c>
      <c r="J411" s="44" t="str">
        <f t="shared" si="16"/>
        <v>Home (Home Guard, Prison, Civil Defense, Public Prosecution)Prison &amp; Correctional Service EstablishmentCInstructor (Paper Industry)S8 (25500 - 81100)</v>
      </c>
      <c r="K411" s="44"/>
      <c r="L411" s="44" t="s">
        <v>261</v>
      </c>
      <c r="M411" s="45" t="s">
        <v>1195</v>
      </c>
      <c r="N411" s="44" t="s">
        <v>113</v>
      </c>
      <c r="O411" s="11" t="s">
        <v>33</v>
      </c>
      <c r="P411" s="12"/>
      <c r="Q411" s="12" t="s">
        <v>34</v>
      </c>
      <c r="R411" s="13"/>
      <c r="S411" s="13"/>
      <c r="T411" s="4" t="s">
        <v>3276</v>
      </c>
      <c r="U411" s="44" t="s">
        <v>35</v>
      </c>
      <c r="V411" s="45"/>
      <c r="W411" s="44"/>
      <c r="X411" s="44"/>
      <c r="Y411" s="44"/>
      <c r="Z411" s="41"/>
      <c r="AA411" s="42" t="e">
        <f>_xlfn.XLOOKUP(C411,#REF!,#REF!,"",0,1)</f>
        <v>#REF!</v>
      </c>
      <c r="AB411" s="43">
        <f t="shared" si="18"/>
        <v>0</v>
      </c>
    </row>
    <row r="412" spans="1:28" ht="156.5" thickBot="1" x14ac:dyDescent="0.3">
      <c r="A412" s="44">
        <v>411</v>
      </c>
      <c r="B412" s="44" t="s">
        <v>24</v>
      </c>
      <c r="C412" s="36" t="s">
        <v>263</v>
      </c>
      <c r="D412" s="37">
        <v>45205</v>
      </c>
      <c r="E412" s="44" t="s">
        <v>1067</v>
      </c>
      <c r="F412" s="44" t="s">
        <v>1139</v>
      </c>
      <c r="G412" s="44" t="s">
        <v>55</v>
      </c>
      <c r="H412" s="44" t="s">
        <v>1196</v>
      </c>
      <c r="I412" s="44" t="s">
        <v>80</v>
      </c>
      <c r="J412" s="44" t="str">
        <f t="shared" si="16"/>
        <v>Home (Home Guard, Prison, Civil Defense, Public Prosecution)Prison &amp; Correctional Service EstablishmentCInstructor (Carpentry)S8 (25500 - 81100)</v>
      </c>
      <c r="K412" s="44"/>
      <c r="L412" s="44" t="s">
        <v>261</v>
      </c>
      <c r="M412" s="45" t="s">
        <v>1197</v>
      </c>
      <c r="N412" s="44" t="s">
        <v>113</v>
      </c>
      <c r="O412" s="11" t="s">
        <v>33</v>
      </c>
      <c r="P412" s="12"/>
      <c r="Q412" s="12" t="s">
        <v>34</v>
      </c>
      <c r="R412" s="13"/>
      <c r="S412" s="13"/>
      <c r="T412" s="4" t="s">
        <v>3276</v>
      </c>
      <c r="U412" s="44" t="s">
        <v>35</v>
      </c>
      <c r="V412" s="45"/>
      <c r="W412" s="44"/>
      <c r="X412" s="44"/>
      <c r="Y412" s="44"/>
      <c r="Z412" s="41"/>
      <c r="AA412" s="42" t="e">
        <f>_xlfn.XLOOKUP(C412,#REF!,#REF!,"",0,1)</f>
        <v>#REF!</v>
      </c>
      <c r="AB412" s="43">
        <f t="shared" si="18"/>
        <v>0</v>
      </c>
    </row>
    <row r="413" spans="1:28" ht="143.5" thickBot="1" x14ac:dyDescent="0.3">
      <c r="A413" s="44">
        <v>412</v>
      </c>
      <c r="B413" s="44" t="s">
        <v>24</v>
      </c>
      <c r="C413" s="36" t="s">
        <v>263</v>
      </c>
      <c r="D413" s="37">
        <v>45205</v>
      </c>
      <c r="E413" s="44" t="s">
        <v>1067</v>
      </c>
      <c r="F413" s="44" t="s">
        <v>1139</v>
      </c>
      <c r="G413" s="44" t="s">
        <v>55</v>
      </c>
      <c r="H413" s="44" t="s">
        <v>1198</v>
      </c>
      <c r="I413" s="44" t="s">
        <v>80</v>
      </c>
      <c r="J413" s="44" t="str">
        <f t="shared" si="16"/>
        <v>Home (Home Guard, Prison, Civil Defense, Public Prosecution)Prison &amp; Correctional Service EstablishmentCSawyerS8 (25500 - 81100)</v>
      </c>
      <c r="K413" s="44"/>
      <c r="L413" s="44" t="s">
        <v>261</v>
      </c>
      <c r="M413" s="45" t="s">
        <v>1199</v>
      </c>
      <c r="N413" s="44" t="s">
        <v>113</v>
      </c>
      <c r="O413" s="11" t="s">
        <v>33</v>
      </c>
      <c r="P413" s="12"/>
      <c r="Q413" s="12" t="s">
        <v>34</v>
      </c>
      <c r="R413" s="13"/>
      <c r="S413" s="13"/>
      <c r="T413" s="4" t="s">
        <v>3276</v>
      </c>
      <c r="U413" s="44" t="s">
        <v>35</v>
      </c>
      <c r="V413" s="45"/>
      <c r="W413" s="44"/>
      <c r="X413" s="44"/>
      <c r="Y413" s="44"/>
      <c r="Z413" s="41"/>
      <c r="AA413" s="42" t="e">
        <f>_xlfn.XLOOKUP(C413,#REF!,#REF!,"",0,1)</f>
        <v>#REF!</v>
      </c>
      <c r="AB413" s="43">
        <f t="shared" si="18"/>
        <v>0</v>
      </c>
    </row>
    <row r="414" spans="1:28" ht="143.5" thickBot="1" x14ac:dyDescent="0.3">
      <c r="A414" s="44">
        <v>413</v>
      </c>
      <c r="B414" s="44" t="s">
        <v>24</v>
      </c>
      <c r="C414" s="36" t="s">
        <v>263</v>
      </c>
      <c r="D414" s="37">
        <v>45205</v>
      </c>
      <c r="E414" s="44" t="s">
        <v>1067</v>
      </c>
      <c r="F414" s="44" t="s">
        <v>1139</v>
      </c>
      <c r="G414" s="44" t="s">
        <v>55</v>
      </c>
      <c r="H414" s="44" t="s">
        <v>1200</v>
      </c>
      <c r="I414" s="44" t="s">
        <v>80</v>
      </c>
      <c r="J414" s="44" t="str">
        <f t="shared" si="16"/>
        <v>Home (Home Guard, Prison, Civil Defense, Public Prosecution)Prison &amp; Correctional Service EstablishmentCWarperS8 (25500 - 81100)</v>
      </c>
      <c r="K414" s="44"/>
      <c r="L414" s="44" t="s">
        <v>261</v>
      </c>
      <c r="M414" s="45" t="s">
        <v>1201</v>
      </c>
      <c r="N414" s="44" t="s">
        <v>113</v>
      </c>
      <c r="O414" s="11" t="s">
        <v>33</v>
      </c>
      <c r="P414" s="12"/>
      <c r="Q414" s="12" t="s">
        <v>34</v>
      </c>
      <c r="R414" s="13"/>
      <c r="S414" s="13"/>
      <c r="T414" s="4" t="s">
        <v>3276</v>
      </c>
      <c r="U414" s="44" t="s">
        <v>35</v>
      </c>
      <c r="V414" s="45"/>
      <c r="W414" s="44"/>
      <c r="X414" s="44"/>
      <c r="Y414" s="44"/>
      <c r="Z414" s="41"/>
      <c r="AA414" s="42" t="e">
        <f>_xlfn.XLOOKUP(C414,#REF!,#REF!,"",0,1)</f>
        <v>#REF!</v>
      </c>
      <c r="AB414" s="43">
        <f t="shared" si="18"/>
        <v>0</v>
      </c>
    </row>
    <row r="415" spans="1:28" ht="156.5" thickBot="1" x14ac:dyDescent="0.3">
      <c r="A415" s="44">
        <v>414</v>
      </c>
      <c r="B415" s="44" t="s">
        <v>24</v>
      </c>
      <c r="C415" s="36" t="s">
        <v>263</v>
      </c>
      <c r="D415" s="37">
        <v>45205</v>
      </c>
      <c r="E415" s="44" t="s">
        <v>1067</v>
      </c>
      <c r="F415" s="44" t="s">
        <v>1139</v>
      </c>
      <c r="G415" s="44" t="s">
        <v>55</v>
      </c>
      <c r="H415" s="44" t="s">
        <v>913</v>
      </c>
      <c r="I415" s="44" t="s">
        <v>80</v>
      </c>
      <c r="J415" s="44" t="str">
        <f t="shared" si="16"/>
        <v>Home (Home Guard, Prison, Civil Defense, Public Prosecution)Prison &amp; Correctional Service EstablishmentCInstructor (Printing)S8 (25500 - 81100)</v>
      </c>
      <c r="K415" s="44"/>
      <c r="L415" s="44" t="s">
        <v>261</v>
      </c>
      <c r="M415" s="45" t="s">
        <v>1202</v>
      </c>
      <c r="N415" s="44" t="s">
        <v>113</v>
      </c>
      <c r="O415" s="11" t="s">
        <v>33</v>
      </c>
      <c r="P415" s="12"/>
      <c r="Q415" s="12" t="s">
        <v>34</v>
      </c>
      <c r="R415" s="13"/>
      <c r="S415" s="13"/>
      <c r="T415" s="4" t="s">
        <v>3276</v>
      </c>
      <c r="U415" s="44" t="s">
        <v>517</v>
      </c>
      <c r="V415" s="45"/>
      <c r="W415" s="44"/>
      <c r="X415" s="44"/>
      <c r="Y415" s="44"/>
      <c r="Z415" s="41"/>
      <c r="AA415" s="42" t="e">
        <f>_xlfn.XLOOKUP(C415,#REF!,#REF!,"",0,1)</f>
        <v>#REF!</v>
      </c>
      <c r="AB415" s="43">
        <f t="shared" si="18"/>
        <v>0</v>
      </c>
    </row>
    <row r="416" spans="1:28" ht="169.5" thickBot="1" x14ac:dyDescent="0.3">
      <c r="A416" s="44">
        <v>415</v>
      </c>
      <c r="B416" s="44" t="s">
        <v>24</v>
      </c>
      <c r="C416" s="36" t="s">
        <v>263</v>
      </c>
      <c r="D416" s="37">
        <v>45205</v>
      </c>
      <c r="E416" s="44" t="s">
        <v>1067</v>
      </c>
      <c r="F416" s="44" t="s">
        <v>1139</v>
      </c>
      <c r="G416" s="44" t="s">
        <v>55</v>
      </c>
      <c r="H416" s="44" t="s">
        <v>1203</v>
      </c>
      <c r="I416" s="44" t="s">
        <v>80</v>
      </c>
      <c r="J416" s="44" t="str">
        <f t="shared" si="16"/>
        <v>Home (Home Guard, Prison, Civil Defense, Public Prosecution)Prison &amp; Correctional Service EstablishmentCInstructor (Knitting &amp; Weaving)S8 (25500 - 81100)</v>
      </c>
      <c r="K416" s="44"/>
      <c r="L416" s="44" t="s">
        <v>261</v>
      </c>
      <c r="M416" s="45" t="s">
        <v>1204</v>
      </c>
      <c r="N416" s="44" t="s">
        <v>113</v>
      </c>
      <c r="O416" s="11" t="s">
        <v>33</v>
      </c>
      <c r="P416" s="12"/>
      <c r="Q416" s="12" t="s">
        <v>34</v>
      </c>
      <c r="R416" s="13"/>
      <c r="S416" s="13"/>
      <c r="T416" s="4" t="s">
        <v>3276</v>
      </c>
      <c r="U416" s="44" t="s">
        <v>35</v>
      </c>
      <c r="V416" s="45"/>
      <c r="W416" s="44"/>
      <c r="X416" s="44"/>
      <c r="Y416" s="44"/>
      <c r="Z416" s="41"/>
      <c r="AA416" s="42" t="e">
        <f>_xlfn.XLOOKUP(C416,#REF!,#REF!,"",0,1)</f>
        <v>#REF!</v>
      </c>
      <c r="AB416" s="43">
        <f t="shared" si="18"/>
        <v>0</v>
      </c>
    </row>
    <row r="417" spans="1:28" ht="156.5" thickBot="1" x14ac:dyDescent="0.3">
      <c r="A417" s="44">
        <v>416</v>
      </c>
      <c r="B417" s="44" t="s">
        <v>24</v>
      </c>
      <c r="C417" s="36" t="s">
        <v>263</v>
      </c>
      <c r="D417" s="37">
        <v>45205</v>
      </c>
      <c r="E417" s="44" t="s">
        <v>1067</v>
      </c>
      <c r="F417" s="44" t="s">
        <v>1139</v>
      </c>
      <c r="G417" s="44" t="s">
        <v>55</v>
      </c>
      <c r="H417" s="44" t="s">
        <v>1205</v>
      </c>
      <c r="I417" s="44" t="s">
        <v>80</v>
      </c>
      <c r="J417" s="44" t="str">
        <f t="shared" si="16"/>
        <v>Home (Home Guard, Prison, Civil Defense, Public Prosecution)Prison &amp; Correctional Service EstablishmentCSupervisor (Chemical)S8 (25500 - 81100)</v>
      </c>
      <c r="K417" s="44"/>
      <c r="L417" s="44" t="s">
        <v>261</v>
      </c>
      <c r="M417" s="45" t="s">
        <v>1206</v>
      </c>
      <c r="N417" s="44" t="s">
        <v>113</v>
      </c>
      <c r="O417" s="11" t="s">
        <v>33</v>
      </c>
      <c r="P417" s="12"/>
      <c r="Q417" s="12" t="s">
        <v>34</v>
      </c>
      <c r="R417" s="13"/>
      <c r="S417" s="13"/>
      <c r="T417" s="4" t="s">
        <v>3276</v>
      </c>
      <c r="U417" s="44" t="s">
        <v>517</v>
      </c>
      <c r="V417" s="45"/>
      <c r="W417" s="44"/>
      <c r="X417" s="44"/>
      <c r="Y417" s="44"/>
      <c r="Z417" s="41"/>
      <c r="AA417" s="42" t="e">
        <f>_xlfn.XLOOKUP(C417,#REF!,#REF!,"",0,1)</f>
        <v>#REF!</v>
      </c>
      <c r="AB417" s="43">
        <f t="shared" si="18"/>
        <v>0</v>
      </c>
    </row>
    <row r="418" spans="1:28" ht="156.5" thickBot="1" x14ac:dyDescent="0.3">
      <c r="A418" s="44">
        <v>417</v>
      </c>
      <c r="B418" s="44" t="s">
        <v>24</v>
      </c>
      <c r="C418" s="36" t="s">
        <v>263</v>
      </c>
      <c r="D418" s="37">
        <v>45205</v>
      </c>
      <c r="E418" s="44" t="s">
        <v>1067</v>
      </c>
      <c r="F418" s="44" t="s">
        <v>1139</v>
      </c>
      <c r="G418" s="44" t="s">
        <v>55</v>
      </c>
      <c r="H418" s="44" t="s">
        <v>1207</v>
      </c>
      <c r="I418" s="44" t="s">
        <v>80</v>
      </c>
      <c r="J418" s="44" t="str">
        <f t="shared" si="16"/>
        <v>Home (Home Guard, Prison, Civil Defense, Public Prosecution)Prison &amp; Correctional Service EstablishmentCSupervisor (Milling)S8 (25500 - 81100)</v>
      </c>
      <c r="K418" s="44"/>
      <c r="L418" s="44" t="s">
        <v>261</v>
      </c>
      <c r="M418" s="45" t="s">
        <v>1208</v>
      </c>
      <c r="N418" s="44" t="s">
        <v>113</v>
      </c>
      <c r="O418" s="11" t="s">
        <v>33</v>
      </c>
      <c r="P418" s="12"/>
      <c r="Q418" s="12" t="s">
        <v>34</v>
      </c>
      <c r="R418" s="13"/>
      <c r="S418" s="13"/>
      <c r="T418" s="4" t="s">
        <v>3276</v>
      </c>
      <c r="U418" s="44" t="s">
        <v>517</v>
      </c>
      <c r="V418" s="45"/>
      <c r="W418" s="44"/>
      <c r="X418" s="44"/>
      <c r="Y418" s="44"/>
      <c r="Z418" s="41"/>
      <c r="AA418" s="42" t="e">
        <f>_xlfn.XLOOKUP(C418,#REF!,#REF!,"",0,1)</f>
        <v>#REF!</v>
      </c>
      <c r="AB418" s="43">
        <f t="shared" si="18"/>
        <v>0</v>
      </c>
    </row>
    <row r="419" spans="1:28" ht="143.5" thickBot="1" x14ac:dyDescent="0.3">
      <c r="A419" s="44">
        <v>418</v>
      </c>
      <c r="B419" s="44" t="s">
        <v>24</v>
      </c>
      <c r="C419" s="36" t="s">
        <v>263</v>
      </c>
      <c r="D419" s="37">
        <v>45205</v>
      </c>
      <c r="E419" s="44" t="s">
        <v>1067</v>
      </c>
      <c r="F419" s="44" t="s">
        <v>1139</v>
      </c>
      <c r="G419" s="44" t="s">
        <v>55</v>
      </c>
      <c r="H419" s="44" t="s">
        <v>1209</v>
      </c>
      <c r="I419" s="44" t="s">
        <v>80</v>
      </c>
      <c r="J419" s="44" t="str">
        <f t="shared" si="16"/>
        <v>Home (Home Guard, Prison, Civil Defense, Public Prosecution)Prison &amp; Correctional Service EstablishmentCPrepretoryS8 (25500 - 81100)</v>
      </c>
      <c r="K419" s="44"/>
      <c r="L419" s="44" t="s">
        <v>261</v>
      </c>
      <c r="M419" s="45" t="s">
        <v>1210</v>
      </c>
      <c r="N419" s="44" t="s">
        <v>113</v>
      </c>
      <c r="O419" s="11" t="s">
        <v>33</v>
      </c>
      <c r="P419" s="12"/>
      <c r="Q419" s="12" t="s">
        <v>34</v>
      </c>
      <c r="R419" s="13"/>
      <c r="S419" s="13"/>
      <c r="T419" s="4" t="s">
        <v>3276</v>
      </c>
      <c r="U419" s="44" t="s">
        <v>517</v>
      </c>
      <c r="V419" s="45"/>
      <c r="W419" s="44"/>
      <c r="X419" s="44"/>
      <c r="Y419" s="44"/>
      <c r="Z419" s="41"/>
      <c r="AA419" s="42" t="e">
        <f>_xlfn.XLOOKUP(C419,#REF!,#REF!,"",0,1)</f>
        <v>#REF!</v>
      </c>
      <c r="AB419" s="43">
        <f t="shared" si="18"/>
        <v>0</v>
      </c>
    </row>
    <row r="420" spans="1:28" ht="143.5" thickBot="1" x14ac:dyDescent="0.3">
      <c r="A420" s="44">
        <v>419</v>
      </c>
      <c r="B420" s="44" t="s">
        <v>24</v>
      </c>
      <c r="C420" s="36" t="s">
        <v>263</v>
      </c>
      <c r="D420" s="37">
        <v>45205</v>
      </c>
      <c r="E420" s="44" t="s">
        <v>1067</v>
      </c>
      <c r="F420" s="44" t="s">
        <v>1139</v>
      </c>
      <c r="G420" s="44" t="s">
        <v>55</v>
      </c>
      <c r="H420" s="44" t="s">
        <v>1211</v>
      </c>
      <c r="I420" s="44" t="s">
        <v>80</v>
      </c>
      <c r="J420" s="44" t="str">
        <f t="shared" si="16"/>
        <v>Home (Home Guard, Prison, Civil Defense, Public Prosecution)Prison &amp; Correctional Service EstablishmentCElectricianS8 (25500 - 81100)</v>
      </c>
      <c r="K420" s="44"/>
      <c r="L420" s="44" t="s">
        <v>261</v>
      </c>
      <c r="M420" s="45" t="s">
        <v>1212</v>
      </c>
      <c r="N420" s="44" t="s">
        <v>113</v>
      </c>
      <c r="O420" s="11" t="s">
        <v>33</v>
      </c>
      <c r="P420" s="12"/>
      <c r="Q420" s="12" t="s">
        <v>34</v>
      </c>
      <c r="R420" s="13"/>
      <c r="S420" s="13"/>
      <c r="T420" s="4" t="s">
        <v>3276</v>
      </c>
      <c r="U420" s="44" t="s">
        <v>517</v>
      </c>
      <c r="V420" s="45"/>
      <c r="W420" s="44"/>
      <c r="X420" s="44"/>
      <c r="Y420" s="44"/>
      <c r="Z420" s="41"/>
      <c r="AA420" s="42" t="e">
        <f>_xlfn.XLOOKUP(C420,#REF!,#REF!,"",0,1)</f>
        <v>#REF!</v>
      </c>
      <c r="AB420" s="43">
        <f t="shared" si="18"/>
        <v>0</v>
      </c>
    </row>
    <row r="421" spans="1:28" ht="143.5" thickBot="1" x14ac:dyDescent="0.3">
      <c r="A421" s="44">
        <v>420</v>
      </c>
      <c r="B421" s="44" t="s">
        <v>24</v>
      </c>
      <c r="C421" s="36" t="s">
        <v>263</v>
      </c>
      <c r="D421" s="37">
        <v>45205</v>
      </c>
      <c r="E421" s="44" t="s">
        <v>1067</v>
      </c>
      <c r="F421" s="44" t="s">
        <v>1139</v>
      </c>
      <c r="G421" s="44" t="s">
        <v>55</v>
      </c>
      <c r="H421" s="44" t="s">
        <v>1213</v>
      </c>
      <c r="I421" s="44" t="s">
        <v>80</v>
      </c>
      <c r="J421" s="44" t="str">
        <f t="shared" si="16"/>
        <v>Home (Home Guard, Prison, Civil Defense, Public Prosecution)Prison &amp; Correctional Service EstablishmentCHosieryS8 (25500 - 81100)</v>
      </c>
      <c r="K421" s="44"/>
      <c r="L421" s="44" t="s">
        <v>261</v>
      </c>
      <c r="M421" s="45" t="s">
        <v>480</v>
      </c>
      <c r="N421" s="44" t="s">
        <v>113</v>
      </c>
      <c r="O421" s="11" t="s">
        <v>33</v>
      </c>
      <c r="P421" s="12"/>
      <c r="Q421" s="12" t="s">
        <v>34</v>
      </c>
      <c r="R421" s="13"/>
      <c r="S421" s="13"/>
      <c r="T421" s="4" t="s">
        <v>3276</v>
      </c>
      <c r="U421" s="44" t="s">
        <v>517</v>
      </c>
      <c r="V421" s="45"/>
      <c r="W421" s="44"/>
      <c r="X421" s="44"/>
      <c r="Y421" s="44"/>
      <c r="Z421" s="41"/>
      <c r="AA421" s="42" t="e">
        <f>_xlfn.XLOOKUP(C421,#REF!,#REF!,"",0,1)</f>
        <v>#REF!</v>
      </c>
      <c r="AB421" s="43">
        <f t="shared" si="18"/>
        <v>0</v>
      </c>
    </row>
    <row r="422" spans="1:28" ht="143.5" thickBot="1" x14ac:dyDescent="0.3">
      <c r="A422" s="36">
        <v>421</v>
      </c>
      <c r="B422" s="36" t="s">
        <v>24</v>
      </c>
      <c r="C422" s="36" t="s">
        <v>263</v>
      </c>
      <c r="D422" s="37">
        <v>45205</v>
      </c>
      <c r="E422" s="36" t="s">
        <v>1067</v>
      </c>
      <c r="F422" s="36" t="s">
        <v>1139</v>
      </c>
      <c r="G422" s="36" t="s">
        <v>55</v>
      </c>
      <c r="H422" s="36" t="s">
        <v>87</v>
      </c>
      <c r="I422" s="36" t="s">
        <v>80</v>
      </c>
      <c r="J422" s="36" t="str">
        <f t="shared" si="16"/>
        <v>Home (Home Guard, Prison, Civil Defense, Public Prosecution)Prison &amp; Correctional Service EstablishmentCSenior ClerkS8 (25500 - 81100)</v>
      </c>
      <c r="K422" s="36"/>
      <c r="L422" s="36" t="s">
        <v>243</v>
      </c>
      <c r="M422" s="38" t="s">
        <v>356</v>
      </c>
      <c r="N422" s="36" t="s">
        <v>32</v>
      </c>
      <c r="O422" s="6" t="s">
        <v>33</v>
      </c>
      <c r="P422" s="7"/>
      <c r="Q422" s="7" t="s">
        <v>34</v>
      </c>
      <c r="R422" s="8"/>
      <c r="S422" s="8"/>
      <c r="T422" s="4" t="s">
        <v>3276</v>
      </c>
      <c r="U422" s="36" t="s">
        <v>35</v>
      </c>
      <c r="V422" s="38"/>
      <c r="W422" s="36"/>
      <c r="X422" s="36"/>
      <c r="Y422" s="36"/>
      <c r="Z422" s="41"/>
      <c r="AA422" s="42" t="e">
        <f>_xlfn.XLOOKUP(C422,#REF!,#REF!,"",0,1)</f>
        <v>#REF!</v>
      </c>
      <c r="AB422" s="43">
        <f t="shared" si="18"/>
        <v>0</v>
      </c>
    </row>
    <row r="423" spans="1:28" ht="169.5" thickBot="1" x14ac:dyDescent="0.3">
      <c r="A423" s="36">
        <v>422</v>
      </c>
      <c r="B423" s="36" t="s">
        <v>24</v>
      </c>
      <c r="C423" s="36" t="s">
        <v>263</v>
      </c>
      <c r="D423" s="37">
        <v>44382</v>
      </c>
      <c r="E423" s="36" t="s">
        <v>1067</v>
      </c>
      <c r="F423" s="36" t="s">
        <v>1214</v>
      </c>
      <c r="G423" s="36" t="s">
        <v>28</v>
      </c>
      <c r="H423" s="36" t="s">
        <v>1215</v>
      </c>
      <c r="I423" s="36" t="s">
        <v>38</v>
      </c>
      <c r="J423" s="36" t="str">
        <f t="shared" si="16"/>
        <v>Home (Home Guard, Prison, Civil Defense, Public Prosecution)Public Prosecution EstablishmentAAssistant Public ProsecutorS20 (56100 - 177500)</v>
      </c>
      <c r="K423" s="36" t="s">
        <v>408</v>
      </c>
      <c r="L423" s="36" t="s">
        <v>247</v>
      </c>
      <c r="M423" s="38" t="s">
        <v>1216</v>
      </c>
      <c r="N423" s="36" t="s">
        <v>41</v>
      </c>
      <c r="O423" s="9"/>
      <c r="P423" s="7">
        <v>98</v>
      </c>
      <c r="Q423" s="7" t="s">
        <v>34</v>
      </c>
      <c r="R423" s="8"/>
      <c r="S423" s="8"/>
      <c r="T423" s="7" t="s">
        <v>61</v>
      </c>
      <c r="U423" s="36" t="s">
        <v>35</v>
      </c>
      <c r="V423" s="38"/>
      <c r="W423" s="36"/>
      <c r="X423" s="36"/>
      <c r="Y423" s="36"/>
      <c r="Z423" s="41"/>
      <c r="AA423" s="42" t="e">
        <f>_xlfn.XLOOKUP(C423,#REF!,#REF!,"",0,1)</f>
        <v>#REF!</v>
      </c>
      <c r="AB423" s="43">
        <f t="shared" si="18"/>
        <v>0</v>
      </c>
    </row>
    <row r="424" spans="1:28" ht="169.5" thickBot="1" x14ac:dyDescent="0.3">
      <c r="A424" s="36">
        <v>423</v>
      </c>
      <c r="B424" s="36" t="s">
        <v>24</v>
      </c>
      <c r="C424" s="36" t="s">
        <v>263</v>
      </c>
      <c r="D424" s="37">
        <v>44382</v>
      </c>
      <c r="E424" s="36" t="s">
        <v>1067</v>
      </c>
      <c r="F424" s="36" t="s">
        <v>1214</v>
      </c>
      <c r="G424" s="36" t="s">
        <v>28</v>
      </c>
      <c r="H424" s="36" t="s">
        <v>1217</v>
      </c>
      <c r="I424" s="36" t="s">
        <v>242</v>
      </c>
      <c r="J424" s="36" t="str">
        <f t="shared" si="16"/>
        <v>Home (Home Guard, Prison, Civil Defense, Public Prosecution)Public Prosecution EstablishmentAAdditional Public ProsecutorS23 (67700 - 208700)</v>
      </c>
      <c r="K424" s="36"/>
      <c r="L424" s="36" t="s">
        <v>243</v>
      </c>
      <c r="M424" s="38" t="s">
        <v>1218</v>
      </c>
      <c r="N424" s="36" t="s">
        <v>32</v>
      </c>
      <c r="O424" s="6" t="s">
        <v>33</v>
      </c>
      <c r="P424" s="7">
        <v>244</v>
      </c>
      <c r="Q424" s="7" t="s">
        <v>100</v>
      </c>
      <c r="R424" s="7">
        <v>244</v>
      </c>
      <c r="S424" s="7" t="s">
        <v>1219</v>
      </c>
      <c r="T424" s="4" t="s">
        <v>3276</v>
      </c>
      <c r="U424" s="36" t="s">
        <v>61</v>
      </c>
      <c r="V424" s="38"/>
      <c r="W424" s="36"/>
      <c r="X424" s="36"/>
      <c r="Y424" s="36"/>
      <c r="Z424" s="41"/>
      <c r="AA424" s="42" t="e">
        <f>_xlfn.XLOOKUP(C424,#REF!,#REF!,"",0,1)</f>
        <v>#REF!</v>
      </c>
      <c r="AB424" s="43">
        <f t="shared" si="18"/>
        <v>0</v>
      </c>
    </row>
    <row r="425" spans="1:28" ht="182.5" thickBot="1" x14ac:dyDescent="0.3">
      <c r="A425" s="36">
        <v>424</v>
      </c>
      <c r="B425" s="36" t="s">
        <v>24</v>
      </c>
      <c r="C425" s="36" t="s">
        <v>263</v>
      </c>
      <c r="D425" s="37">
        <v>44382</v>
      </c>
      <c r="E425" s="36" t="s">
        <v>1067</v>
      </c>
      <c r="F425" s="36" t="s">
        <v>1214</v>
      </c>
      <c r="G425" s="36" t="s">
        <v>65</v>
      </c>
      <c r="H425" s="36" t="s">
        <v>464</v>
      </c>
      <c r="I425" s="36" t="s">
        <v>44</v>
      </c>
      <c r="J425" s="36" t="str">
        <f t="shared" si="16"/>
        <v>Home (Home Guard, Prison, Civil Defense, Public Prosecution)Public Prosecution EstablishmentB (Non Gazetted)Lower Grade StenoS15 (41800 - 132300)</v>
      </c>
      <c r="K425" s="36" t="s">
        <v>68</v>
      </c>
      <c r="L425" s="36" t="s">
        <v>231</v>
      </c>
      <c r="M425" s="38" t="s">
        <v>1220</v>
      </c>
      <c r="N425" s="36" t="s">
        <v>70</v>
      </c>
      <c r="O425" s="6" t="s">
        <v>33</v>
      </c>
      <c r="P425" s="7">
        <v>6</v>
      </c>
      <c r="Q425" s="8"/>
      <c r="R425" s="8"/>
      <c r="S425" s="8"/>
      <c r="T425" s="4" t="s">
        <v>3276</v>
      </c>
      <c r="U425" s="36" t="s">
        <v>35</v>
      </c>
      <c r="V425" s="38"/>
      <c r="W425" s="36"/>
      <c r="X425" s="36"/>
      <c r="Y425" s="36"/>
      <c r="Z425" s="41"/>
      <c r="AA425" s="42" t="e">
        <f>_xlfn.XLOOKUP(C425,#REF!,#REF!,"",0,1)</f>
        <v>#REF!</v>
      </c>
      <c r="AB425" s="43">
        <f t="shared" si="18"/>
        <v>0</v>
      </c>
    </row>
    <row r="426" spans="1:28" ht="143.5" thickBot="1" x14ac:dyDescent="0.3">
      <c r="A426" s="36">
        <v>425</v>
      </c>
      <c r="B426" s="36" t="s">
        <v>24</v>
      </c>
      <c r="C426" s="36" t="s">
        <v>263</v>
      </c>
      <c r="D426" s="37">
        <v>44382</v>
      </c>
      <c r="E426" s="36" t="s">
        <v>1067</v>
      </c>
      <c r="F426" s="36" t="s">
        <v>1214</v>
      </c>
      <c r="G426" s="36" t="s">
        <v>55</v>
      </c>
      <c r="H426" s="36" t="s">
        <v>543</v>
      </c>
      <c r="I426" s="36" t="s">
        <v>74</v>
      </c>
      <c r="J426" s="36" t="str">
        <f t="shared" si="16"/>
        <v>Home (Home Guard, Prison, Civil Defense, Public Prosecution)Public Prosecution EstablishmentCClerk Cum TypistS6 (19900 - 63200)</v>
      </c>
      <c r="K426" s="36" t="s">
        <v>75</v>
      </c>
      <c r="L426" s="36" t="s">
        <v>228</v>
      </c>
      <c r="M426" s="38" t="s">
        <v>1220</v>
      </c>
      <c r="N426" s="36" t="s">
        <v>70</v>
      </c>
      <c r="O426" s="6" t="s">
        <v>33</v>
      </c>
      <c r="P426" s="7">
        <v>85</v>
      </c>
      <c r="Q426" s="7" t="s">
        <v>34</v>
      </c>
      <c r="R426" s="8"/>
      <c r="S426" s="8"/>
      <c r="T426" s="7" t="s">
        <v>61</v>
      </c>
      <c r="U426" s="36" t="s">
        <v>35</v>
      </c>
      <c r="V426" s="38" t="s">
        <v>125</v>
      </c>
      <c r="W426" s="36"/>
      <c r="X426" s="36" t="s">
        <v>77</v>
      </c>
      <c r="Y426" s="36" t="s">
        <v>78</v>
      </c>
      <c r="Z426" s="41"/>
      <c r="AA426" s="42" t="e">
        <f>_xlfn.XLOOKUP(C426,#REF!,#REF!,"",0,1)</f>
        <v>#REF!</v>
      </c>
      <c r="AB426" s="43">
        <f t="shared" si="18"/>
        <v>0</v>
      </c>
    </row>
    <row r="427" spans="1:28" ht="130.5" thickBot="1" x14ac:dyDescent="0.3">
      <c r="A427" s="36">
        <v>426</v>
      </c>
      <c r="B427" s="36" t="s">
        <v>24</v>
      </c>
      <c r="C427" s="36" t="s">
        <v>263</v>
      </c>
      <c r="D427" s="37">
        <v>44382</v>
      </c>
      <c r="E427" s="36" t="s">
        <v>1067</v>
      </c>
      <c r="F427" s="36" t="s">
        <v>1214</v>
      </c>
      <c r="G427" s="36" t="s">
        <v>55</v>
      </c>
      <c r="H427" s="36" t="s">
        <v>92</v>
      </c>
      <c r="I427" s="36" t="s">
        <v>80</v>
      </c>
      <c r="J427" s="36" t="str">
        <f t="shared" si="16"/>
        <v>Home (Home Guard, Prison, Civil Defense, Public Prosecution)Public Prosecution EstablishmentCSteno TypistS8 (25500 - 81100)</v>
      </c>
      <c r="K427" s="36" t="s">
        <v>68</v>
      </c>
      <c r="L427" s="36" t="s">
        <v>231</v>
      </c>
      <c r="M427" s="38" t="s">
        <v>1220</v>
      </c>
      <c r="N427" s="36" t="s">
        <v>70</v>
      </c>
      <c r="O427" s="6" t="s">
        <v>33</v>
      </c>
      <c r="P427" s="7">
        <v>35</v>
      </c>
      <c r="Q427" s="7" t="s">
        <v>34</v>
      </c>
      <c r="R427" s="8"/>
      <c r="S427" s="8"/>
      <c r="T427" s="4" t="s">
        <v>3276</v>
      </c>
      <c r="U427" s="36" t="s">
        <v>35</v>
      </c>
      <c r="V427" s="38"/>
      <c r="W427" s="36"/>
      <c r="X427" s="36"/>
      <c r="Y427" s="36"/>
      <c r="Z427" s="41"/>
      <c r="AA427" s="42" t="e">
        <f>_xlfn.XLOOKUP(C427,#REF!,#REF!,"",0,1)</f>
        <v>#REF!</v>
      </c>
      <c r="AB427" s="43">
        <f t="shared" si="18"/>
        <v>0</v>
      </c>
    </row>
    <row r="428" spans="1:28" ht="130.5" thickBot="1" x14ac:dyDescent="0.3">
      <c r="A428" s="36">
        <v>427</v>
      </c>
      <c r="B428" s="36" t="s">
        <v>24</v>
      </c>
      <c r="C428" s="36" t="s">
        <v>263</v>
      </c>
      <c r="D428" s="37">
        <v>44827</v>
      </c>
      <c r="E428" s="36" t="s">
        <v>1221</v>
      </c>
      <c r="F428" s="36" t="s">
        <v>1222</v>
      </c>
      <c r="G428" s="36" t="s">
        <v>28</v>
      </c>
      <c r="H428" s="36" t="s">
        <v>1223</v>
      </c>
      <c r="I428" s="36" t="s">
        <v>54</v>
      </c>
      <c r="J428" s="36" t="str">
        <f t="shared" si="16"/>
        <v>Home (Transport)Transport EstablishmentAAssistant Regional Transport OfficerS16 (44900 - 142400)</v>
      </c>
      <c r="K428" s="36" t="s">
        <v>45</v>
      </c>
      <c r="L428" s="36" t="s">
        <v>247</v>
      </c>
      <c r="M428" s="38" t="s">
        <v>1224</v>
      </c>
      <c r="N428" s="36" t="s">
        <v>41</v>
      </c>
      <c r="O428" s="6" t="s">
        <v>33</v>
      </c>
      <c r="P428" s="7">
        <v>4</v>
      </c>
      <c r="Q428" s="7" t="s">
        <v>34</v>
      </c>
      <c r="R428" s="8"/>
      <c r="S428" s="8"/>
      <c r="T428" s="7" t="s">
        <v>61</v>
      </c>
      <c r="U428" s="36" t="s">
        <v>35</v>
      </c>
      <c r="V428" s="38"/>
      <c r="W428" s="36"/>
      <c r="X428" s="36"/>
      <c r="Y428" s="36"/>
      <c r="Z428" s="41"/>
      <c r="AA428" s="42" t="e">
        <f>_xlfn.XLOOKUP(C428,#REF!,#REF!,"",0,1)</f>
        <v>#REF!</v>
      </c>
      <c r="AB428" s="43">
        <f t="shared" si="18"/>
        <v>0</v>
      </c>
    </row>
    <row r="429" spans="1:28" ht="104.5" thickBot="1" x14ac:dyDescent="0.3">
      <c r="A429" s="36">
        <v>428</v>
      </c>
      <c r="B429" s="36" t="s">
        <v>24</v>
      </c>
      <c r="C429" s="36" t="s">
        <v>263</v>
      </c>
      <c r="D429" s="37">
        <v>44827</v>
      </c>
      <c r="E429" s="36" t="s">
        <v>1221</v>
      </c>
      <c r="F429" s="36" t="s">
        <v>1222</v>
      </c>
      <c r="G429" s="36" t="s">
        <v>28</v>
      </c>
      <c r="H429" s="36" t="s">
        <v>1225</v>
      </c>
      <c r="I429" s="36" t="s">
        <v>54</v>
      </c>
      <c r="J429" s="36" t="str">
        <f t="shared" si="16"/>
        <v>Home (Transport)Transport EstablishmentAMotor Vehicle ProsecutorS16 (44900 - 142400)</v>
      </c>
      <c r="K429" s="36" t="s">
        <v>408</v>
      </c>
      <c r="L429" s="36" t="s">
        <v>247</v>
      </c>
      <c r="M429" s="38" t="s">
        <v>1226</v>
      </c>
      <c r="N429" s="36" t="s">
        <v>410</v>
      </c>
      <c r="O429" s="6" t="s">
        <v>33</v>
      </c>
      <c r="P429" s="7">
        <v>6</v>
      </c>
      <c r="Q429" s="7" t="s">
        <v>100</v>
      </c>
      <c r="R429" s="7">
        <v>6</v>
      </c>
      <c r="S429" s="7" t="s">
        <v>3242</v>
      </c>
      <c r="T429" s="7" t="s">
        <v>35</v>
      </c>
      <c r="U429" s="36" t="s">
        <v>1227</v>
      </c>
      <c r="V429" s="38"/>
      <c r="W429" s="36"/>
      <c r="X429" s="36"/>
      <c r="Y429" s="36"/>
      <c r="Z429" s="41"/>
      <c r="AA429" s="42" t="e">
        <f>_xlfn.XLOOKUP(C429,#REF!,#REF!,"",0,1)</f>
        <v>#REF!</v>
      </c>
      <c r="AB429" s="43">
        <f t="shared" si="18"/>
        <v>0</v>
      </c>
    </row>
    <row r="430" spans="1:28" ht="130.5" thickBot="1" x14ac:dyDescent="0.3">
      <c r="A430" s="36">
        <v>429</v>
      </c>
      <c r="B430" s="36" t="s">
        <v>24</v>
      </c>
      <c r="C430" s="36" t="s">
        <v>263</v>
      </c>
      <c r="D430" s="37">
        <v>44827</v>
      </c>
      <c r="E430" s="36" t="s">
        <v>1221</v>
      </c>
      <c r="F430" s="36" t="s">
        <v>1222</v>
      </c>
      <c r="G430" s="36" t="s">
        <v>42</v>
      </c>
      <c r="H430" s="36" t="s">
        <v>1228</v>
      </c>
      <c r="I430" s="36" t="s">
        <v>44</v>
      </c>
      <c r="J430" s="36" t="str">
        <f t="shared" si="16"/>
        <v>Home (Transport)Transport EstablishmentB (Gazetted)Asst.Motor Vehicle ProsecutorS15 (41800 - 132300)</v>
      </c>
      <c r="K430" s="36" t="s">
        <v>408</v>
      </c>
      <c r="L430" s="36" t="s">
        <v>247</v>
      </c>
      <c r="M430" s="38" t="s">
        <v>1229</v>
      </c>
      <c r="N430" s="36" t="s">
        <v>410</v>
      </c>
      <c r="O430" s="6" t="s">
        <v>33</v>
      </c>
      <c r="P430" s="7">
        <v>7</v>
      </c>
      <c r="Q430" s="7" t="s">
        <v>34</v>
      </c>
      <c r="R430" s="8"/>
      <c r="S430" s="8"/>
      <c r="T430" s="7" t="s">
        <v>35</v>
      </c>
      <c r="U430" s="36" t="s">
        <v>35</v>
      </c>
      <c r="V430" s="38"/>
      <c r="W430" s="36"/>
      <c r="X430" s="36"/>
      <c r="Y430" s="36"/>
      <c r="Z430" s="41"/>
      <c r="AA430" s="42" t="e">
        <f>_xlfn.XLOOKUP(C430,#REF!,#REF!,"",0,1)</f>
        <v>#REF!</v>
      </c>
      <c r="AB430" s="43">
        <f t="shared" si="18"/>
        <v>0</v>
      </c>
    </row>
    <row r="431" spans="1:28" ht="130.5" thickBot="1" x14ac:dyDescent="0.3">
      <c r="A431" s="36">
        <v>430</v>
      </c>
      <c r="B431" s="36" t="s">
        <v>24</v>
      </c>
      <c r="C431" s="36" t="s">
        <v>263</v>
      </c>
      <c r="D431" s="37">
        <v>44827</v>
      </c>
      <c r="E431" s="36" t="s">
        <v>1221</v>
      </c>
      <c r="F431" s="36" t="s">
        <v>1222</v>
      </c>
      <c r="G431" s="36" t="s">
        <v>65</v>
      </c>
      <c r="H431" s="36" t="s">
        <v>1230</v>
      </c>
      <c r="I431" s="36" t="s">
        <v>67</v>
      </c>
      <c r="J431" s="36" t="str">
        <f t="shared" si="16"/>
        <v>Home (Transport)Transport EstablishmentB (Non Gazetted)Stenographer Lower GradeS14 (38600 - 122800)</v>
      </c>
      <c r="K431" s="36" t="s">
        <v>68</v>
      </c>
      <c r="L431" s="36" t="s">
        <v>231</v>
      </c>
      <c r="M431" s="38" t="s">
        <v>1231</v>
      </c>
      <c r="N431" s="36" t="s">
        <v>70</v>
      </c>
      <c r="O431" s="9"/>
      <c r="P431" s="7">
        <v>10</v>
      </c>
      <c r="Q431" s="7" t="s">
        <v>34</v>
      </c>
      <c r="R431" s="8"/>
      <c r="S431" s="8"/>
      <c r="T431" s="4" t="s">
        <v>3276</v>
      </c>
      <c r="U431" s="36" t="s">
        <v>35</v>
      </c>
      <c r="V431" s="38"/>
      <c r="W431" s="36"/>
      <c r="X431" s="36"/>
      <c r="Y431" s="36"/>
      <c r="Z431" s="41"/>
      <c r="AA431" s="42" t="e">
        <f>_xlfn.XLOOKUP(C431,#REF!,#REF!,"",0,1)</f>
        <v>#REF!</v>
      </c>
      <c r="AB431" s="43">
        <f t="shared" si="18"/>
        <v>0</v>
      </c>
    </row>
    <row r="432" spans="1:28" ht="130.5" thickBot="1" x14ac:dyDescent="0.3">
      <c r="A432" s="36">
        <v>431</v>
      </c>
      <c r="B432" s="36" t="s">
        <v>24</v>
      </c>
      <c r="C432" s="36" t="s">
        <v>263</v>
      </c>
      <c r="D432" s="37">
        <v>44827</v>
      </c>
      <c r="E432" s="36" t="s">
        <v>1221</v>
      </c>
      <c r="F432" s="36" t="s">
        <v>1222</v>
      </c>
      <c r="G432" s="36" t="s">
        <v>65</v>
      </c>
      <c r="H432" s="36" t="s">
        <v>1232</v>
      </c>
      <c r="I432" s="36" t="s">
        <v>44</v>
      </c>
      <c r="J432" s="36" t="str">
        <f t="shared" si="16"/>
        <v>Home (Transport)Transport EstablishmentB (Non Gazetted)Stenographer Higher GradeS15 (41800 - 132300)</v>
      </c>
      <c r="K432" s="36" t="s">
        <v>68</v>
      </c>
      <c r="L432" s="36" t="s">
        <v>231</v>
      </c>
      <c r="M432" s="38" t="s">
        <v>1233</v>
      </c>
      <c r="N432" s="36" t="s">
        <v>70</v>
      </c>
      <c r="O432" s="9"/>
      <c r="P432" s="7">
        <v>0</v>
      </c>
      <c r="Q432" s="7" t="s">
        <v>34</v>
      </c>
      <c r="R432" s="8"/>
      <c r="S432" s="8"/>
      <c r="T432" s="4" t="s">
        <v>3276</v>
      </c>
      <c r="U432" s="36" t="s">
        <v>35</v>
      </c>
      <c r="V432" s="38"/>
      <c r="W432" s="36"/>
      <c r="X432" s="36"/>
      <c r="Y432" s="36"/>
      <c r="Z432" s="41"/>
      <c r="AA432" s="42" t="e">
        <f>_xlfn.XLOOKUP(C432,#REF!,#REF!,"",0,1)</f>
        <v>#REF!</v>
      </c>
      <c r="AB432" s="43">
        <f t="shared" si="18"/>
        <v>0</v>
      </c>
    </row>
    <row r="433" spans="1:28" ht="182.5" thickBot="1" x14ac:dyDescent="0.3">
      <c r="A433" s="36">
        <v>432</v>
      </c>
      <c r="B433" s="36" t="s">
        <v>24</v>
      </c>
      <c r="C433" s="36" t="s">
        <v>263</v>
      </c>
      <c r="D433" s="37">
        <v>44827</v>
      </c>
      <c r="E433" s="36" t="s">
        <v>1221</v>
      </c>
      <c r="F433" s="36" t="s">
        <v>1222</v>
      </c>
      <c r="G433" s="36" t="s">
        <v>55</v>
      </c>
      <c r="H433" s="36" t="s">
        <v>1234</v>
      </c>
      <c r="I433" s="36" t="s">
        <v>67</v>
      </c>
      <c r="J433" s="36" t="str">
        <f t="shared" si="16"/>
        <v>Home (Transport)Transport EstablishmentCAssistant Motor Vehicle InspectorS14 (38600 - 122800)</v>
      </c>
      <c r="K433" s="36"/>
      <c r="L433" s="36" t="s">
        <v>225</v>
      </c>
      <c r="M433" s="38" t="s">
        <v>1235</v>
      </c>
      <c r="N433" s="36" t="s">
        <v>1236</v>
      </c>
      <c r="O433" s="6" t="s">
        <v>83</v>
      </c>
      <c r="P433" s="7">
        <v>461</v>
      </c>
      <c r="Q433" s="7" t="s">
        <v>34</v>
      </c>
      <c r="R433" s="8"/>
      <c r="S433" s="8"/>
      <c r="T433" s="7" t="s">
        <v>61</v>
      </c>
      <c r="U433" s="36" t="s">
        <v>989</v>
      </c>
      <c r="V433" s="38"/>
      <c r="W433" s="36"/>
      <c r="X433" s="36"/>
      <c r="Y433" s="36"/>
      <c r="Z433" s="41"/>
      <c r="AA433" s="42" t="e">
        <f>_xlfn.XLOOKUP(C433,#REF!,#REF!,"",0,1)</f>
        <v>#REF!</v>
      </c>
      <c r="AB433" s="43">
        <f t="shared" si="18"/>
        <v>0</v>
      </c>
    </row>
    <row r="434" spans="1:28" ht="91.5" thickBot="1" x14ac:dyDescent="0.3">
      <c r="A434" s="36">
        <v>433</v>
      </c>
      <c r="B434" s="36" t="s">
        <v>24</v>
      </c>
      <c r="C434" s="36" t="s">
        <v>263</v>
      </c>
      <c r="D434" s="37">
        <v>44827</v>
      </c>
      <c r="E434" s="36" t="s">
        <v>1221</v>
      </c>
      <c r="F434" s="36" t="s">
        <v>1222</v>
      </c>
      <c r="G434" s="36" t="s">
        <v>55</v>
      </c>
      <c r="H434" s="36" t="s">
        <v>1237</v>
      </c>
      <c r="I434" s="36" t="s">
        <v>74</v>
      </c>
      <c r="J434" s="36" t="str">
        <f t="shared" si="16"/>
        <v>Home (Transport)Transport EstablishmentCClerkcumtypistS6 (19900 - 63200)</v>
      </c>
      <c r="K434" s="36" t="s">
        <v>75</v>
      </c>
      <c r="L434" s="36" t="s">
        <v>228</v>
      </c>
      <c r="M434" s="38" t="s">
        <v>1238</v>
      </c>
      <c r="N434" s="36" t="s">
        <v>70</v>
      </c>
      <c r="O434" s="9"/>
      <c r="P434" s="7">
        <v>160</v>
      </c>
      <c r="Q434" s="7" t="s">
        <v>34</v>
      </c>
      <c r="R434" s="8"/>
      <c r="S434" s="8"/>
      <c r="T434" s="7" t="s">
        <v>61</v>
      </c>
      <c r="U434" s="36" t="s">
        <v>35</v>
      </c>
      <c r="V434" s="38" t="s">
        <v>125</v>
      </c>
      <c r="W434" s="36"/>
      <c r="X434" s="36" t="s">
        <v>77</v>
      </c>
      <c r="Y434" s="36" t="s">
        <v>78</v>
      </c>
      <c r="Z434" s="41"/>
      <c r="AA434" s="42" t="e">
        <f>_xlfn.XLOOKUP(C434,#REF!,#REF!,"",0,1)</f>
        <v>#REF!</v>
      </c>
      <c r="AB434" s="43">
        <f t="shared" si="18"/>
        <v>0</v>
      </c>
    </row>
    <row r="435" spans="1:28" ht="208.5" thickBot="1" x14ac:dyDescent="0.3">
      <c r="A435" s="36">
        <v>434</v>
      </c>
      <c r="B435" s="36" t="s">
        <v>24</v>
      </c>
      <c r="C435" s="36" t="s">
        <v>25</v>
      </c>
      <c r="D435" s="37">
        <v>39202</v>
      </c>
      <c r="E435" s="36" t="s">
        <v>1239</v>
      </c>
      <c r="F435" s="36" t="s">
        <v>1240</v>
      </c>
      <c r="G435" s="36" t="s">
        <v>28</v>
      </c>
      <c r="H435" s="36" t="s">
        <v>1241</v>
      </c>
      <c r="I435" s="36" t="s">
        <v>54</v>
      </c>
      <c r="J435" s="36" t="str">
        <f t="shared" si="16"/>
        <v>IndustryDirectorate of Government Printing EstablishmentAInternal Training Officer / Inplant Training Officer/ Deputy Manager/ Manager &amp;small Presess)S16 (44900 - 142400)</v>
      </c>
      <c r="K435" s="36" t="s">
        <v>246</v>
      </c>
      <c r="L435" s="36" t="s">
        <v>247</v>
      </c>
      <c r="M435" s="38" t="s">
        <v>1242</v>
      </c>
      <c r="N435" s="36" t="s">
        <v>447</v>
      </c>
      <c r="O435" s="6" t="s">
        <v>33</v>
      </c>
      <c r="P435" s="7">
        <v>1</v>
      </c>
      <c r="Q435" s="7" t="s">
        <v>34</v>
      </c>
      <c r="R435" s="8"/>
      <c r="S435" s="7" t="s">
        <v>1243</v>
      </c>
      <c r="T435" s="7" t="s">
        <v>2395</v>
      </c>
      <c r="U435" s="36" t="s">
        <v>1244</v>
      </c>
      <c r="V435" s="38"/>
      <c r="W435" s="36"/>
      <c r="X435" s="36"/>
      <c r="Y435" s="36"/>
      <c r="Z435" s="41"/>
      <c r="AA435" s="42" t="e">
        <f>_xlfn.XLOOKUP(C435,#REF!,#REF!,"",0,1)</f>
        <v>#REF!</v>
      </c>
      <c r="AB435" s="43">
        <f t="shared" si="18"/>
        <v>0</v>
      </c>
    </row>
    <row r="436" spans="1:28" ht="156.5" thickBot="1" x14ac:dyDescent="0.3">
      <c r="A436" s="44">
        <v>435</v>
      </c>
      <c r="B436" s="44" t="s">
        <v>24</v>
      </c>
      <c r="C436" s="36" t="s">
        <v>25</v>
      </c>
      <c r="D436" s="37">
        <v>39202</v>
      </c>
      <c r="E436" s="44" t="s">
        <v>1239</v>
      </c>
      <c r="F436" s="44" t="s">
        <v>1240</v>
      </c>
      <c r="G436" s="44" t="s">
        <v>28</v>
      </c>
      <c r="H436" s="44" t="s">
        <v>1245</v>
      </c>
      <c r="I436" s="44" t="s">
        <v>54</v>
      </c>
      <c r="J436" s="44" t="str">
        <f t="shared" si="16"/>
        <v>IndustryDirectorate of Government Printing EstablishmentAInternal Training Officer / Inplant Training OfficerS16 (44900 - 142400)</v>
      </c>
      <c r="K436" s="44"/>
      <c r="L436" s="44" t="s">
        <v>261</v>
      </c>
      <c r="M436" s="45" t="s">
        <v>1242</v>
      </c>
      <c r="N436" s="44" t="s">
        <v>113</v>
      </c>
      <c r="O436" s="11" t="s">
        <v>33</v>
      </c>
      <c r="P436" s="13"/>
      <c r="Q436" s="12" t="s">
        <v>100</v>
      </c>
      <c r="R436" s="13"/>
      <c r="S436" s="12" t="s">
        <v>1243</v>
      </c>
      <c r="T436" s="4" t="s">
        <v>3276</v>
      </c>
      <c r="U436" s="44" t="s">
        <v>61</v>
      </c>
      <c r="V436" s="45"/>
      <c r="W436" s="44"/>
      <c r="X436" s="44"/>
      <c r="Y436" s="44"/>
      <c r="Z436" s="41"/>
      <c r="AA436" s="42" t="e">
        <f>_xlfn.XLOOKUP(C436,#REF!,#REF!,"",0,1)</f>
        <v>#REF!</v>
      </c>
      <c r="AB436" s="43">
        <f t="shared" si="18"/>
        <v>0</v>
      </c>
    </row>
    <row r="437" spans="1:28" ht="130.5" thickBot="1" x14ac:dyDescent="0.3">
      <c r="A437" s="44">
        <v>436</v>
      </c>
      <c r="B437" s="44" t="s">
        <v>24</v>
      </c>
      <c r="C437" s="36" t="s">
        <v>25</v>
      </c>
      <c r="D437" s="37">
        <v>39202</v>
      </c>
      <c r="E437" s="44" t="s">
        <v>1239</v>
      </c>
      <c r="F437" s="44" t="s">
        <v>1240</v>
      </c>
      <c r="G437" s="44" t="s">
        <v>28</v>
      </c>
      <c r="H437" s="44" t="s">
        <v>1246</v>
      </c>
      <c r="I437" s="44" t="s">
        <v>54</v>
      </c>
      <c r="J437" s="44" t="str">
        <f t="shared" si="16"/>
        <v>IndustryDirectorate of Government Printing EstablishmentAManager (Small Presses)S16 (44900 - 142400)</v>
      </c>
      <c r="K437" s="44"/>
      <c r="L437" s="44" t="s">
        <v>261</v>
      </c>
      <c r="M437" s="51" t="s">
        <v>1242</v>
      </c>
      <c r="N437" s="44" t="s">
        <v>113</v>
      </c>
      <c r="O437" s="11" t="s">
        <v>33</v>
      </c>
      <c r="P437" s="13"/>
      <c r="Q437" s="12" t="s">
        <v>100</v>
      </c>
      <c r="R437" s="13"/>
      <c r="S437" s="12" t="s">
        <v>1243</v>
      </c>
      <c r="T437" s="4" t="s">
        <v>3276</v>
      </c>
      <c r="U437" s="44" t="s">
        <v>1244</v>
      </c>
      <c r="V437" s="45"/>
      <c r="W437" s="44"/>
      <c r="X437" s="44"/>
      <c r="Y437" s="44"/>
      <c r="Z437" s="41"/>
      <c r="AA437" s="42" t="e">
        <f>_xlfn.XLOOKUP(C437,#REF!,#REF!,"",0,1)</f>
        <v>#REF!</v>
      </c>
      <c r="AB437" s="43">
        <f t="shared" si="18"/>
        <v>0</v>
      </c>
    </row>
    <row r="438" spans="1:28" ht="117.5" thickBot="1" x14ac:dyDescent="0.3">
      <c r="A438" s="36">
        <v>437</v>
      </c>
      <c r="B438" s="36" t="s">
        <v>532</v>
      </c>
      <c r="C438" s="36" t="s">
        <v>25</v>
      </c>
      <c r="D438" s="37">
        <v>39202</v>
      </c>
      <c r="E438" s="36" t="s">
        <v>1239</v>
      </c>
      <c r="F438" s="36" t="s">
        <v>1240</v>
      </c>
      <c r="G438" s="36" t="s">
        <v>28</v>
      </c>
      <c r="H438" s="36" t="s">
        <v>1247</v>
      </c>
      <c r="I438" s="36" t="s">
        <v>38</v>
      </c>
      <c r="J438" s="36" t="str">
        <f t="shared" si="16"/>
        <v>IndustryDirectorate of Government Printing EstablishmentACost Accounts OfficerS20 (56100 - 177500)</v>
      </c>
      <c r="K438" s="36"/>
      <c r="L438" s="36"/>
      <c r="M438" s="38" t="s">
        <v>1248</v>
      </c>
      <c r="N438" s="36"/>
      <c r="O438" s="6" t="s">
        <v>33</v>
      </c>
      <c r="P438" s="8"/>
      <c r="Q438" s="7" t="s">
        <v>34</v>
      </c>
      <c r="R438" s="8"/>
      <c r="S438" s="8"/>
      <c r="T438" s="4" t="s">
        <v>3276</v>
      </c>
      <c r="U438" s="36" t="s">
        <v>35</v>
      </c>
      <c r="V438" s="38"/>
      <c r="W438" s="36"/>
      <c r="X438" s="36"/>
      <c r="Y438" s="36"/>
      <c r="Z438" s="41"/>
      <c r="AA438" s="42" t="e">
        <f>_xlfn.XLOOKUP(C438,#REF!,#REF!,"",0,1)</f>
        <v>#REF!</v>
      </c>
      <c r="AB438" s="43">
        <f t="shared" si="18"/>
        <v>0</v>
      </c>
    </row>
    <row r="439" spans="1:28" ht="130.5" thickBot="1" x14ac:dyDescent="0.3">
      <c r="A439" s="36">
        <v>438</v>
      </c>
      <c r="B439" s="36" t="s">
        <v>532</v>
      </c>
      <c r="C439" s="36" t="s">
        <v>25</v>
      </c>
      <c r="D439" s="37">
        <v>39202</v>
      </c>
      <c r="E439" s="36" t="s">
        <v>1239</v>
      </c>
      <c r="F439" s="36" t="s">
        <v>1240</v>
      </c>
      <c r="G439" s="36" t="s">
        <v>28</v>
      </c>
      <c r="H439" s="36" t="s">
        <v>1249</v>
      </c>
      <c r="I439" s="36" t="s">
        <v>38</v>
      </c>
      <c r="J439" s="36" t="str">
        <f t="shared" si="16"/>
        <v>IndustryDirectorate of Government Printing EstablishmentAMedical Officer / Medical OfficerS20 (56100 - 177500)</v>
      </c>
      <c r="K439" s="36"/>
      <c r="L439" s="36"/>
      <c r="M439" s="38" t="s">
        <v>1250</v>
      </c>
      <c r="N439" s="36"/>
      <c r="O439" s="6" t="s">
        <v>33</v>
      </c>
      <c r="P439" s="8"/>
      <c r="Q439" s="7" t="s">
        <v>34</v>
      </c>
      <c r="R439" s="8"/>
      <c r="S439" s="7" t="s">
        <v>1251</v>
      </c>
      <c r="T439" s="4" t="s">
        <v>3276</v>
      </c>
      <c r="U439" s="36" t="s">
        <v>35</v>
      </c>
      <c r="V439" s="38"/>
      <c r="W439" s="36"/>
      <c r="X439" s="36"/>
      <c r="Y439" s="36"/>
      <c r="Z439" s="41"/>
      <c r="AA439" s="42" t="e">
        <f>_xlfn.XLOOKUP(C439,#REF!,#REF!,"",0,1)</f>
        <v>#REF!</v>
      </c>
      <c r="AB439" s="43">
        <f t="shared" si="18"/>
        <v>0</v>
      </c>
    </row>
    <row r="440" spans="1:28" ht="104.5" thickBot="1" x14ac:dyDescent="0.3">
      <c r="A440" s="36">
        <v>439</v>
      </c>
      <c r="B440" s="36" t="s">
        <v>24</v>
      </c>
      <c r="C440" s="36" t="s">
        <v>25</v>
      </c>
      <c r="D440" s="37">
        <v>39202</v>
      </c>
      <c r="E440" s="36" t="s">
        <v>1239</v>
      </c>
      <c r="F440" s="36" t="s">
        <v>1240</v>
      </c>
      <c r="G440" s="36" t="s">
        <v>28</v>
      </c>
      <c r="H440" s="36" t="s">
        <v>275</v>
      </c>
      <c r="I440" s="36" t="s">
        <v>242</v>
      </c>
      <c r="J440" s="36" t="str">
        <f t="shared" si="16"/>
        <v>IndustryDirectorate of Government Printing EstablishmentAManagerS23 (67700 - 208700)</v>
      </c>
      <c r="K440" s="36" t="s">
        <v>246</v>
      </c>
      <c r="L440" s="36" t="s">
        <v>247</v>
      </c>
      <c r="M440" s="52" t="s">
        <v>1252</v>
      </c>
      <c r="N440" s="36" t="s">
        <v>447</v>
      </c>
      <c r="O440" s="6" t="s">
        <v>33</v>
      </c>
      <c r="P440" s="7">
        <v>1</v>
      </c>
      <c r="Q440" s="7" t="s">
        <v>34</v>
      </c>
      <c r="R440" s="8"/>
      <c r="S440" s="7" t="s">
        <v>1253</v>
      </c>
      <c r="T440" s="7" t="s">
        <v>2395</v>
      </c>
      <c r="U440" s="36" t="s">
        <v>61</v>
      </c>
      <c r="V440" s="38"/>
      <c r="W440" s="36"/>
      <c r="X440" s="36"/>
      <c r="Y440" s="36"/>
      <c r="Z440" s="41"/>
      <c r="AA440" s="42" t="e">
        <f>_xlfn.XLOOKUP(C440,#REF!,#REF!,"",0,1)</f>
        <v>#REF!</v>
      </c>
      <c r="AB440" s="43">
        <f t="shared" si="18"/>
        <v>0</v>
      </c>
    </row>
    <row r="441" spans="1:28" ht="143.5" thickBot="1" x14ac:dyDescent="0.3">
      <c r="A441" s="36">
        <v>440</v>
      </c>
      <c r="B441" s="36" t="s">
        <v>24</v>
      </c>
      <c r="C441" s="36" t="s">
        <v>25</v>
      </c>
      <c r="D441" s="37">
        <v>39202</v>
      </c>
      <c r="E441" s="36" t="s">
        <v>1239</v>
      </c>
      <c r="F441" s="36" t="s">
        <v>1240</v>
      </c>
      <c r="G441" s="36" t="s">
        <v>28</v>
      </c>
      <c r="H441" s="36" t="s">
        <v>1254</v>
      </c>
      <c r="I441" s="36" t="s">
        <v>513</v>
      </c>
      <c r="J441" s="36" t="str">
        <f t="shared" si="16"/>
        <v>IndustryDirectorate of Government Printing EstablishmentADeputy Director / Deputy DirectorS25 (78800 - 209200)</v>
      </c>
      <c r="K441" s="36"/>
      <c r="L441" s="36" t="s">
        <v>243</v>
      </c>
      <c r="M441" s="38" t="s">
        <v>1255</v>
      </c>
      <c r="N441" s="36" t="s">
        <v>32</v>
      </c>
      <c r="O441" s="6" t="s">
        <v>33</v>
      </c>
      <c r="P441" s="7">
        <v>0</v>
      </c>
      <c r="Q441" s="7" t="s">
        <v>34</v>
      </c>
      <c r="R441" s="8"/>
      <c r="S441" s="8"/>
      <c r="T441" s="4" t="s">
        <v>3276</v>
      </c>
      <c r="U441" s="36" t="s">
        <v>35</v>
      </c>
      <c r="V441" s="38"/>
      <c r="W441" s="36"/>
      <c r="X441" s="36"/>
      <c r="Y441" s="36"/>
      <c r="Z441" s="41"/>
      <c r="AA441" s="42" t="e">
        <f>_xlfn.XLOOKUP(C441,#REF!,#REF!,"",0,1)</f>
        <v>#REF!</v>
      </c>
      <c r="AB441" s="43">
        <f t="shared" si="18"/>
        <v>0</v>
      </c>
    </row>
    <row r="442" spans="1:28" ht="104.5" thickBot="1" x14ac:dyDescent="0.3">
      <c r="A442" s="36">
        <v>441</v>
      </c>
      <c r="B442" s="36" t="s">
        <v>24</v>
      </c>
      <c r="C442" s="36" t="s">
        <v>25</v>
      </c>
      <c r="D442" s="37">
        <v>39202</v>
      </c>
      <c r="E442" s="36" t="s">
        <v>1239</v>
      </c>
      <c r="F442" s="36" t="s">
        <v>1240</v>
      </c>
      <c r="G442" s="36" t="s">
        <v>28</v>
      </c>
      <c r="H442" s="36" t="s">
        <v>512</v>
      </c>
      <c r="I442" s="36" t="s">
        <v>754</v>
      </c>
      <c r="J442" s="36" t="str">
        <f t="shared" si="16"/>
        <v>IndustryDirectorate of Government Printing EstablishmentADirectorS27 (118500 - 214100)</v>
      </c>
      <c r="K442" s="36"/>
      <c r="L442" s="36" t="s">
        <v>243</v>
      </c>
      <c r="M442" s="38" t="s">
        <v>1256</v>
      </c>
      <c r="N442" s="40" t="s">
        <v>32</v>
      </c>
      <c r="O442" s="6" t="s">
        <v>33</v>
      </c>
      <c r="P442" s="7">
        <v>0</v>
      </c>
      <c r="Q442" s="7" t="s">
        <v>34</v>
      </c>
      <c r="R442" s="8"/>
      <c r="S442" s="8"/>
      <c r="T442" s="4" t="s">
        <v>3276</v>
      </c>
      <c r="U442" s="36" t="s">
        <v>35</v>
      </c>
      <c r="V442" s="38"/>
      <c r="W442" s="36"/>
      <c r="X442" s="36"/>
      <c r="Y442" s="36"/>
      <c r="Z442" s="41"/>
      <c r="AA442" s="42" t="e">
        <f>_xlfn.XLOOKUP(C442,#REF!,#REF!,"",0,1)</f>
        <v>#REF!</v>
      </c>
      <c r="AB442" s="43">
        <f t="shared" si="18"/>
        <v>0</v>
      </c>
    </row>
    <row r="443" spans="1:28" ht="143.5" thickBot="1" x14ac:dyDescent="0.3">
      <c r="A443" s="36">
        <v>442</v>
      </c>
      <c r="B443" s="36" t="s">
        <v>24</v>
      </c>
      <c r="C443" s="36" t="s">
        <v>25</v>
      </c>
      <c r="D443" s="37">
        <v>39202</v>
      </c>
      <c r="E443" s="36" t="s">
        <v>1239</v>
      </c>
      <c r="F443" s="36" t="s">
        <v>1240</v>
      </c>
      <c r="G443" s="36" t="s">
        <v>42</v>
      </c>
      <c r="H443" s="36" t="s">
        <v>1257</v>
      </c>
      <c r="I443" s="36" t="s">
        <v>44</v>
      </c>
      <c r="J443" s="36" t="str">
        <f t="shared" si="16"/>
        <v>IndustryDirectorate of Government Printing EstablishmentB (Gazetted)Labor Welfare OfficerS15 (41800 - 132300)</v>
      </c>
      <c r="K443" s="36"/>
      <c r="L443" s="36" t="s">
        <v>243</v>
      </c>
      <c r="M443" s="38" t="s">
        <v>1258</v>
      </c>
      <c r="N443" s="36" t="s">
        <v>595</v>
      </c>
      <c r="O443" s="6" t="s">
        <v>33</v>
      </c>
      <c r="P443" s="7">
        <v>1</v>
      </c>
      <c r="Q443" s="7" t="s">
        <v>34</v>
      </c>
      <c r="R443" s="8"/>
      <c r="S443" s="8"/>
      <c r="T443" s="4" t="s">
        <v>3276</v>
      </c>
      <c r="U443" s="36" t="s">
        <v>35</v>
      </c>
      <c r="V443" s="38"/>
      <c r="W443" s="36"/>
      <c r="X443" s="36"/>
      <c r="Y443" s="36"/>
      <c r="Z443" s="41"/>
      <c r="AA443" s="42" t="e">
        <f>_xlfn.XLOOKUP(C443,#REF!,#REF!,"",0,1)</f>
        <v>#REF!</v>
      </c>
      <c r="AB443" s="43">
        <f t="shared" si="18"/>
        <v>0</v>
      </c>
    </row>
    <row r="444" spans="1:28" ht="169.5" thickBot="1" x14ac:dyDescent="0.3">
      <c r="A444" s="36">
        <v>443</v>
      </c>
      <c r="B444" s="36" t="s">
        <v>24</v>
      </c>
      <c r="C444" s="36" t="s">
        <v>25</v>
      </c>
      <c r="D444" s="37">
        <v>39202</v>
      </c>
      <c r="E444" s="36" t="s">
        <v>1239</v>
      </c>
      <c r="F444" s="36" t="s">
        <v>1240</v>
      </c>
      <c r="G444" s="36" t="s">
        <v>42</v>
      </c>
      <c r="H444" s="36" t="s">
        <v>1259</v>
      </c>
      <c r="I444" s="36" t="s">
        <v>44</v>
      </c>
      <c r="J444" s="36" t="str">
        <f t="shared" si="16"/>
        <v>IndustryDirectorate of Government Printing EstablishmentB (Gazetted)Establishment Officer / Establishment OfficerS15 (41800 - 132300)</v>
      </c>
      <c r="K444" s="36"/>
      <c r="L444" s="36" t="s">
        <v>243</v>
      </c>
      <c r="M444" s="38" t="s">
        <v>1260</v>
      </c>
      <c r="N444" s="36" t="s">
        <v>32</v>
      </c>
      <c r="O444" s="6" t="s">
        <v>33</v>
      </c>
      <c r="P444" s="7">
        <v>0</v>
      </c>
      <c r="Q444" s="7" t="s">
        <v>34</v>
      </c>
      <c r="R444" s="8"/>
      <c r="S444" s="8"/>
      <c r="T444" s="4" t="s">
        <v>3276</v>
      </c>
      <c r="U444" s="36" t="s">
        <v>35</v>
      </c>
      <c r="V444" s="38"/>
      <c r="W444" s="36"/>
      <c r="X444" s="36"/>
      <c r="Y444" s="36"/>
      <c r="Z444" s="41"/>
      <c r="AA444" s="42" t="e">
        <f>_xlfn.XLOOKUP(C444,#REF!,#REF!,"",0,1)</f>
        <v>#REF!</v>
      </c>
      <c r="AB444" s="43">
        <f t="shared" si="18"/>
        <v>0</v>
      </c>
    </row>
    <row r="445" spans="1:28" ht="156.5" thickBot="1" x14ac:dyDescent="0.3">
      <c r="A445" s="36">
        <v>444</v>
      </c>
      <c r="B445" s="36" t="s">
        <v>24</v>
      </c>
      <c r="C445" s="36" t="s">
        <v>25</v>
      </c>
      <c r="D445" s="37">
        <v>39202</v>
      </c>
      <c r="E445" s="36" t="s">
        <v>1239</v>
      </c>
      <c r="F445" s="36" t="s">
        <v>1240</v>
      </c>
      <c r="G445" s="36" t="s">
        <v>42</v>
      </c>
      <c r="H445" s="36" t="s">
        <v>1261</v>
      </c>
      <c r="I445" s="36" t="s">
        <v>44</v>
      </c>
      <c r="J445" s="36" t="str">
        <f t="shared" si="16"/>
        <v>IndustryDirectorate of Government Printing EstablishmentB (Gazetted)Assistant Director / Assistant DirectorS15 (41800 - 132300)</v>
      </c>
      <c r="K445" s="36"/>
      <c r="L445" s="36" t="s">
        <v>243</v>
      </c>
      <c r="M445" s="38" t="s">
        <v>598</v>
      </c>
      <c r="N445" s="36" t="s">
        <v>32</v>
      </c>
      <c r="O445" s="6" t="s">
        <v>33</v>
      </c>
      <c r="P445" s="7">
        <v>0</v>
      </c>
      <c r="Q445" s="7" t="s">
        <v>34</v>
      </c>
      <c r="R445" s="8"/>
      <c r="S445" s="7" t="s">
        <v>1262</v>
      </c>
      <c r="T445" s="4" t="s">
        <v>3276</v>
      </c>
      <c r="U445" s="36" t="s">
        <v>35</v>
      </c>
      <c r="V445" s="38"/>
      <c r="W445" s="36"/>
      <c r="X445" s="36"/>
      <c r="Y445" s="36"/>
      <c r="Z445" s="41"/>
      <c r="AA445" s="42" t="e">
        <f>_xlfn.XLOOKUP(C445,#REF!,#REF!,"",0,1)</f>
        <v>#REF!</v>
      </c>
      <c r="AB445" s="43">
        <f t="shared" si="18"/>
        <v>0</v>
      </c>
    </row>
    <row r="446" spans="1:28" ht="182.5" thickBot="1" x14ac:dyDescent="0.3">
      <c r="A446" s="36">
        <v>445</v>
      </c>
      <c r="B446" s="36" t="s">
        <v>532</v>
      </c>
      <c r="C446" s="36" t="s">
        <v>25</v>
      </c>
      <c r="D446" s="37">
        <v>39202</v>
      </c>
      <c r="E446" s="36" t="s">
        <v>1239</v>
      </c>
      <c r="F446" s="36" t="s">
        <v>1240</v>
      </c>
      <c r="G446" s="36" t="s">
        <v>42</v>
      </c>
      <c r="H446" s="36" t="s">
        <v>540</v>
      </c>
      <c r="I446" s="36" t="s">
        <v>44</v>
      </c>
      <c r="J446" s="36" t="str">
        <f t="shared" si="16"/>
        <v>IndustryDirectorate of Government Printing EstablishmentB (Gazetted)Assistant Accounts Officer / Assistant Accounts OfficerS15 (41800 - 132300)</v>
      </c>
      <c r="K446" s="36"/>
      <c r="L446" s="36"/>
      <c r="M446" s="38" t="s">
        <v>1263</v>
      </c>
      <c r="N446" s="36"/>
      <c r="O446" s="6" t="s">
        <v>33</v>
      </c>
      <c r="P446" s="8"/>
      <c r="Q446" s="7" t="s">
        <v>34</v>
      </c>
      <c r="R446" s="8"/>
      <c r="S446" s="8"/>
      <c r="T446" s="4" t="s">
        <v>3276</v>
      </c>
      <c r="U446" s="36" t="s">
        <v>35</v>
      </c>
      <c r="V446" s="38"/>
      <c r="W446" s="36"/>
      <c r="X446" s="36"/>
      <c r="Y446" s="36"/>
      <c r="Z446" s="41"/>
      <c r="AA446" s="42" t="e">
        <f>_xlfn.XLOOKUP(C446,#REF!,#REF!,"",0,1)</f>
        <v>#REF!</v>
      </c>
      <c r="AB446" s="43">
        <f t="shared" si="18"/>
        <v>0</v>
      </c>
    </row>
    <row r="447" spans="1:28" ht="156.5" thickBot="1" x14ac:dyDescent="0.3">
      <c r="A447" s="36">
        <v>446</v>
      </c>
      <c r="B447" s="36" t="s">
        <v>532</v>
      </c>
      <c r="C447" s="36" t="s">
        <v>25</v>
      </c>
      <c r="D447" s="37">
        <v>39202</v>
      </c>
      <c r="E447" s="36" t="s">
        <v>1239</v>
      </c>
      <c r="F447" s="36" t="s">
        <v>1240</v>
      </c>
      <c r="G447" s="36" t="s">
        <v>42</v>
      </c>
      <c r="H447" s="36" t="s">
        <v>1264</v>
      </c>
      <c r="I447" s="36" t="s">
        <v>44</v>
      </c>
      <c r="J447" s="36" t="str">
        <f t="shared" si="16"/>
        <v>IndustryDirectorate of Government Printing EstablishmentB (Gazetted)Assistant Audit Accounts OfficerS15 (41800 - 132300)</v>
      </c>
      <c r="K447" s="36"/>
      <c r="L447" s="36"/>
      <c r="M447" s="38" t="s">
        <v>1263</v>
      </c>
      <c r="N447" s="36"/>
      <c r="O447" s="6" t="s">
        <v>33</v>
      </c>
      <c r="P447" s="8"/>
      <c r="Q447" s="7" t="s">
        <v>34</v>
      </c>
      <c r="R447" s="8"/>
      <c r="S447" s="8"/>
      <c r="T447" s="4" t="s">
        <v>3276</v>
      </c>
      <c r="U447" s="36" t="s">
        <v>35</v>
      </c>
      <c r="V447" s="38"/>
      <c r="W447" s="36"/>
      <c r="X447" s="36"/>
      <c r="Y447" s="36"/>
      <c r="Z447" s="41"/>
      <c r="AA447" s="42" t="e">
        <f>_xlfn.XLOOKUP(C447,#REF!,#REF!,"",0,1)</f>
        <v>#REF!</v>
      </c>
      <c r="AB447" s="43">
        <f t="shared" si="18"/>
        <v>0</v>
      </c>
    </row>
    <row r="448" spans="1:28" ht="143.5" thickBot="1" x14ac:dyDescent="0.3">
      <c r="A448" s="36">
        <v>447</v>
      </c>
      <c r="B448" s="36" t="s">
        <v>24</v>
      </c>
      <c r="C448" s="36" t="s">
        <v>25</v>
      </c>
      <c r="D448" s="37">
        <v>39202</v>
      </c>
      <c r="E448" s="36" t="s">
        <v>1239</v>
      </c>
      <c r="F448" s="36" t="s">
        <v>1240</v>
      </c>
      <c r="G448" s="36" t="s">
        <v>42</v>
      </c>
      <c r="H448" s="49" t="s">
        <v>1265</v>
      </c>
      <c r="I448" s="36" t="s">
        <v>44</v>
      </c>
      <c r="J448" s="36" t="str">
        <f t="shared" si="16"/>
        <v>IndustryDirectorate of Government Printing EstablishmentB (Gazetted)Mechanical EngineerS15 (41800 - 132300)</v>
      </c>
      <c r="K448" s="36" t="s">
        <v>246</v>
      </c>
      <c r="L448" s="36" t="s">
        <v>247</v>
      </c>
      <c r="M448" s="38" t="s">
        <v>1266</v>
      </c>
      <c r="N448" s="36" t="s">
        <v>447</v>
      </c>
      <c r="O448" s="6" t="s">
        <v>33</v>
      </c>
      <c r="P448" s="7">
        <v>1</v>
      </c>
      <c r="Q448" s="7" t="s">
        <v>34</v>
      </c>
      <c r="R448" s="8"/>
      <c r="S448" s="8"/>
      <c r="T448" s="7" t="s">
        <v>2395</v>
      </c>
      <c r="U448" s="36" t="s">
        <v>35</v>
      </c>
      <c r="V448" s="38"/>
      <c r="W448" s="36"/>
      <c r="X448" s="36"/>
      <c r="Y448" s="36"/>
      <c r="Z448" s="41"/>
      <c r="AA448" s="42" t="e">
        <f>_xlfn.XLOOKUP(C448,#REF!,#REF!,"",0,1)</f>
        <v>#REF!</v>
      </c>
      <c r="AB448" s="43">
        <f t="shared" si="18"/>
        <v>0</v>
      </c>
    </row>
    <row r="449" spans="1:28" ht="156.5" thickBot="1" x14ac:dyDescent="0.3">
      <c r="A449" s="44">
        <v>448</v>
      </c>
      <c r="B449" s="44" t="s">
        <v>24</v>
      </c>
      <c r="C449" s="36" t="s">
        <v>25</v>
      </c>
      <c r="D449" s="37">
        <v>39202</v>
      </c>
      <c r="E449" s="44" t="s">
        <v>1239</v>
      </c>
      <c r="F449" s="44" t="s">
        <v>1240</v>
      </c>
      <c r="G449" s="44" t="s">
        <v>42</v>
      </c>
      <c r="H449" s="44" t="s">
        <v>1267</v>
      </c>
      <c r="I449" s="44" t="s">
        <v>44</v>
      </c>
      <c r="J449" s="44" t="str">
        <f t="shared" si="16"/>
        <v>IndustryDirectorate of Government Printing EstablishmentB (Gazetted)Mechanical Engineer (Typewriters)S15 (41800 - 132300)</v>
      </c>
      <c r="K449" s="44"/>
      <c r="L449" s="44" t="s">
        <v>261</v>
      </c>
      <c r="M449" s="45" t="s">
        <v>1266</v>
      </c>
      <c r="N449" s="44" t="s">
        <v>113</v>
      </c>
      <c r="O449" s="11" t="s">
        <v>33</v>
      </c>
      <c r="P449" s="13"/>
      <c r="Q449" s="12" t="s">
        <v>34</v>
      </c>
      <c r="R449" s="13"/>
      <c r="S449" s="13"/>
      <c r="T449" s="4" t="s">
        <v>3276</v>
      </c>
      <c r="U449" s="44" t="s">
        <v>35</v>
      </c>
      <c r="V449" s="45"/>
      <c r="W449" s="44"/>
      <c r="X449" s="44"/>
      <c r="Y449" s="44"/>
      <c r="Z449" s="41"/>
      <c r="AA449" s="42" t="e">
        <f>_xlfn.XLOOKUP(C449,#REF!,#REF!,"",0,1)</f>
        <v>#REF!</v>
      </c>
      <c r="AB449" s="43">
        <f t="shared" si="18"/>
        <v>0</v>
      </c>
    </row>
    <row r="450" spans="1:28" ht="169.5" thickBot="1" x14ac:dyDescent="0.3">
      <c r="A450" s="36">
        <v>449</v>
      </c>
      <c r="B450" s="36" t="s">
        <v>24</v>
      </c>
      <c r="C450" s="36" t="s">
        <v>25</v>
      </c>
      <c r="D450" s="37">
        <v>39202</v>
      </c>
      <c r="E450" s="36" t="s">
        <v>1239</v>
      </c>
      <c r="F450" s="36" t="s">
        <v>1240</v>
      </c>
      <c r="G450" s="36" t="s">
        <v>42</v>
      </c>
      <c r="H450" s="36" t="s">
        <v>1268</v>
      </c>
      <c r="I450" s="36" t="s">
        <v>54</v>
      </c>
      <c r="J450" s="36" t="str">
        <f t="shared" ref="J450:J513" si="19">_xlfn.CONCAT(E450:I450)</f>
        <v>IndustryDirectorate of Government Printing EstablishmentB (Gazetted)Assistant Manager /Assistant Manager PublicationsS16 (44900 - 142400)</v>
      </c>
      <c r="K450" s="36" t="s">
        <v>246</v>
      </c>
      <c r="L450" s="36" t="s">
        <v>247</v>
      </c>
      <c r="M450" s="38" t="s">
        <v>1269</v>
      </c>
      <c r="N450" s="36" t="s">
        <v>447</v>
      </c>
      <c r="O450" s="6" t="s">
        <v>33</v>
      </c>
      <c r="P450" s="7">
        <v>3</v>
      </c>
      <c r="Q450" s="7" t="s">
        <v>34</v>
      </c>
      <c r="R450" s="8"/>
      <c r="S450" s="7" t="s">
        <v>3239</v>
      </c>
      <c r="T450" s="7" t="s">
        <v>35</v>
      </c>
      <c r="U450" s="36"/>
      <c r="V450" s="38"/>
      <c r="W450" s="36"/>
      <c r="X450" s="36"/>
      <c r="Y450" s="36"/>
      <c r="Z450" s="41"/>
      <c r="AA450" s="42" t="e">
        <f>_xlfn.XLOOKUP(C450,#REF!,#REF!,"",0,1)</f>
        <v>#REF!</v>
      </c>
      <c r="AB450" s="43">
        <f t="shared" ref="AB450" si="20">IFERROR(FLOOR(P450*AA450,1),0)</f>
        <v>0</v>
      </c>
    </row>
    <row r="451" spans="1:28" ht="130.5" thickBot="1" x14ac:dyDescent="0.3">
      <c r="A451" s="36">
        <v>450</v>
      </c>
      <c r="B451" s="36" t="s">
        <v>532</v>
      </c>
      <c r="C451" s="36" t="s">
        <v>25</v>
      </c>
      <c r="D451" s="37">
        <v>39202</v>
      </c>
      <c r="E451" s="36" t="s">
        <v>1239</v>
      </c>
      <c r="F451" s="36" t="s">
        <v>1240</v>
      </c>
      <c r="G451" s="36" t="s">
        <v>42</v>
      </c>
      <c r="H451" s="36" t="s">
        <v>350</v>
      </c>
      <c r="I451" s="36" t="s">
        <v>54</v>
      </c>
      <c r="J451" s="36" t="str">
        <f t="shared" si="19"/>
        <v>IndustryDirectorate of Government Printing EstablishmentB (Gazetted)Accounts OfficerS16 (44900 - 142400)</v>
      </c>
      <c r="K451" s="36"/>
      <c r="L451" s="36"/>
      <c r="M451" s="38" t="s">
        <v>1248</v>
      </c>
      <c r="N451" s="36"/>
      <c r="O451" s="6" t="s">
        <v>33</v>
      </c>
      <c r="P451" s="8"/>
      <c r="Q451" s="7" t="s">
        <v>34</v>
      </c>
      <c r="R451" s="8"/>
      <c r="S451" s="8"/>
      <c r="T451" s="4" t="s">
        <v>3276</v>
      </c>
      <c r="U451" s="36" t="s">
        <v>35</v>
      </c>
      <c r="V451" s="38"/>
      <c r="W451" s="36"/>
      <c r="X451" s="36"/>
      <c r="Y451" s="36"/>
      <c r="Z451" s="41"/>
      <c r="AA451" s="42" t="e">
        <f>_xlfn.XLOOKUP(C451,#REF!,#REF!,"",0,1)</f>
        <v>#REF!</v>
      </c>
      <c r="AB451" s="43">
        <f t="shared" ref="AB451:AB513" si="21">IFERROR(FLOOR(P451*AA451,1),0)</f>
        <v>0</v>
      </c>
    </row>
    <row r="452" spans="1:28" ht="117.5" thickBot="1" x14ac:dyDescent="0.3">
      <c r="A452" s="36">
        <v>451</v>
      </c>
      <c r="B452" s="36" t="s">
        <v>584</v>
      </c>
      <c r="C452" s="36" t="s">
        <v>25</v>
      </c>
      <c r="D452" s="37">
        <v>39202</v>
      </c>
      <c r="E452" s="36" t="s">
        <v>1239</v>
      </c>
      <c r="F452" s="36" t="s">
        <v>1240</v>
      </c>
      <c r="G452" s="36" t="s">
        <v>42</v>
      </c>
      <c r="H452" s="36" t="s">
        <v>1270</v>
      </c>
      <c r="I452" s="36" t="s">
        <v>44</v>
      </c>
      <c r="J452" s="36" t="str">
        <f t="shared" si="19"/>
        <v>IndustryDirectorate of Government Printing EstablishmentB (Gazetted)Art ExecutiveS15 (41800 - 132300)</v>
      </c>
      <c r="K452" s="36"/>
      <c r="L452" s="36"/>
      <c r="M452" s="38" t="s">
        <v>1271</v>
      </c>
      <c r="N452" s="36"/>
      <c r="O452" s="6" t="s">
        <v>33</v>
      </c>
      <c r="P452" s="8"/>
      <c r="Q452" s="7" t="s">
        <v>34</v>
      </c>
      <c r="R452" s="8"/>
      <c r="S452" s="8"/>
      <c r="T452" s="4" t="s">
        <v>3276</v>
      </c>
      <c r="U452" s="36" t="s">
        <v>35</v>
      </c>
      <c r="V452" s="38"/>
      <c r="W452" s="36"/>
      <c r="X452" s="36"/>
      <c r="Y452" s="36"/>
      <c r="Z452" s="41"/>
      <c r="AA452" s="42" t="e">
        <f>_xlfn.XLOOKUP(C452,#REF!,#REF!,"",0,1)</f>
        <v>#REF!</v>
      </c>
      <c r="AB452" s="43">
        <f t="shared" si="21"/>
        <v>0</v>
      </c>
    </row>
    <row r="453" spans="1:28" ht="130.5" thickBot="1" x14ac:dyDescent="0.3">
      <c r="A453" s="36">
        <v>452</v>
      </c>
      <c r="B453" s="36" t="s">
        <v>24</v>
      </c>
      <c r="C453" s="36" t="s">
        <v>25</v>
      </c>
      <c r="D453" s="37">
        <v>39202</v>
      </c>
      <c r="E453" s="36" t="s">
        <v>1239</v>
      </c>
      <c r="F453" s="36" t="s">
        <v>1240</v>
      </c>
      <c r="G453" s="36" t="s">
        <v>55</v>
      </c>
      <c r="H453" s="36" t="s">
        <v>1272</v>
      </c>
      <c r="I453" s="36" t="s">
        <v>276</v>
      </c>
      <c r="J453" s="36" t="str">
        <f t="shared" si="19"/>
        <v>IndustryDirectorate of Government Printing EstablishmentCAssistant Supervisor CounterpartS10 (29200 - 92300)</v>
      </c>
      <c r="K453" s="36" t="s">
        <v>127</v>
      </c>
      <c r="L453" s="36" t="s">
        <v>225</v>
      </c>
      <c r="M453" s="38" t="s">
        <v>1273</v>
      </c>
      <c r="N453" s="36" t="s">
        <v>129</v>
      </c>
      <c r="O453" s="6" t="s">
        <v>33</v>
      </c>
      <c r="P453" s="7"/>
      <c r="Q453" s="7" t="s">
        <v>34</v>
      </c>
      <c r="R453" s="8"/>
      <c r="S453" s="8"/>
      <c r="T453" s="7" t="s">
        <v>35</v>
      </c>
      <c r="U453" s="36" t="s">
        <v>35</v>
      </c>
      <c r="V453" s="38" t="s">
        <v>1274</v>
      </c>
      <c r="W453" s="36"/>
      <c r="X453" s="36" t="s">
        <v>150</v>
      </c>
      <c r="Y453" s="36" t="s">
        <v>150</v>
      </c>
      <c r="Z453" s="41"/>
      <c r="AA453" s="42" t="e">
        <f>_xlfn.XLOOKUP(C453,#REF!,#REF!,"",0,1)</f>
        <v>#REF!</v>
      </c>
      <c r="AB453" s="43">
        <f t="shared" si="21"/>
        <v>0</v>
      </c>
    </row>
    <row r="454" spans="1:28" ht="104.5" thickBot="1" x14ac:dyDescent="0.3">
      <c r="A454" s="36">
        <v>453</v>
      </c>
      <c r="B454" s="36" t="s">
        <v>24</v>
      </c>
      <c r="C454" s="36" t="s">
        <v>25</v>
      </c>
      <c r="D454" s="37">
        <v>39202</v>
      </c>
      <c r="E454" s="36" t="s">
        <v>1239</v>
      </c>
      <c r="F454" s="36" t="s">
        <v>1240</v>
      </c>
      <c r="G454" s="36" t="s">
        <v>55</v>
      </c>
      <c r="H454" s="36" t="s">
        <v>1275</v>
      </c>
      <c r="I454" s="36" t="s">
        <v>276</v>
      </c>
      <c r="J454" s="36" t="str">
        <f t="shared" si="19"/>
        <v>IndustryDirectorate of Government Printing EstablishmentCDTP OperatorS10 (29200 - 92300)</v>
      </c>
      <c r="K454" s="36" t="s">
        <v>127</v>
      </c>
      <c r="L454" s="36" t="s">
        <v>225</v>
      </c>
      <c r="M454" s="38" t="s">
        <v>1276</v>
      </c>
      <c r="N454" s="36" t="s">
        <v>129</v>
      </c>
      <c r="O454" s="6" t="s">
        <v>33</v>
      </c>
      <c r="P454" s="7"/>
      <c r="Q454" s="7" t="s">
        <v>34</v>
      </c>
      <c r="R454" s="8"/>
      <c r="S454" s="8"/>
      <c r="T454" s="7" t="s">
        <v>35</v>
      </c>
      <c r="U454" s="36" t="s">
        <v>35</v>
      </c>
      <c r="V454" s="38" t="s">
        <v>1277</v>
      </c>
      <c r="W454" s="36"/>
      <c r="X454" s="36" t="s">
        <v>1278</v>
      </c>
      <c r="Y454" s="36" t="s">
        <v>502</v>
      </c>
      <c r="Z454" s="41"/>
      <c r="AA454" s="42" t="e">
        <f>_xlfn.XLOOKUP(C454,#REF!,#REF!,"",0,1)</f>
        <v>#REF!</v>
      </c>
      <c r="AB454" s="43">
        <f t="shared" si="21"/>
        <v>0</v>
      </c>
    </row>
    <row r="455" spans="1:28" ht="104.5" thickBot="1" x14ac:dyDescent="0.3">
      <c r="A455" s="44">
        <v>454</v>
      </c>
      <c r="B455" s="44" t="s">
        <v>24</v>
      </c>
      <c r="C455" s="36" t="s">
        <v>25</v>
      </c>
      <c r="D455" s="37">
        <v>39202</v>
      </c>
      <c r="E455" s="44" t="s">
        <v>1239</v>
      </c>
      <c r="F455" s="44" t="s">
        <v>1240</v>
      </c>
      <c r="G455" s="44" t="s">
        <v>55</v>
      </c>
      <c r="H455" s="44" t="s">
        <v>1279</v>
      </c>
      <c r="I455" s="44" t="s">
        <v>276</v>
      </c>
      <c r="J455" s="44" t="str">
        <f t="shared" si="19"/>
        <v>IndustryDirectorate of Government Printing EstablishmentCMachinist Grade1S10 (29200 - 92300)</v>
      </c>
      <c r="K455" s="44"/>
      <c r="L455" s="44" t="s">
        <v>261</v>
      </c>
      <c r="M455" s="45" t="s">
        <v>1273</v>
      </c>
      <c r="N455" s="44" t="s">
        <v>113</v>
      </c>
      <c r="O455" s="11" t="s">
        <v>33</v>
      </c>
      <c r="P455" s="13"/>
      <c r="Q455" s="12" t="s">
        <v>34</v>
      </c>
      <c r="R455" s="13"/>
      <c r="S455" s="13"/>
      <c r="T455" s="4" t="s">
        <v>3276</v>
      </c>
      <c r="U455" s="44" t="s">
        <v>35</v>
      </c>
      <c r="V455" s="45"/>
      <c r="W455" s="44"/>
      <c r="X455" s="44"/>
      <c r="Y455" s="44"/>
      <c r="Z455" s="41"/>
      <c r="AA455" s="42" t="e">
        <f>_xlfn.XLOOKUP(C455,#REF!,#REF!,"",0,1)</f>
        <v>#REF!</v>
      </c>
      <c r="AB455" s="43">
        <f t="shared" si="21"/>
        <v>0</v>
      </c>
    </row>
    <row r="456" spans="1:28" ht="182.5" thickBot="1" x14ac:dyDescent="0.3">
      <c r="A456" s="36">
        <v>455</v>
      </c>
      <c r="B456" s="36" t="s">
        <v>24</v>
      </c>
      <c r="C456" s="36" t="s">
        <v>25</v>
      </c>
      <c r="D456" s="37">
        <v>39202</v>
      </c>
      <c r="E456" s="36" t="s">
        <v>1239</v>
      </c>
      <c r="F456" s="36" t="s">
        <v>1240</v>
      </c>
      <c r="G456" s="36" t="s">
        <v>55</v>
      </c>
      <c r="H456" s="36" t="s">
        <v>1280</v>
      </c>
      <c r="I456" s="36" t="s">
        <v>276</v>
      </c>
      <c r="J456" s="36" t="str">
        <f t="shared" si="19"/>
        <v>IndustryDirectorate of Government Printing EstablishmentCAssistant Supervisor BindingS10 (29200 - 92300)</v>
      </c>
      <c r="K456" s="36" t="s">
        <v>127</v>
      </c>
      <c r="L456" s="36" t="s">
        <v>225</v>
      </c>
      <c r="M456" s="38" t="s">
        <v>1281</v>
      </c>
      <c r="N456" s="36" t="s">
        <v>129</v>
      </c>
      <c r="O456" s="6" t="s">
        <v>33</v>
      </c>
      <c r="P456" s="7">
        <v>3</v>
      </c>
      <c r="Q456" s="7" t="s">
        <v>34</v>
      </c>
      <c r="R456" s="8"/>
      <c r="S456" s="7" t="s">
        <v>1282</v>
      </c>
      <c r="T456" s="7" t="s">
        <v>61</v>
      </c>
      <c r="U456" s="36" t="s">
        <v>61</v>
      </c>
      <c r="V456" s="38" t="s">
        <v>1283</v>
      </c>
      <c r="W456" s="36"/>
      <c r="X456" s="36" t="s">
        <v>1284</v>
      </c>
      <c r="Y456" s="36" t="s">
        <v>1285</v>
      </c>
      <c r="Z456" s="41"/>
      <c r="AA456" s="42" t="e">
        <f>_xlfn.XLOOKUP(C456,#REF!,#REF!,"",0,1)</f>
        <v>#REF!</v>
      </c>
      <c r="AB456" s="43">
        <f t="shared" si="21"/>
        <v>0</v>
      </c>
    </row>
    <row r="457" spans="1:28" ht="247.5" thickBot="1" x14ac:dyDescent="0.3">
      <c r="A457" s="36">
        <v>456</v>
      </c>
      <c r="B457" s="36" t="s">
        <v>24</v>
      </c>
      <c r="C457" s="36" t="s">
        <v>25</v>
      </c>
      <c r="D457" s="37">
        <v>39202</v>
      </c>
      <c r="E457" s="36" t="s">
        <v>1239</v>
      </c>
      <c r="F457" s="36" t="s">
        <v>1240</v>
      </c>
      <c r="G457" s="36" t="s">
        <v>55</v>
      </c>
      <c r="H457" s="36" t="s">
        <v>1286</v>
      </c>
      <c r="I457" s="36" t="s">
        <v>276</v>
      </c>
      <c r="J457" s="36" t="str">
        <f t="shared" si="19"/>
        <v>IndustryDirectorate of Government Printing EstablishmentCAssistant Supervisor Standards/ Planning Asst. Supervisor Planning &amp; StandardS10 (29200 - 92300)</v>
      </c>
      <c r="K457" s="36" t="s">
        <v>127</v>
      </c>
      <c r="L457" s="36" t="s">
        <v>225</v>
      </c>
      <c r="M457" s="38" t="s">
        <v>1287</v>
      </c>
      <c r="N457" s="36" t="s">
        <v>129</v>
      </c>
      <c r="O457" s="6" t="s">
        <v>33</v>
      </c>
      <c r="P457" s="7">
        <v>5</v>
      </c>
      <c r="Q457" s="7" t="s">
        <v>34</v>
      </c>
      <c r="R457" s="8"/>
      <c r="S457" s="8"/>
      <c r="T457" s="7" t="s">
        <v>35</v>
      </c>
      <c r="U457" s="36" t="s">
        <v>35</v>
      </c>
      <c r="V457" s="38" t="s">
        <v>1288</v>
      </c>
      <c r="W457" s="36"/>
      <c r="X457" s="36" t="s">
        <v>150</v>
      </c>
      <c r="Y457" s="36" t="s">
        <v>150</v>
      </c>
      <c r="Z457" s="41"/>
      <c r="AA457" s="42" t="e">
        <f>_xlfn.XLOOKUP(C457,#REF!,#REF!,"",0,1)</f>
        <v>#REF!</v>
      </c>
      <c r="AB457" s="43">
        <f t="shared" si="21"/>
        <v>0</v>
      </c>
    </row>
    <row r="458" spans="1:28" ht="169.5" thickBot="1" x14ac:dyDescent="0.3">
      <c r="A458" s="36">
        <v>457</v>
      </c>
      <c r="B458" s="36" t="s">
        <v>24</v>
      </c>
      <c r="C458" s="36" t="s">
        <v>25</v>
      </c>
      <c r="D458" s="37">
        <v>39202</v>
      </c>
      <c r="E458" s="36" t="s">
        <v>1239</v>
      </c>
      <c r="F458" s="36" t="s">
        <v>1240</v>
      </c>
      <c r="G458" s="36" t="s">
        <v>55</v>
      </c>
      <c r="H458" s="36" t="s">
        <v>1289</v>
      </c>
      <c r="I458" s="36" t="s">
        <v>276</v>
      </c>
      <c r="J458" s="36" t="str">
        <f t="shared" si="19"/>
        <v>IndustryDirectorate of Government Printing EstablishmentCAssistant Supervisor (Processing)S10 (29200 - 92300)</v>
      </c>
      <c r="K458" s="36" t="s">
        <v>127</v>
      </c>
      <c r="L458" s="36" t="s">
        <v>225</v>
      </c>
      <c r="M458" s="38" t="s">
        <v>1290</v>
      </c>
      <c r="N458" s="36" t="s">
        <v>129</v>
      </c>
      <c r="O458" s="6" t="s">
        <v>33</v>
      </c>
      <c r="P458" s="7">
        <v>4</v>
      </c>
      <c r="Q458" s="7" t="s">
        <v>34</v>
      </c>
      <c r="R458" s="8"/>
      <c r="S458" s="8"/>
      <c r="T458" s="7" t="s">
        <v>35</v>
      </c>
      <c r="U458" s="36" t="s">
        <v>35</v>
      </c>
      <c r="V458" s="38" t="s">
        <v>1291</v>
      </c>
      <c r="W458" s="36"/>
      <c r="X458" s="36" t="s">
        <v>150</v>
      </c>
      <c r="Y458" s="36" t="s">
        <v>150</v>
      </c>
      <c r="Z458" s="41"/>
      <c r="AA458" s="42" t="e">
        <f>_xlfn.XLOOKUP(C458,#REF!,#REF!,"",0,1)</f>
        <v>#REF!</v>
      </c>
      <c r="AB458" s="43">
        <f t="shared" si="21"/>
        <v>0</v>
      </c>
    </row>
    <row r="459" spans="1:28" ht="169.5" thickBot="1" x14ac:dyDescent="0.3">
      <c r="A459" s="36">
        <v>458</v>
      </c>
      <c r="B459" s="36" t="s">
        <v>24</v>
      </c>
      <c r="C459" s="36" t="s">
        <v>25</v>
      </c>
      <c r="D459" s="37">
        <v>39202</v>
      </c>
      <c r="E459" s="36" t="s">
        <v>1239</v>
      </c>
      <c r="F459" s="36" t="s">
        <v>1240</v>
      </c>
      <c r="G459" s="36" t="s">
        <v>55</v>
      </c>
      <c r="H459" s="36" t="s">
        <v>1292</v>
      </c>
      <c r="I459" s="36" t="s">
        <v>276</v>
      </c>
      <c r="J459" s="36" t="str">
        <f t="shared" si="19"/>
        <v>IndustryDirectorate of Government Printing EstablishmentCSenior Reader / Senior ReaderS10 (29200 - 92300)</v>
      </c>
      <c r="K459" s="36" t="s">
        <v>127</v>
      </c>
      <c r="L459" s="36" t="s">
        <v>225</v>
      </c>
      <c r="M459" s="38" t="s">
        <v>1293</v>
      </c>
      <c r="N459" s="36" t="s">
        <v>129</v>
      </c>
      <c r="O459" s="6" t="s">
        <v>33</v>
      </c>
      <c r="P459" s="7">
        <v>7</v>
      </c>
      <c r="Q459" s="7" t="s">
        <v>100</v>
      </c>
      <c r="R459" s="8"/>
      <c r="S459" s="7" t="s">
        <v>1294</v>
      </c>
      <c r="T459" s="7" t="s">
        <v>61</v>
      </c>
      <c r="U459" s="36" t="s">
        <v>1244</v>
      </c>
      <c r="V459" s="38" t="s">
        <v>1295</v>
      </c>
      <c r="W459" s="36"/>
      <c r="X459" s="36" t="s">
        <v>1296</v>
      </c>
      <c r="Y459" s="36" t="s">
        <v>1297</v>
      </c>
      <c r="Z459" s="41"/>
      <c r="AA459" s="42" t="e">
        <f>_xlfn.XLOOKUP(C459,#REF!,#REF!,"",0,1)</f>
        <v>#REF!</v>
      </c>
      <c r="AB459" s="43">
        <f t="shared" si="21"/>
        <v>0</v>
      </c>
    </row>
    <row r="460" spans="1:28" ht="91.5" thickBot="1" x14ac:dyDescent="0.3">
      <c r="A460" s="36">
        <v>459</v>
      </c>
      <c r="B460" s="36" t="s">
        <v>24</v>
      </c>
      <c r="C460" s="36" t="s">
        <v>25</v>
      </c>
      <c r="D460" s="37">
        <v>39202</v>
      </c>
      <c r="E460" s="36" t="s">
        <v>1239</v>
      </c>
      <c r="F460" s="36" t="s">
        <v>1240</v>
      </c>
      <c r="G460" s="36" t="s">
        <v>55</v>
      </c>
      <c r="H460" s="49" t="s">
        <v>1298</v>
      </c>
      <c r="I460" s="36" t="s">
        <v>276</v>
      </c>
      <c r="J460" s="36" t="str">
        <f t="shared" si="19"/>
        <v>IndustryDirectorate of Government Printing EstablishmentCPharmacistS10 (29200 - 92300)</v>
      </c>
      <c r="K460" s="36"/>
      <c r="L460" s="36" t="s">
        <v>243</v>
      </c>
      <c r="M460" s="38" t="s">
        <v>1299</v>
      </c>
      <c r="N460" s="36" t="s">
        <v>1300</v>
      </c>
      <c r="O460" s="6" t="s">
        <v>33</v>
      </c>
      <c r="P460" s="7"/>
      <c r="Q460" s="7" t="s">
        <v>34</v>
      </c>
      <c r="R460" s="8"/>
      <c r="S460" s="8"/>
      <c r="T460" s="4" t="s">
        <v>3276</v>
      </c>
      <c r="U460" s="36" t="s">
        <v>61</v>
      </c>
      <c r="V460" s="38" t="s">
        <v>1299</v>
      </c>
      <c r="W460" s="36"/>
      <c r="X460" s="36" t="s">
        <v>150</v>
      </c>
      <c r="Y460" s="36" t="s">
        <v>150</v>
      </c>
      <c r="Z460" s="41"/>
      <c r="AA460" s="42" t="e">
        <f>_xlfn.XLOOKUP(C460,#REF!,#REF!,"",0,1)</f>
        <v>#REF!</v>
      </c>
      <c r="AB460" s="43">
        <f t="shared" si="21"/>
        <v>0</v>
      </c>
    </row>
    <row r="461" spans="1:28" ht="117.5" thickBot="1" x14ac:dyDescent="0.3">
      <c r="A461" s="36">
        <v>460</v>
      </c>
      <c r="B461" s="36" t="s">
        <v>24</v>
      </c>
      <c r="C461" s="36" t="s">
        <v>25</v>
      </c>
      <c r="D461" s="37">
        <v>39202</v>
      </c>
      <c r="E461" s="36" t="s">
        <v>1239</v>
      </c>
      <c r="F461" s="36" t="s">
        <v>1240</v>
      </c>
      <c r="G461" s="36" t="s">
        <v>55</v>
      </c>
      <c r="H461" s="36" t="s">
        <v>1301</v>
      </c>
      <c r="I461" s="36" t="s">
        <v>276</v>
      </c>
      <c r="J461" s="36" t="str">
        <f t="shared" si="19"/>
        <v>IndustryDirectorate of Government Printing EstablishmentCSecurity Officer / Security OfficerS10 (29200 - 92300)</v>
      </c>
      <c r="K461" s="36"/>
      <c r="L461" s="36" t="s">
        <v>238</v>
      </c>
      <c r="M461" s="38" t="s">
        <v>1302</v>
      </c>
      <c r="N461" s="36"/>
      <c r="O461" s="6" t="s">
        <v>33</v>
      </c>
      <c r="P461" s="7">
        <v>1</v>
      </c>
      <c r="Q461" s="7" t="s">
        <v>34</v>
      </c>
      <c r="R461" s="8"/>
      <c r="S461" s="8"/>
      <c r="T461" s="7" t="s">
        <v>2395</v>
      </c>
      <c r="U461" s="36" t="s">
        <v>35</v>
      </c>
      <c r="V461" s="38" t="s">
        <v>1303</v>
      </c>
      <c r="W461" s="36"/>
      <c r="X461" s="36"/>
      <c r="Y461" s="36"/>
      <c r="Z461" s="41"/>
      <c r="AA461" s="42" t="e">
        <f>_xlfn.XLOOKUP(C461,#REF!,#REF!,"",0,1)</f>
        <v>#REF!</v>
      </c>
      <c r="AB461" s="43">
        <f t="shared" si="21"/>
        <v>0</v>
      </c>
    </row>
    <row r="462" spans="1:28" ht="208.5" thickBot="1" x14ac:dyDescent="0.3">
      <c r="A462" s="36">
        <v>461</v>
      </c>
      <c r="B462" s="36" t="s">
        <v>24</v>
      </c>
      <c r="C462" s="36" t="s">
        <v>25</v>
      </c>
      <c r="D462" s="37">
        <v>39202</v>
      </c>
      <c r="E462" s="36" t="s">
        <v>1239</v>
      </c>
      <c r="F462" s="36" t="s">
        <v>1240</v>
      </c>
      <c r="G462" s="36" t="s">
        <v>55</v>
      </c>
      <c r="H462" s="36" t="s">
        <v>1304</v>
      </c>
      <c r="I462" s="36" t="s">
        <v>57</v>
      </c>
      <c r="J462" s="36" t="str">
        <f t="shared" si="19"/>
        <v>IndustryDirectorate of Government Printing EstablishmentCSupervisor (Process)S13 (35400 - 112400)</v>
      </c>
      <c r="K462" s="36" t="s">
        <v>163</v>
      </c>
      <c r="L462" s="36" t="s">
        <v>225</v>
      </c>
      <c r="M462" s="38" t="s">
        <v>1305</v>
      </c>
      <c r="N462" s="36" t="s">
        <v>165</v>
      </c>
      <c r="O462" s="6" t="s">
        <v>33</v>
      </c>
      <c r="P462" s="7">
        <v>2</v>
      </c>
      <c r="Q462" s="7" t="s">
        <v>34</v>
      </c>
      <c r="R462" s="8"/>
      <c r="S462" s="8"/>
      <c r="T462" s="7" t="s">
        <v>35</v>
      </c>
      <c r="U462" s="36" t="s">
        <v>35</v>
      </c>
      <c r="V462" s="38" t="s">
        <v>1306</v>
      </c>
      <c r="W462" s="36"/>
      <c r="X462" s="36" t="s">
        <v>150</v>
      </c>
      <c r="Y462" s="36" t="s">
        <v>150</v>
      </c>
      <c r="Z462" s="41"/>
      <c r="AA462" s="42" t="e">
        <f>_xlfn.XLOOKUP(C462,#REF!,#REF!,"",0,1)</f>
        <v>#REF!</v>
      </c>
      <c r="AB462" s="43">
        <f t="shared" si="21"/>
        <v>0</v>
      </c>
    </row>
    <row r="463" spans="1:28" ht="117.5" thickBot="1" x14ac:dyDescent="0.3">
      <c r="A463" s="36">
        <v>462</v>
      </c>
      <c r="B463" s="36" t="s">
        <v>24</v>
      </c>
      <c r="C463" s="36" t="s">
        <v>25</v>
      </c>
      <c r="D463" s="37">
        <v>39202</v>
      </c>
      <c r="E463" s="36" t="s">
        <v>1239</v>
      </c>
      <c r="F463" s="36" t="s">
        <v>1240</v>
      </c>
      <c r="G463" s="36" t="s">
        <v>55</v>
      </c>
      <c r="H463" s="36" t="s">
        <v>1307</v>
      </c>
      <c r="I463" s="36" t="s">
        <v>57</v>
      </c>
      <c r="J463" s="36" t="str">
        <f t="shared" si="19"/>
        <v>IndustryDirectorate of Government Printing EstablishmentCSupervisor DocumentS13 (35400 - 112400)</v>
      </c>
      <c r="K463" s="36" t="s">
        <v>163</v>
      </c>
      <c r="L463" s="36" t="s">
        <v>225</v>
      </c>
      <c r="M463" s="38" t="s">
        <v>1308</v>
      </c>
      <c r="N463" s="36" t="s">
        <v>165</v>
      </c>
      <c r="O463" s="6" t="s">
        <v>33</v>
      </c>
      <c r="P463" s="7"/>
      <c r="Q463" s="7" t="s">
        <v>34</v>
      </c>
      <c r="R463" s="8"/>
      <c r="S463" s="8"/>
      <c r="T463" s="7" t="s">
        <v>35</v>
      </c>
      <c r="U463" s="36" t="s">
        <v>35</v>
      </c>
      <c r="V463" s="38" t="s">
        <v>1309</v>
      </c>
      <c r="W463" s="36"/>
      <c r="X463" s="36" t="s">
        <v>1310</v>
      </c>
      <c r="Y463" s="36" t="s">
        <v>1311</v>
      </c>
      <c r="Z463" s="41"/>
      <c r="AA463" s="42" t="e">
        <f>_xlfn.XLOOKUP(C463,#REF!,#REF!,"",0,1)</f>
        <v>#REF!</v>
      </c>
      <c r="AB463" s="43">
        <f t="shared" si="21"/>
        <v>0</v>
      </c>
    </row>
    <row r="464" spans="1:28" ht="156.5" thickBot="1" x14ac:dyDescent="0.3">
      <c r="A464" s="36">
        <v>463</v>
      </c>
      <c r="B464" s="36" t="s">
        <v>24</v>
      </c>
      <c r="C464" s="36" t="s">
        <v>25</v>
      </c>
      <c r="D464" s="37">
        <v>39202</v>
      </c>
      <c r="E464" s="36" t="s">
        <v>1239</v>
      </c>
      <c r="F464" s="36" t="s">
        <v>1240</v>
      </c>
      <c r="G464" s="36" t="s">
        <v>55</v>
      </c>
      <c r="H464" s="36" t="s">
        <v>1312</v>
      </c>
      <c r="I464" s="36" t="s">
        <v>57</v>
      </c>
      <c r="J464" s="36" t="str">
        <f t="shared" si="19"/>
        <v>IndustryDirectorate of Government Printing EstablishmentCSupervisor Reading / Supervisor ReadingS13 (35400 - 112400)</v>
      </c>
      <c r="K464" s="36" t="s">
        <v>163</v>
      </c>
      <c r="L464" s="36" t="s">
        <v>225</v>
      </c>
      <c r="M464" s="38" t="s">
        <v>1313</v>
      </c>
      <c r="N464" s="36" t="s">
        <v>165</v>
      </c>
      <c r="O464" s="6" t="s">
        <v>33</v>
      </c>
      <c r="P464" s="7">
        <v>1</v>
      </c>
      <c r="Q464" s="7" t="s">
        <v>100</v>
      </c>
      <c r="R464" s="8"/>
      <c r="S464" s="7" t="s">
        <v>1294</v>
      </c>
      <c r="T464" s="7" t="s">
        <v>2395</v>
      </c>
      <c r="U464" s="36" t="s">
        <v>61</v>
      </c>
      <c r="V464" s="38" t="s">
        <v>1314</v>
      </c>
      <c r="W464" s="36"/>
      <c r="X464" s="36" t="s">
        <v>1296</v>
      </c>
      <c r="Y464" s="36" t="s">
        <v>1297</v>
      </c>
      <c r="Z464" s="41"/>
      <c r="AA464" s="42" t="e">
        <f>_xlfn.XLOOKUP(C464,#REF!,#REF!,"",0,1)</f>
        <v>#REF!</v>
      </c>
      <c r="AB464" s="43">
        <f t="shared" si="21"/>
        <v>0</v>
      </c>
    </row>
    <row r="465" spans="1:28" ht="156.5" thickBot="1" x14ac:dyDescent="0.3">
      <c r="A465" s="36">
        <v>464</v>
      </c>
      <c r="B465" s="36" t="s">
        <v>24</v>
      </c>
      <c r="C465" s="36" t="s">
        <v>25</v>
      </c>
      <c r="D465" s="37">
        <v>39202</v>
      </c>
      <c r="E465" s="36" t="s">
        <v>1239</v>
      </c>
      <c r="F465" s="36" t="s">
        <v>1240</v>
      </c>
      <c r="G465" s="36" t="s">
        <v>55</v>
      </c>
      <c r="H465" s="36" t="s">
        <v>1315</v>
      </c>
      <c r="I465" s="36" t="s">
        <v>57</v>
      </c>
      <c r="J465" s="36" t="str">
        <f t="shared" si="19"/>
        <v>IndustryDirectorate of Government Printing EstablishmentCSupervisor Binding / Supervisor BindingS13 (35400 - 112400)</v>
      </c>
      <c r="K465" s="36" t="s">
        <v>163</v>
      </c>
      <c r="L465" s="36" t="s">
        <v>225</v>
      </c>
      <c r="M465" s="38" t="s">
        <v>1316</v>
      </c>
      <c r="N465" s="36" t="s">
        <v>165</v>
      </c>
      <c r="O465" s="6" t="s">
        <v>33</v>
      </c>
      <c r="P465" s="7">
        <v>6</v>
      </c>
      <c r="Q465" s="7" t="s">
        <v>100</v>
      </c>
      <c r="R465" s="8"/>
      <c r="S465" s="7" t="s">
        <v>1294</v>
      </c>
      <c r="T465" s="7" t="s">
        <v>61</v>
      </c>
      <c r="U465" s="36" t="s">
        <v>61</v>
      </c>
      <c r="V465" s="38" t="s">
        <v>1317</v>
      </c>
      <c r="W465" s="36"/>
      <c r="X465" s="36" t="s">
        <v>1284</v>
      </c>
      <c r="Y465" s="36" t="s">
        <v>1285</v>
      </c>
      <c r="Z465" s="41"/>
      <c r="AA465" s="42" t="e">
        <f>_xlfn.XLOOKUP(C465,#REF!,#REF!,"",0,1)</f>
        <v>#REF!</v>
      </c>
      <c r="AB465" s="43">
        <f t="shared" si="21"/>
        <v>0</v>
      </c>
    </row>
    <row r="466" spans="1:28" ht="143.5" thickBot="1" x14ac:dyDescent="0.3">
      <c r="A466" s="36">
        <v>465</v>
      </c>
      <c r="B466" s="36" t="s">
        <v>24</v>
      </c>
      <c r="C466" s="36" t="s">
        <v>25</v>
      </c>
      <c r="D466" s="37">
        <v>39202</v>
      </c>
      <c r="E466" s="36" t="s">
        <v>1239</v>
      </c>
      <c r="F466" s="36" t="s">
        <v>1240</v>
      </c>
      <c r="G466" s="36" t="s">
        <v>55</v>
      </c>
      <c r="H466" s="36" t="s">
        <v>1318</v>
      </c>
      <c r="I466" s="36" t="s">
        <v>57</v>
      </c>
      <c r="J466" s="36" t="str">
        <f t="shared" si="19"/>
        <v>IndustryDirectorate of Government Printing EstablishmentCSupervisor Planning &amp; StandardS13 (35400 - 112400)</v>
      </c>
      <c r="K466" s="36" t="s">
        <v>163</v>
      </c>
      <c r="L466" s="36" t="s">
        <v>225</v>
      </c>
      <c r="M466" s="38" t="s">
        <v>1319</v>
      </c>
      <c r="N466" s="36" t="s">
        <v>165</v>
      </c>
      <c r="O466" s="6" t="s">
        <v>33</v>
      </c>
      <c r="P466" s="7">
        <v>2</v>
      </c>
      <c r="Q466" s="7" t="s">
        <v>34</v>
      </c>
      <c r="R466" s="8"/>
      <c r="S466" s="8"/>
      <c r="T466" s="7" t="s">
        <v>35</v>
      </c>
      <c r="U466" s="36" t="s">
        <v>61</v>
      </c>
      <c r="V466" s="38" t="s">
        <v>1320</v>
      </c>
      <c r="W466" s="36"/>
      <c r="X466" s="36" t="s">
        <v>150</v>
      </c>
      <c r="Y466" s="36" t="s">
        <v>150</v>
      </c>
      <c r="Z466" s="41"/>
      <c r="AA466" s="42" t="e">
        <f>_xlfn.XLOOKUP(C466,#REF!,#REF!,"",0,1)</f>
        <v>#REF!</v>
      </c>
      <c r="AB466" s="43">
        <f t="shared" si="21"/>
        <v>0</v>
      </c>
    </row>
    <row r="467" spans="1:28" ht="195.5" thickBot="1" x14ac:dyDescent="0.3">
      <c r="A467" s="36">
        <v>466</v>
      </c>
      <c r="B467" s="36" t="s">
        <v>24</v>
      </c>
      <c r="C467" s="36" t="s">
        <v>25</v>
      </c>
      <c r="D467" s="37">
        <v>39202</v>
      </c>
      <c r="E467" s="36" t="s">
        <v>1239</v>
      </c>
      <c r="F467" s="36" t="s">
        <v>1240</v>
      </c>
      <c r="G467" s="36" t="s">
        <v>55</v>
      </c>
      <c r="H467" s="36" t="s">
        <v>1321</v>
      </c>
      <c r="I467" s="36" t="s">
        <v>57</v>
      </c>
      <c r="J467" s="36" t="str">
        <f t="shared" si="19"/>
        <v>IndustryDirectorate of Government Printing EstablishmentCSupervisor Training / Supervisor TrainingS13 (35400 - 112400)</v>
      </c>
      <c r="K467" s="36" t="s">
        <v>163</v>
      </c>
      <c r="L467" s="36" t="s">
        <v>225</v>
      </c>
      <c r="M467" s="38" t="s">
        <v>1322</v>
      </c>
      <c r="N467" s="36" t="s">
        <v>165</v>
      </c>
      <c r="O467" s="6" t="s">
        <v>33</v>
      </c>
      <c r="P467" s="7">
        <v>4</v>
      </c>
      <c r="Q467" s="7" t="s">
        <v>34</v>
      </c>
      <c r="R467" s="8"/>
      <c r="S467" s="8"/>
      <c r="T467" s="7" t="s">
        <v>35</v>
      </c>
      <c r="U467" s="36" t="s">
        <v>35</v>
      </c>
      <c r="V467" s="38" t="s">
        <v>1323</v>
      </c>
      <c r="W467" s="36"/>
      <c r="X467" s="36" t="s">
        <v>150</v>
      </c>
      <c r="Y467" s="36" t="s">
        <v>150</v>
      </c>
      <c r="Z467" s="41"/>
      <c r="AA467" s="42" t="e">
        <f>_xlfn.XLOOKUP(C467,#REF!,#REF!,"",0,1)</f>
        <v>#REF!</v>
      </c>
      <c r="AB467" s="43">
        <f t="shared" si="21"/>
        <v>0</v>
      </c>
    </row>
    <row r="468" spans="1:28" ht="169.5" thickBot="1" x14ac:dyDescent="0.3">
      <c r="A468" s="36">
        <v>467</v>
      </c>
      <c r="B468" s="36" t="s">
        <v>24</v>
      </c>
      <c r="C468" s="36" t="s">
        <v>25</v>
      </c>
      <c r="D468" s="37">
        <v>39202</v>
      </c>
      <c r="E468" s="36" t="s">
        <v>1239</v>
      </c>
      <c r="F468" s="36" t="s">
        <v>1240</v>
      </c>
      <c r="G468" s="36" t="s">
        <v>55</v>
      </c>
      <c r="H468" s="36" t="s">
        <v>1324</v>
      </c>
      <c r="I468" s="36" t="s">
        <v>57</v>
      </c>
      <c r="J468" s="36" t="str">
        <f t="shared" si="19"/>
        <v>IndustryDirectorate of Government Printing EstablishmentCSupervisor OffsetS13 (35400 - 112400)</v>
      </c>
      <c r="K468" s="36" t="s">
        <v>163</v>
      </c>
      <c r="L468" s="36" t="s">
        <v>225</v>
      </c>
      <c r="M468" s="38" t="s">
        <v>1325</v>
      </c>
      <c r="N468" s="36" t="s">
        <v>165</v>
      </c>
      <c r="O468" s="6" t="s">
        <v>33</v>
      </c>
      <c r="P468" s="7">
        <v>4</v>
      </c>
      <c r="Q468" s="7" t="s">
        <v>34</v>
      </c>
      <c r="R468" s="8"/>
      <c r="S468" s="8"/>
      <c r="T468" s="7" t="s">
        <v>35</v>
      </c>
      <c r="U468" s="36" t="s">
        <v>35</v>
      </c>
      <c r="V468" s="38" t="s">
        <v>1326</v>
      </c>
      <c r="W468" s="36"/>
      <c r="X468" s="36" t="s">
        <v>150</v>
      </c>
      <c r="Y468" s="36" t="s">
        <v>150</v>
      </c>
      <c r="Z468" s="41"/>
      <c r="AA468" s="42" t="e">
        <f>_xlfn.XLOOKUP(C468,#REF!,#REF!,"",0,1)</f>
        <v>#REF!</v>
      </c>
      <c r="AB468" s="43">
        <f t="shared" si="21"/>
        <v>0</v>
      </c>
    </row>
    <row r="469" spans="1:28" ht="117.5" thickBot="1" x14ac:dyDescent="0.3">
      <c r="A469" s="36">
        <v>468</v>
      </c>
      <c r="B469" s="36" t="s">
        <v>24</v>
      </c>
      <c r="C469" s="36" t="s">
        <v>25</v>
      </c>
      <c r="D469" s="37">
        <v>39202</v>
      </c>
      <c r="E469" s="36" t="s">
        <v>1239</v>
      </c>
      <c r="F469" s="36" t="s">
        <v>1240</v>
      </c>
      <c r="G469" s="36" t="s">
        <v>55</v>
      </c>
      <c r="H469" s="49" t="s">
        <v>1327</v>
      </c>
      <c r="I469" s="36" t="s">
        <v>57</v>
      </c>
      <c r="J469" s="36" t="str">
        <f t="shared" si="19"/>
        <v>IndustryDirectorate of Government Printing EstablishmentCFemale NurseS13 (35400 - 112400)</v>
      </c>
      <c r="K469" s="36"/>
      <c r="L469" s="36" t="s">
        <v>243</v>
      </c>
      <c r="M469" s="38" t="s">
        <v>1328</v>
      </c>
      <c r="N469" s="36" t="s">
        <v>1300</v>
      </c>
      <c r="O469" s="6" t="s">
        <v>33</v>
      </c>
      <c r="P469" s="7"/>
      <c r="Q469" s="7" t="s">
        <v>34</v>
      </c>
      <c r="R469" s="8"/>
      <c r="S469" s="8"/>
      <c r="T469" s="4" t="s">
        <v>3276</v>
      </c>
      <c r="U469" s="36" t="s">
        <v>35</v>
      </c>
      <c r="V469" s="38" t="s">
        <v>1329</v>
      </c>
      <c r="W469" s="36"/>
      <c r="X469" s="36" t="s">
        <v>1330</v>
      </c>
      <c r="Y469" s="36" t="s">
        <v>1331</v>
      </c>
      <c r="Z469" s="41"/>
      <c r="AA469" s="42" t="e">
        <f>_xlfn.XLOOKUP(C469,#REF!,#REF!,"",0,1)</f>
        <v>#REF!</v>
      </c>
      <c r="AB469" s="43">
        <f t="shared" si="21"/>
        <v>0</v>
      </c>
    </row>
    <row r="470" spans="1:28" ht="117.5" thickBot="1" x14ac:dyDescent="0.3">
      <c r="A470" s="44">
        <v>469</v>
      </c>
      <c r="B470" s="44" t="s">
        <v>24</v>
      </c>
      <c r="C470" s="36" t="s">
        <v>25</v>
      </c>
      <c r="D470" s="37">
        <v>39202</v>
      </c>
      <c r="E470" s="44" t="s">
        <v>1239</v>
      </c>
      <c r="F470" s="44" t="s">
        <v>1240</v>
      </c>
      <c r="G470" s="44" t="s">
        <v>55</v>
      </c>
      <c r="H470" s="44" t="s">
        <v>1332</v>
      </c>
      <c r="I470" s="44" t="s">
        <v>57</v>
      </c>
      <c r="J470" s="44" t="str">
        <f t="shared" si="19"/>
        <v>IndustryDirectorate of Government Printing EstablishmentCSenior ArtistS13 (35400 - 112400)</v>
      </c>
      <c r="K470" s="44"/>
      <c r="L470" s="44" t="s">
        <v>261</v>
      </c>
      <c r="M470" s="45" t="s">
        <v>1333</v>
      </c>
      <c r="N470" s="44" t="s">
        <v>283</v>
      </c>
      <c r="O470" s="11" t="s">
        <v>33</v>
      </c>
      <c r="P470" s="13"/>
      <c r="Q470" s="12" t="s">
        <v>34</v>
      </c>
      <c r="R470" s="13"/>
      <c r="S470" s="13"/>
      <c r="T470" s="4" t="s">
        <v>3276</v>
      </c>
      <c r="U470" s="44" t="s">
        <v>61</v>
      </c>
      <c r="V470" s="45"/>
      <c r="W470" s="44"/>
      <c r="X470" s="44"/>
      <c r="Y470" s="44"/>
      <c r="Z470" s="41"/>
      <c r="AA470" s="42" t="e">
        <f>_xlfn.XLOOKUP(C470,#REF!,#REF!,"",0,1)</f>
        <v>#REF!</v>
      </c>
      <c r="AB470" s="43">
        <f t="shared" si="21"/>
        <v>0</v>
      </c>
    </row>
    <row r="471" spans="1:28" ht="104.5" thickBot="1" x14ac:dyDescent="0.3">
      <c r="A471" s="36">
        <v>470</v>
      </c>
      <c r="B471" s="36" t="s">
        <v>24</v>
      </c>
      <c r="C471" s="36" t="s">
        <v>25</v>
      </c>
      <c r="D471" s="37">
        <v>39202</v>
      </c>
      <c r="E471" s="36" t="s">
        <v>1239</v>
      </c>
      <c r="F471" s="36" t="s">
        <v>1240</v>
      </c>
      <c r="G471" s="36" t="s">
        <v>55</v>
      </c>
      <c r="H471" s="49" t="s">
        <v>1334</v>
      </c>
      <c r="I471" s="36" t="s">
        <v>57</v>
      </c>
      <c r="J471" s="36" t="str">
        <f t="shared" si="19"/>
        <v>IndustryDirectorate of Government Printing EstablishmentCMale NurseS13 (35400 - 112400)</v>
      </c>
      <c r="K471" s="36"/>
      <c r="L471" s="36" t="s">
        <v>243</v>
      </c>
      <c r="M471" s="38" t="s">
        <v>1328</v>
      </c>
      <c r="N471" s="36" t="s">
        <v>1300</v>
      </c>
      <c r="O471" s="6" t="s">
        <v>33</v>
      </c>
      <c r="P471" s="7"/>
      <c r="Q471" s="7" t="s">
        <v>34</v>
      </c>
      <c r="R471" s="8"/>
      <c r="S471" s="8"/>
      <c r="T471" s="4" t="s">
        <v>3276</v>
      </c>
      <c r="U471" s="36" t="s">
        <v>1244</v>
      </c>
      <c r="V471" s="38" t="s">
        <v>1328</v>
      </c>
      <c r="W471" s="36"/>
      <c r="X471" s="36" t="s">
        <v>150</v>
      </c>
      <c r="Y471" s="36" t="s">
        <v>150</v>
      </c>
      <c r="Z471" s="41"/>
      <c r="AA471" s="42" t="e">
        <f>_xlfn.XLOOKUP(C471,#REF!,#REF!,"",0,1)</f>
        <v>#REF!</v>
      </c>
      <c r="AB471" s="43">
        <f t="shared" si="21"/>
        <v>0</v>
      </c>
    </row>
    <row r="472" spans="1:28" ht="117.5" thickBot="1" x14ac:dyDescent="0.3">
      <c r="A472" s="36">
        <v>471</v>
      </c>
      <c r="B472" s="36" t="s">
        <v>24</v>
      </c>
      <c r="C472" s="36" t="s">
        <v>25</v>
      </c>
      <c r="D472" s="37">
        <v>39202</v>
      </c>
      <c r="E472" s="36" t="s">
        <v>1239</v>
      </c>
      <c r="F472" s="36" t="s">
        <v>1240</v>
      </c>
      <c r="G472" s="36" t="s">
        <v>55</v>
      </c>
      <c r="H472" s="49" t="s">
        <v>771</v>
      </c>
      <c r="I472" s="36" t="s">
        <v>67</v>
      </c>
      <c r="J472" s="36" t="str">
        <f t="shared" si="19"/>
        <v>IndustryDirectorate of Government Printing EstablishmentCStenographer (L.G.)S14 (38600 - 122800)</v>
      </c>
      <c r="K472" s="36" t="s">
        <v>1335</v>
      </c>
      <c r="L472" s="36" t="s">
        <v>228</v>
      </c>
      <c r="M472" s="38" t="s">
        <v>1336</v>
      </c>
      <c r="N472" s="40" t="s">
        <v>70</v>
      </c>
      <c r="O472" s="6" t="s">
        <v>33</v>
      </c>
      <c r="P472" s="7">
        <v>0</v>
      </c>
      <c r="Q472" s="7" t="s">
        <v>34</v>
      </c>
      <c r="R472" s="8"/>
      <c r="S472" s="8"/>
      <c r="T472" s="7" t="s">
        <v>2395</v>
      </c>
      <c r="U472" s="36" t="s">
        <v>35</v>
      </c>
      <c r="V472" s="38"/>
      <c r="W472" s="36"/>
      <c r="X472" s="36"/>
      <c r="Y472" s="36"/>
      <c r="Z472" s="41"/>
      <c r="AA472" s="42" t="e">
        <f>_xlfn.XLOOKUP(C472,#REF!,#REF!,"",0,1)</f>
        <v>#REF!</v>
      </c>
      <c r="AB472" s="43">
        <f t="shared" si="21"/>
        <v>0</v>
      </c>
    </row>
    <row r="473" spans="1:28" ht="208.5" thickBot="1" x14ac:dyDescent="0.3">
      <c r="A473" s="36">
        <v>472</v>
      </c>
      <c r="B473" s="36" t="s">
        <v>24</v>
      </c>
      <c r="C473" s="36" t="s">
        <v>25</v>
      </c>
      <c r="D473" s="37">
        <v>39202</v>
      </c>
      <c r="E473" s="36" t="s">
        <v>1239</v>
      </c>
      <c r="F473" s="36" t="s">
        <v>1240</v>
      </c>
      <c r="G473" s="36" t="s">
        <v>55</v>
      </c>
      <c r="H473" s="36" t="s">
        <v>1337</v>
      </c>
      <c r="I473" s="36" t="s">
        <v>44</v>
      </c>
      <c r="J473" s="36" t="str">
        <f t="shared" si="19"/>
        <v>IndustryDirectorate of Government Printing EstablishmentCJunior Assistant Manager / Jr.Assistant ManagerS15 (41800 - 132300)</v>
      </c>
      <c r="K473" s="36" t="s">
        <v>163</v>
      </c>
      <c r="L473" s="36" t="s">
        <v>225</v>
      </c>
      <c r="M473" s="38" t="s">
        <v>1338</v>
      </c>
      <c r="N473" s="36" t="s">
        <v>165</v>
      </c>
      <c r="O473" s="6" t="s">
        <v>33</v>
      </c>
      <c r="P473" s="7">
        <v>4</v>
      </c>
      <c r="Q473" s="7" t="s">
        <v>34</v>
      </c>
      <c r="R473" s="8"/>
      <c r="S473" s="8"/>
      <c r="T473" s="7" t="s">
        <v>35</v>
      </c>
      <c r="U473" s="36" t="s">
        <v>1244</v>
      </c>
      <c r="V473" s="38" t="s">
        <v>1339</v>
      </c>
      <c r="W473" s="36"/>
      <c r="X473" s="36" t="s">
        <v>1340</v>
      </c>
      <c r="Y473" s="36" t="s">
        <v>1341</v>
      </c>
      <c r="Z473" s="41"/>
      <c r="AA473" s="42" t="e">
        <f>_xlfn.XLOOKUP(C473,#REF!,#REF!,"",0,1)</f>
        <v>#REF!</v>
      </c>
      <c r="AB473" s="43">
        <f t="shared" si="21"/>
        <v>0</v>
      </c>
    </row>
    <row r="474" spans="1:28" ht="117.5" thickBot="1" x14ac:dyDescent="0.3">
      <c r="A474" s="44">
        <v>473</v>
      </c>
      <c r="B474" s="44" t="s">
        <v>24</v>
      </c>
      <c r="C474" s="36" t="s">
        <v>25</v>
      </c>
      <c r="D474" s="37">
        <v>39202</v>
      </c>
      <c r="E474" s="44" t="s">
        <v>1239</v>
      </c>
      <c r="F474" s="44" t="s">
        <v>1240</v>
      </c>
      <c r="G474" s="44" t="s">
        <v>55</v>
      </c>
      <c r="H474" s="44" t="s">
        <v>1342</v>
      </c>
      <c r="I474" s="44" t="s">
        <v>44</v>
      </c>
      <c r="J474" s="44" t="str">
        <f t="shared" si="19"/>
        <v>IndustryDirectorate of Government Printing EstablishmentCOffset TechnologistS15 (41800 - 132300)</v>
      </c>
      <c r="K474" s="44"/>
      <c r="L474" s="44" t="s">
        <v>261</v>
      </c>
      <c r="M474" s="45" t="s">
        <v>1343</v>
      </c>
      <c r="N474" s="44" t="s">
        <v>113</v>
      </c>
      <c r="O474" s="11" t="s">
        <v>33</v>
      </c>
      <c r="P474" s="12">
        <v>2</v>
      </c>
      <c r="Q474" s="12" t="s">
        <v>34</v>
      </c>
      <c r="R474" s="13"/>
      <c r="S474" s="13"/>
      <c r="T474" s="4" t="s">
        <v>3276</v>
      </c>
      <c r="U474" s="44" t="s">
        <v>35</v>
      </c>
      <c r="V474" s="45"/>
      <c r="W474" s="44"/>
      <c r="X474" s="44"/>
      <c r="Y474" s="44"/>
      <c r="Z474" s="41"/>
      <c r="AA474" s="42" t="e">
        <f>_xlfn.XLOOKUP(C474,#REF!,#REF!,"",0,1)</f>
        <v>#REF!</v>
      </c>
      <c r="AB474" s="43">
        <f t="shared" si="21"/>
        <v>0</v>
      </c>
    </row>
    <row r="475" spans="1:28" ht="117.5" thickBot="1" x14ac:dyDescent="0.3">
      <c r="A475" s="36">
        <v>474</v>
      </c>
      <c r="B475" s="36" t="s">
        <v>24</v>
      </c>
      <c r="C475" s="36" t="s">
        <v>25</v>
      </c>
      <c r="D475" s="37">
        <v>39202</v>
      </c>
      <c r="E475" s="36" t="s">
        <v>1239</v>
      </c>
      <c r="F475" s="36" t="s">
        <v>1240</v>
      </c>
      <c r="G475" s="36" t="s">
        <v>55</v>
      </c>
      <c r="H475" s="49" t="s">
        <v>1055</v>
      </c>
      <c r="I475" s="36" t="s">
        <v>44</v>
      </c>
      <c r="J475" s="36" t="str">
        <f t="shared" si="19"/>
        <v>IndustryDirectorate of Government Printing EstablishmentCStenographer (H.G.)S15 (41800 - 132300)</v>
      </c>
      <c r="K475" s="36" t="s">
        <v>1335</v>
      </c>
      <c r="L475" s="36" t="s">
        <v>228</v>
      </c>
      <c r="M475" s="38" t="s">
        <v>1344</v>
      </c>
      <c r="N475" s="40" t="s">
        <v>70</v>
      </c>
      <c r="O475" s="6" t="s">
        <v>33</v>
      </c>
      <c r="P475" s="7">
        <v>0</v>
      </c>
      <c r="Q475" s="7" t="s">
        <v>34</v>
      </c>
      <c r="R475" s="8"/>
      <c r="S475" s="8"/>
      <c r="T475" s="7" t="s">
        <v>2395</v>
      </c>
      <c r="U475" s="36" t="s">
        <v>35</v>
      </c>
      <c r="V475" s="38"/>
      <c r="W475" s="36"/>
      <c r="X475" s="36"/>
      <c r="Y475" s="36"/>
      <c r="Z475" s="41"/>
      <c r="AA475" s="42" t="e">
        <f>_xlfn.XLOOKUP(C475,#REF!,#REF!,"",0,1)</f>
        <v>#REF!</v>
      </c>
      <c r="AB475" s="43">
        <f t="shared" si="21"/>
        <v>0</v>
      </c>
    </row>
    <row r="476" spans="1:28" ht="104.5" thickBot="1" x14ac:dyDescent="0.3">
      <c r="A476" s="36">
        <v>475</v>
      </c>
      <c r="B476" s="36" t="s">
        <v>24</v>
      </c>
      <c r="C476" s="36" t="s">
        <v>25</v>
      </c>
      <c r="D476" s="37">
        <v>39202</v>
      </c>
      <c r="E476" s="36" t="s">
        <v>1239</v>
      </c>
      <c r="F476" s="36" t="s">
        <v>1240</v>
      </c>
      <c r="G476" s="36" t="s">
        <v>55</v>
      </c>
      <c r="H476" s="36" t="s">
        <v>1345</v>
      </c>
      <c r="I476" s="36" t="s">
        <v>44</v>
      </c>
      <c r="J476" s="36" t="str">
        <f t="shared" si="19"/>
        <v>IndustryDirectorate of Government Printing EstablishmentCHead ArtistS15 (41800 - 132300)</v>
      </c>
      <c r="K476" s="36"/>
      <c r="L476" s="36" t="s">
        <v>238</v>
      </c>
      <c r="M476" s="38" t="s">
        <v>1346</v>
      </c>
      <c r="N476" s="36" t="s">
        <v>283</v>
      </c>
      <c r="O476" s="6" t="s">
        <v>33</v>
      </c>
      <c r="P476" s="7">
        <v>0</v>
      </c>
      <c r="Q476" s="7" t="s">
        <v>34</v>
      </c>
      <c r="R476" s="8"/>
      <c r="S476" s="8"/>
      <c r="T476" s="7" t="s">
        <v>2395</v>
      </c>
      <c r="U476" s="36" t="s">
        <v>35</v>
      </c>
      <c r="V476" s="38"/>
      <c r="W476" s="36"/>
      <c r="X476" s="36"/>
      <c r="Y476" s="36"/>
      <c r="Z476" s="41"/>
      <c r="AA476" s="42" t="e">
        <f>_xlfn.XLOOKUP(C476,#REF!,#REF!,"",0,1)</f>
        <v>#REF!</v>
      </c>
      <c r="AB476" s="43">
        <f t="shared" si="21"/>
        <v>0</v>
      </c>
    </row>
    <row r="477" spans="1:28" ht="91.5" thickBot="1" x14ac:dyDescent="0.3">
      <c r="A477" s="44">
        <v>476</v>
      </c>
      <c r="B477" s="44" t="s">
        <v>24</v>
      </c>
      <c r="C477" s="36" t="s">
        <v>25</v>
      </c>
      <c r="D477" s="37">
        <v>39202</v>
      </c>
      <c r="E477" s="44" t="s">
        <v>1239</v>
      </c>
      <c r="F477" s="44" t="s">
        <v>1240</v>
      </c>
      <c r="G477" s="44" t="s">
        <v>55</v>
      </c>
      <c r="H477" s="44" t="s">
        <v>1347</v>
      </c>
      <c r="I477" s="44" t="s">
        <v>281</v>
      </c>
      <c r="J477" s="44" t="str">
        <f t="shared" si="19"/>
        <v>IndustryDirectorate of Government Printing EstablishmentCAuxillaryS5 (18000 56900)</v>
      </c>
      <c r="K477" s="44"/>
      <c r="L477" s="44" t="s">
        <v>261</v>
      </c>
      <c r="M477" s="45" t="s">
        <v>1348</v>
      </c>
      <c r="N477" s="44" t="s">
        <v>283</v>
      </c>
      <c r="O477" s="11" t="s">
        <v>33</v>
      </c>
      <c r="P477" s="13"/>
      <c r="Q477" s="12" t="s">
        <v>34</v>
      </c>
      <c r="R477" s="13"/>
      <c r="S477" s="13"/>
      <c r="T477" s="4" t="s">
        <v>3276</v>
      </c>
      <c r="U477" s="44" t="s">
        <v>35</v>
      </c>
      <c r="V477" s="45"/>
      <c r="W477" s="44"/>
      <c r="X477" s="44"/>
      <c r="Y477" s="44"/>
      <c r="Z477" s="41"/>
      <c r="AA477" s="42" t="e">
        <f>_xlfn.XLOOKUP(C477,#REF!,#REF!,"",0,1)</f>
        <v>#REF!</v>
      </c>
      <c r="AB477" s="43">
        <f t="shared" si="21"/>
        <v>0</v>
      </c>
    </row>
    <row r="478" spans="1:28" ht="117.5" thickBot="1" x14ac:dyDescent="0.3">
      <c r="A478" s="44">
        <v>477</v>
      </c>
      <c r="B478" s="44" t="s">
        <v>24</v>
      </c>
      <c r="C478" s="36" t="s">
        <v>25</v>
      </c>
      <c r="D478" s="37">
        <v>39202</v>
      </c>
      <c r="E478" s="44" t="s">
        <v>1239</v>
      </c>
      <c r="F478" s="44" t="s">
        <v>1240</v>
      </c>
      <c r="G478" s="44" t="s">
        <v>55</v>
      </c>
      <c r="H478" s="44" t="s">
        <v>1349</v>
      </c>
      <c r="I478" s="44" t="s">
        <v>281</v>
      </c>
      <c r="J478" s="44" t="str">
        <f t="shared" si="19"/>
        <v>IndustryDirectorate of Government Printing EstablishmentCSutar Junior / Carpenter (Junior)S5 (18000 56900)</v>
      </c>
      <c r="K478" s="44"/>
      <c r="L478" s="44" t="s">
        <v>261</v>
      </c>
      <c r="M478" s="45" t="s">
        <v>1350</v>
      </c>
      <c r="N478" s="44" t="s">
        <v>283</v>
      </c>
      <c r="O478" s="11" t="s">
        <v>33</v>
      </c>
      <c r="P478" s="13"/>
      <c r="Q478" s="12" t="s">
        <v>34</v>
      </c>
      <c r="R478" s="13"/>
      <c r="S478" s="13"/>
      <c r="T478" s="4" t="s">
        <v>3276</v>
      </c>
      <c r="U478" s="44" t="s">
        <v>35</v>
      </c>
      <c r="V478" s="45"/>
      <c r="W478" s="44"/>
      <c r="X478" s="44"/>
      <c r="Y478" s="44"/>
      <c r="Z478" s="41"/>
      <c r="AA478" s="42" t="e">
        <f>_xlfn.XLOOKUP(C478,#REF!,#REF!,"",0,1)</f>
        <v>#REF!</v>
      </c>
      <c r="AB478" s="43">
        <f t="shared" si="21"/>
        <v>0</v>
      </c>
    </row>
    <row r="479" spans="1:28" ht="130.5" thickBot="1" x14ac:dyDescent="0.3">
      <c r="A479" s="36">
        <v>478</v>
      </c>
      <c r="B479" s="36" t="s">
        <v>24</v>
      </c>
      <c r="C479" s="36" t="s">
        <v>25</v>
      </c>
      <c r="D479" s="37">
        <v>39202</v>
      </c>
      <c r="E479" s="36" t="s">
        <v>1239</v>
      </c>
      <c r="F479" s="36" t="s">
        <v>1240</v>
      </c>
      <c r="G479" s="36" t="s">
        <v>55</v>
      </c>
      <c r="H479" s="36" t="s">
        <v>1351</v>
      </c>
      <c r="I479" s="36" t="s">
        <v>281</v>
      </c>
      <c r="J479" s="36" t="str">
        <f t="shared" si="19"/>
        <v>IndustryDirectorate of Government Printing EstablishmentCBinding Auxiliary / Binding AuxiliaryS5 (18000 56900)</v>
      </c>
      <c r="K479" s="36"/>
      <c r="L479" s="36" t="s">
        <v>238</v>
      </c>
      <c r="M479" s="38" t="s">
        <v>1352</v>
      </c>
      <c r="N479" s="36" t="s">
        <v>283</v>
      </c>
      <c r="O479" s="6" t="s">
        <v>33</v>
      </c>
      <c r="P479" s="8"/>
      <c r="Q479" s="7" t="s">
        <v>34</v>
      </c>
      <c r="R479" s="8"/>
      <c r="S479" s="8"/>
      <c r="T479" s="7" t="s">
        <v>61</v>
      </c>
      <c r="U479" s="36" t="s">
        <v>1244</v>
      </c>
      <c r="V479" s="38"/>
      <c r="W479" s="36"/>
      <c r="X479" s="36"/>
      <c r="Y479" s="36"/>
      <c r="Z479" s="41"/>
      <c r="AA479" s="42" t="e">
        <f>_xlfn.XLOOKUP(C479,#REF!,#REF!,"",0,1)</f>
        <v>#REF!</v>
      </c>
      <c r="AB479" s="43">
        <f t="shared" si="21"/>
        <v>0</v>
      </c>
    </row>
    <row r="480" spans="1:28" ht="104.5" thickBot="1" x14ac:dyDescent="0.3">
      <c r="A480" s="44">
        <v>479</v>
      </c>
      <c r="B480" s="44" t="s">
        <v>24</v>
      </c>
      <c r="C480" s="36" t="s">
        <v>25</v>
      </c>
      <c r="D480" s="37">
        <v>39202</v>
      </c>
      <c r="E480" s="44" t="s">
        <v>1239</v>
      </c>
      <c r="F480" s="44" t="s">
        <v>1240</v>
      </c>
      <c r="G480" s="44" t="s">
        <v>55</v>
      </c>
      <c r="H480" s="44" t="s">
        <v>1353</v>
      </c>
      <c r="I480" s="44" t="s">
        <v>281</v>
      </c>
      <c r="J480" s="44" t="str">
        <f t="shared" si="19"/>
        <v>IndustryDirectorate of Government Printing EstablishmentCInserter / PackerS5 (18000 56900)</v>
      </c>
      <c r="K480" s="44"/>
      <c r="L480" s="44" t="s">
        <v>261</v>
      </c>
      <c r="M480" s="45" t="s">
        <v>1354</v>
      </c>
      <c r="N480" s="44" t="s">
        <v>283</v>
      </c>
      <c r="O480" s="11" t="s">
        <v>33</v>
      </c>
      <c r="P480" s="13"/>
      <c r="Q480" s="12" t="s">
        <v>34</v>
      </c>
      <c r="R480" s="13"/>
      <c r="S480" s="13"/>
      <c r="T480" s="4" t="s">
        <v>3276</v>
      </c>
      <c r="U480" s="44" t="s">
        <v>35</v>
      </c>
      <c r="V480" s="45"/>
      <c r="W480" s="44"/>
      <c r="X480" s="44"/>
      <c r="Y480" s="44"/>
      <c r="Z480" s="41"/>
      <c r="AA480" s="42" t="e">
        <f>_xlfn.XLOOKUP(C480,#REF!,#REF!,"",0,1)</f>
        <v>#REF!</v>
      </c>
      <c r="AB480" s="43">
        <f t="shared" si="21"/>
        <v>0</v>
      </c>
    </row>
    <row r="481" spans="1:28" ht="104.5" thickBot="1" x14ac:dyDescent="0.3">
      <c r="A481" s="36">
        <v>480</v>
      </c>
      <c r="B481" s="36" t="s">
        <v>24</v>
      </c>
      <c r="C481" s="36" t="s">
        <v>25</v>
      </c>
      <c r="D481" s="37">
        <v>39202</v>
      </c>
      <c r="E481" s="36" t="s">
        <v>1239</v>
      </c>
      <c r="F481" s="36" t="s">
        <v>1240</v>
      </c>
      <c r="G481" s="36" t="s">
        <v>55</v>
      </c>
      <c r="H481" s="36" t="s">
        <v>1355</v>
      </c>
      <c r="I481" s="36" t="s">
        <v>281</v>
      </c>
      <c r="J481" s="36" t="str">
        <f t="shared" si="19"/>
        <v>IndustryDirectorate of Government Printing EstablishmentCUlcer healer / DresserS5 (18000 56900)</v>
      </c>
      <c r="K481" s="36"/>
      <c r="L481" s="36" t="s">
        <v>238</v>
      </c>
      <c r="M481" s="38" t="s">
        <v>1352</v>
      </c>
      <c r="N481" s="36" t="s">
        <v>283</v>
      </c>
      <c r="O481" s="6" t="s">
        <v>33</v>
      </c>
      <c r="P481" s="8"/>
      <c r="Q481" s="7" t="s">
        <v>34</v>
      </c>
      <c r="R481" s="8"/>
      <c r="S481" s="8"/>
      <c r="T481" s="7" t="s">
        <v>35</v>
      </c>
      <c r="U481" s="36" t="s">
        <v>35</v>
      </c>
      <c r="V481" s="38"/>
      <c r="W481" s="36"/>
      <c r="X481" s="36"/>
      <c r="Y481" s="36"/>
      <c r="Z481" s="41"/>
      <c r="AA481" s="42" t="e">
        <f>_xlfn.XLOOKUP(C481,#REF!,#REF!,"",0,1)</f>
        <v>#REF!</v>
      </c>
      <c r="AB481" s="43">
        <f t="shared" si="21"/>
        <v>0</v>
      </c>
    </row>
    <row r="482" spans="1:28" ht="91.5" thickBot="1" x14ac:dyDescent="0.3">
      <c r="A482" s="44">
        <v>481</v>
      </c>
      <c r="B482" s="44" t="s">
        <v>494</v>
      </c>
      <c r="C482" s="36" t="s">
        <v>25</v>
      </c>
      <c r="D482" s="37">
        <v>39202</v>
      </c>
      <c r="E482" s="44" t="s">
        <v>1239</v>
      </c>
      <c r="F482" s="44" t="s">
        <v>1240</v>
      </c>
      <c r="G482" s="44" t="s">
        <v>55</v>
      </c>
      <c r="H482" s="44" t="s">
        <v>1356</v>
      </c>
      <c r="I482" s="44" t="s">
        <v>281</v>
      </c>
      <c r="J482" s="44" t="str">
        <f t="shared" si="19"/>
        <v>IndustryDirectorate of Government Printing EstablishmentCCounterS5 (18000 56900)</v>
      </c>
      <c r="K482" s="44"/>
      <c r="L482" s="44" t="s">
        <v>261</v>
      </c>
      <c r="M482" s="45" t="s">
        <v>1352</v>
      </c>
      <c r="N482" s="44"/>
      <c r="O482" s="11" t="s">
        <v>33</v>
      </c>
      <c r="P482" s="13"/>
      <c r="Q482" s="12" t="s">
        <v>34</v>
      </c>
      <c r="R482" s="13"/>
      <c r="S482" s="13"/>
      <c r="T482" s="4" t="s">
        <v>3276</v>
      </c>
      <c r="U482" s="44" t="s">
        <v>35</v>
      </c>
      <c r="V482" s="45"/>
      <c r="W482" s="44"/>
      <c r="X482" s="44"/>
      <c r="Y482" s="44"/>
      <c r="Z482" s="41"/>
      <c r="AA482" s="42" t="e">
        <f>_xlfn.XLOOKUP(C482,#REF!,#REF!,"",0,1)</f>
        <v>#REF!</v>
      </c>
      <c r="AB482" s="43">
        <f t="shared" si="21"/>
        <v>0</v>
      </c>
    </row>
    <row r="483" spans="1:28" ht="91.5" thickBot="1" x14ac:dyDescent="0.3">
      <c r="A483" s="36">
        <v>482</v>
      </c>
      <c r="B483" s="36" t="s">
        <v>494</v>
      </c>
      <c r="C483" s="36" t="s">
        <v>25</v>
      </c>
      <c r="D483" s="37">
        <v>39202</v>
      </c>
      <c r="E483" s="36" t="s">
        <v>1239</v>
      </c>
      <c r="F483" s="36" t="s">
        <v>1240</v>
      </c>
      <c r="G483" s="36" t="s">
        <v>55</v>
      </c>
      <c r="H483" s="36" t="s">
        <v>1357</v>
      </c>
      <c r="I483" s="36" t="s">
        <v>281</v>
      </c>
      <c r="J483" s="36" t="str">
        <f t="shared" si="19"/>
        <v>IndustryDirectorate of Government Printing EstablishmentCDrawerS5 (18000 56900)</v>
      </c>
      <c r="K483" s="36"/>
      <c r="L483" s="36"/>
      <c r="M483" s="38" t="s">
        <v>1354</v>
      </c>
      <c r="N483" s="36"/>
      <c r="O483" s="6" t="s">
        <v>33</v>
      </c>
      <c r="P483" s="8"/>
      <c r="Q483" s="7" t="s">
        <v>34</v>
      </c>
      <c r="R483" s="8"/>
      <c r="S483" s="8"/>
      <c r="T483" s="4" t="s">
        <v>3276</v>
      </c>
      <c r="U483" s="36" t="s">
        <v>35</v>
      </c>
      <c r="V483" s="38"/>
      <c r="W483" s="36"/>
      <c r="X483" s="36"/>
      <c r="Y483" s="36"/>
      <c r="Z483" s="41"/>
      <c r="AA483" s="42" t="e">
        <f>_xlfn.XLOOKUP(C483,#REF!,#REF!,"",0,1)</f>
        <v>#REF!</v>
      </c>
      <c r="AB483" s="43">
        <f t="shared" si="21"/>
        <v>0</v>
      </c>
    </row>
    <row r="484" spans="1:28" ht="104.5" thickBot="1" x14ac:dyDescent="0.3">
      <c r="A484" s="36">
        <v>483</v>
      </c>
      <c r="B484" s="36" t="s">
        <v>494</v>
      </c>
      <c r="C484" s="36" t="s">
        <v>25</v>
      </c>
      <c r="D484" s="37">
        <v>39202</v>
      </c>
      <c r="E484" s="36" t="s">
        <v>1239</v>
      </c>
      <c r="F484" s="36" t="s">
        <v>1240</v>
      </c>
      <c r="G484" s="36" t="s">
        <v>55</v>
      </c>
      <c r="H484" s="36" t="s">
        <v>1358</v>
      </c>
      <c r="I484" s="36" t="s">
        <v>281</v>
      </c>
      <c r="J484" s="36" t="str">
        <f t="shared" si="19"/>
        <v>IndustryDirectorate of Government Printing EstablishmentCRubber Stamp OperatorS5 (18000 56900)</v>
      </c>
      <c r="K484" s="36"/>
      <c r="L484" s="36"/>
      <c r="M484" s="38" t="s">
        <v>1352</v>
      </c>
      <c r="N484" s="36"/>
      <c r="O484" s="6" t="s">
        <v>33</v>
      </c>
      <c r="P484" s="8"/>
      <c r="Q484" s="7" t="s">
        <v>34</v>
      </c>
      <c r="R484" s="8"/>
      <c r="S484" s="8"/>
      <c r="T484" s="4" t="s">
        <v>3276</v>
      </c>
      <c r="U484" s="36" t="s">
        <v>35</v>
      </c>
      <c r="V484" s="38"/>
      <c r="W484" s="36"/>
      <c r="X484" s="36"/>
      <c r="Y484" s="36"/>
      <c r="Z484" s="41"/>
      <c r="AA484" s="42" t="e">
        <f>_xlfn.XLOOKUP(C484,#REF!,#REF!,"",0,1)</f>
        <v>#REF!</v>
      </c>
      <c r="AB484" s="43">
        <f t="shared" si="21"/>
        <v>0</v>
      </c>
    </row>
    <row r="485" spans="1:28" ht="104.5" thickBot="1" x14ac:dyDescent="0.3">
      <c r="A485" s="44">
        <v>484</v>
      </c>
      <c r="B485" s="44" t="s">
        <v>494</v>
      </c>
      <c r="C485" s="36" t="s">
        <v>25</v>
      </c>
      <c r="D485" s="37">
        <v>39202</v>
      </c>
      <c r="E485" s="44" t="s">
        <v>1239</v>
      </c>
      <c r="F485" s="44" t="s">
        <v>1240</v>
      </c>
      <c r="G485" s="44" t="s">
        <v>55</v>
      </c>
      <c r="H485" s="44" t="s">
        <v>1359</v>
      </c>
      <c r="I485" s="44" t="s">
        <v>281</v>
      </c>
      <c r="J485" s="44" t="str">
        <f t="shared" si="19"/>
        <v>IndustryDirectorate of Government Printing EstablishmentCcontent attendantS5 (18000 56900)</v>
      </c>
      <c r="K485" s="44"/>
      <c r="L485" s="44" t="s">
        <v>261</v>
      </c>
      <c r="M485" s="45" t="s">
        <v>1348</v>
      </c>
      <c r="N485" s="44"/>
      <c r="O485" s="11" t="s">
        <v>33</v>
      </c>
      <c r="P485" s="13"/>
      <c r="Q485" s="12" t="s">
        <v>34</v>
      </c>
      <c r="R485" s="13"/>
      <c r="S485" s="13"/>
      <c r="T485" s="4" t="s">
        <v>3276</v>
      </c>
      <c r="U485" s="44" t="s">
        <v>35</v>
      </c>
      <c r="V485" s="45"/>
      <c r="W485" s="44"/>
      <c r="X485" s="44"/>
      <c r="Y485" s="44"/>
      <c r="Z485" s="41"/>
      <c r="AA485" s="42" t="e">
        <f>_xlfn.XLOOKUP(C485,#REF!,#REF!,"",0,1)</f>
        <v>#REF!</v>
      </c>
      <c r="AB485" s="43">
        <f t="shared" si="21"/>
        <v>0</v>
      </c>
    </row>
    <row r="486" spans="1:28" ht="130.5" thickBot="1" x14ac:dyDescent="0.3">
      <c r="A486" s="44">
        <v>485</v>
      </c>
      <c r="B486" s="44" t="s">
        <v>494</v>
      </c>
      <c r="C486" s="36" t="s">
        <v>25</v>
      </c>
      <c r="D486" s="37">
        <v>39202</v>
      </c>
      <c r="E486" s="44" t="s">
        <v>1239</v>
      </c>
      <c r="F486" s="44" t="s">
        <v>1240</v>
      </c>
      <c r="G486" s="44" t="s">
        <v>55</v>
      </c>
      <c r="H486" s="44" t="s">
        <v>1360</v>
      </c>
      <c r="I486" s="44" t="s">
        <v>281</v>
      </c>
      <c r="J486" s="44" t="str">
        <f t="shared" si="19"/>
        <v>IndustryDirectorate of Government Printing EstablishmentCMazdoor Mukadam / Mazdoor MukadamS5 (18000 56900)</v>
      </c>
      <c r="K486" s="44"/>
      <c r="L486" s="44" t="s">
        <v>261</v>
      </c>
      <c r="M486" s="45" t="s">
        <v>1361</v>
      </c>
      <c r="N486" s="44"/>
      <c r="O486" s="11" t="s">
        <v>33</v>
      </c>
      <c r="P486" s="13"/>
      <c r="Q486" s="12" t="s">
        <v>34</v>
      </c>
      <c r="R486" s="13"/>
      <c r="S486" s="13"/>
      <c r="T486" s="4" t="s">
        <v>3276</v>
      </c>
      <c r="U486" s="44" t="s">
        <v>35</v>
      </c>
      <c r="V486" s="45"/>
      <c r="W486" s="44"/>
      <c r="X486" s="44"/>
      <c r="Y486" s="44"/>
      <c r="Z486" s="41"/>
      <c r="AA486" s="42" t="e">
        <f>_xlfn.XLOOKUP(C486,#REF!,#REF!,"",0,1)</f>
        <v>#REF!</v>
      </c>
      <c r="AB486" s="43">
        <f t="shared" si="21"/>
        <v>0</v>
      </c>
    </row>
    <row r="487" spans="1:28" ht="91.5" thickBot="1" x14ac:dyDescent="0.3">
      <c r="A487" s="36">
        <v>486</v>
      </c>
      <c r="B487" s="36" t="s">
        <v>24</v>
      </c>
      <c r="C487" s="36" t="s">
        <v>25</v>
      </c>
      <c r="D487" s="37">
        <v>39202</v>
      </c>
      <c r="E487" s="36" t="s">
        <v>1239</v>
      </c>
      <c r="F487" s="36" t="s">
        <v>1240</v>
      </c>
      <c r="G487" s="36" t="s">
        <v>55</v>
      </c>
      <c r="H487" s="36" t="s">
        <v>1362</v>
      </c>
      <c r="I487" s="36" t="s">
        <v>74</v>
      </c>
      <c r="J487" s="36" t="str">
        <f t="shared" si="19"/>
        <v>IndustryDirectorate of Government Printing EstablishmentCCopy HolderS6 (19900 - 63200)</v>
      </c>
      <c r="K487" s="36" t="s">
        <v>197</v>
      </c>
      <c r="L487" s="36" t="s">
        <v>228</v>
      </c>
      <c r="M487" s="38" t="s">
        <v>1302</v>
      </c>
      <c r="N487" s="36" t="s">
        <v>199</v>
      </c>
      <c r="O487" s="6" t="s">
        <v>33</v>
      </c>
      <c r="P487" s="7">
        <v>6</v>
      </c>
      <c r="Q487" s="7" t="s">
        <v>100</v>
      </c>
      <c r="R487" s="8"/>
      <c r="S487" s="7" t="s">
        <v>1294</v>
      </c>
      <c r="T487" s="7" t="s">
        <v>61</v>
      </c>
      <c r="U487" s="36" t="s">
        <v>61</v>
      </c>
      <c r="V487" s="38" t="s">
        <v>1363</v>
      </c>
      <c r="W487" s="36"/>
      <c r="X487" s="36" t="s">
        <v>1296</v>
      </c>
      <c r="Y487" s="36" t="s">
        <v>1297</v>
      </c>
      <c r="Z487" s="41"/>
      <c r="AA487" s="42" t="e">
        <f>_xlfn.XLOOKUP(C487,#REF!,#REF!,"",0,1)</f>
        <v>#REF!</v>
      </c>
      <c r="AB487" s="43">
        <f t="shared" si="21"/>
        <v>0</v>
      </c>
    </row>
    <row r="488" spans="1:28" ht="91.5" thickBot="1" x14ac:dyDescent="0.3">
      <c r="A488" s="36">
        <v>487</v>
      </c>
      <c r="B488" s="36" t="s">
        <v>24</v>
      </c>
      <c r="C488" s="36" t="s">
        <v>25</v>
      </c>
      <c r="D488" s="37">
        <v>39202</v>
      </c>
      <c r="E488" s="36" t="s">
        <v>1239</v>
      </c>
      <c r="F488" s="36" t="s">
        <v>1240</v>
      </c>
      <c r="G488" s="36" t="s">
        <v>55</v>
      </c>
      <c r="H488" s="36" t="s">
        <v>630</v>
      </c>
      <c r="I488" s="36" t="s">
        <v>74</v>
      </c>
      <c r="J488" s="36" t="str">
        <f t="shared" si="19"/>
        <v>IndustryDirectorate of Government Printing EstablishmentCClerkTypistS6 (19900 - 63200)</v>
      </c>
      <c r="K488" s="36" t="s">
        <v>75</v>
      </c>
      <c r="L488" s="36" t="s">
        <v>228</v>
      </c>
      <c r="M488" s="38" t="s">
        <v>1364</v>
      </c>
      <c r="N488" s="36" t="s">
        <v>70</v>
      </c>
      <c r="O488" s="6" t="s">
        <v>33</v>
      </c>
      <c r="P488" s="7">
        <v>42</v>
      </c>
      <c r="Q488" s="7" t="s">
        <v>34</v>
      </c>
      <c r="R488" s="8"/>
      <c r="S488" s="8"/>
      <c r="T488" s="7" t="s">
        <v>61</v>
      </c>
      <c r="U488" s="36" t="s">
        <v>35</v>
      </c>
      <c r="V488" s="38" t="s">
        <v>125</v>
      </c>
      <c r="W488" s="36"/>
      <c r="X488" s="36" t="s">
        <v>77</v>
      </c>
      <c r="Y488" s="36" t="s">
        <v>78</v>
      </c>
      <c r="Z488" s="41"/>
      <c r="AA488" s="42" t="e">
        <f>_xlfn.XLOOKUP(C488,#REF!,#REF!,"",0,1)</f>
        <v>#REF!</v>
      </c>
      <c r="AB488" s="43">
        <f t="shared" si="21"/>
        <v>0</v>
      </c>
    </row>
    <row r="489" spans="1:28" ht="182.5" thickBot="1" x14ac:dyDescent="0.3">
      <c r="A489" s="36">
        <v>488</v>
      </c>
      <c r="B489" s="36" t="s">
        <v>24</v>
      </c>
      <c r="C489" s="36" t="s">
        <v>25</v>
      </c>
      <c r="D489" s="37">
        <v>39202</v>
      </c>
      <c r="E489" s="36" t="s">
        <v>1239</v>
      </c>
      <c r="F489" s="36" t="s">
        <v>1240</v>
      </c>
      <c r="G489" s="36" t="s">
        <v>55</v>
      </c>
      <c r="H489" s="36" t="s">
        <v>1365</v>
      </c>
      <c r="I489" s="36" t="s">
        <v>74</v>
      </c>
      <c r="J489" s="36" t="str">
        <f t="shared" si="19"/>
        <v>IndustryDirectorate of Government Printing EstablishmentCProcess AssistantS6 (19900 - 63200)</v>
      </c>
      <c r="K489" s="36" t="s">
        <v>127</v>
      </c>
      <c r="L489" s="36" t="s">
        <v>225</v>
      </c>
      <c r="M489" s="38" t="s">
        <v>1352</v>
      </c>
      <c r="N489" s="36" t="s">
        <v>129</v>
      </c>
      <c r="O489" s="6" t="s">
        <v>33</v>
      </c>
      <c r="P489" s="7">
        <v>33</v>
      </c>
      <c r="Q489" s="7" t="s">
        <v>34</v>
      </c>
      <c r="R489" s="8"/>
      <c r="S489" s="8"/>
      <c r="T489" s="7" t="s">
        <v>35</v>
      </c>
      <c r="U489" s="36" t="s">
        <v>35</v>
      </c>
      <c r="V489" s="38" t="s">
        <v>1366</v>
      </c>
      <c r="W489" s="36"/>
      <c r="X489" s="36" t="s">
        <v>150</v>
      </c>
      <c r="Y489" s="36" t="s">
        <v>150</v>
      </c>
      <c r="Z489" s="41"/>
      <c r="AA489" s="42" t="e">
        <f>_xlfn.XLOOKUP(C489,#REF!,#REF!,"",0,1)</f>
        <v>#REF!</v>
      </c>
      <c r="AB489" s="43">
        <f t="shared" si="21"/>
        <v>0</v>
      </c>
    </row>
    <row r="490" spans="1:28" ht="156.5" thickBot="1" x14ac:dyDescent="0.3">
      <c r="A490" s="36">
        <v>489</v>
      </c>
      <c r="B490" s="36" t="s">
        <v>24</v>
      </c>
      <c r="C490" s="36" t="s">
        <v>25</v>
      </c>
      <c r="D490" s="37">
        <v>39202</v>
      </c>
      <c r="E490" s="36" t="s">
        <v>1239</v>
      </c>
      <c r="F490" s="36" t="s">
        <v>1240</v>
      </c>
      <c r="G490" s="36" t="s">
        <v>55</v>
      </c>
      <c r="H490" s="36" t="s">
        <v>1367</v>
      </c>
      <c r="I490" s="36" t="s">
        <v>74</v>
      </c>
      <c r="J490" s="36" t="str">
        <f t="shared" si="19"/>
        <v>IndustryDirectorate of Government Printing EstablishmentCAttendant OffsetS6 (19900 - 63200)</v>
      </c>
      <c r="K490" s="36" t="s">
        <v>127</v>
      </c>
      <c r="L490" s="36" t="s">
        <v>225</v>
      </c>
      <c r="M490" s="38" t="s">
        <v>1352</v>
      </c>
      <c r="N490" s="36" t="s">
        <v>129</v>
      </c>
      <c r="O490" s="6" t="s">
        <v>33</v>
      </c>
      <c r="P490" s="7">
        <v>85</v>
      </c>
      <c r="Q490" s="7" t="s">
        <v>34</v>
      </c>
      <c r="R490" s="8"/>
      <c r="S490" s="8"/>
      <c r="T490" s="7" t="s">
        <v>35</v>
      </c>
      <c r="U490" s="36" t="s">
        <v>35</v>
      </c>
      <c r="V490" s="38" t="s">
        <v>1368</v>
      </c>
      <c r="W490" s="36"/>
      <c r="X490" s="36" t="s">
        <v>150</v>
      </c>
      <c r="Y490" s="36" t="s">
        <v>150</v>
      </c>
      <c r="Z490" s="41"/>
      <c r="AA490" s="42" t="e">
        <f>_xlfn.XLOOKUP(C490,#REF!,#REF!,"",0,1)</f>
        <v>#REF!</v>
      </c>
      <c r="AB490" s="43">
        <f t="shared" si="21"/>
        <v>0</v>
      </c>
    </row>
    <row r="491" spans="1:28" ht="104.5" thickBot="1" x14ac:dyDescent="0.3">
      <c r="A491" s="36">
        <v>490</v>
      </c>
      <c r="B491" s="36" t="s">
        <v>24</v>
      </c>
      <c r="C491" s="36" t="s">
        <v>25</v>
      </c>
      <c r="D491" s="37">
        <v>39202</v>
      </c>
      <c r="E491" s="36" t="s">
        <v>1239</v>
      </c>
      <c r="F491" s="36" t="s">
        <v>1240</v>
      </c>
      <c r="G491" s="36" t="s">
        <v>55</v>
      </c>
      <c r="H491" s="36" t="s">
        <v>1369</v>
      </c>
      <c r="I491" s="36" t="s">
        <v>74</v>
      </c>
      <c r="J491" s="36" t="str">
        <f t="shared" si="19"/>
        <v>IndustryDirectorate of Government Printing EstablishmentCSutar / CarpenterS6 (19900 - 63200)</v>
      </c>
      <c r="K491" s="36"/>
      <c r="L491" s="36" t="s">
        <v>243</v>
      </c>
      <c r="M491" s="38" t="s">
        <v>1350</v>
      </c>
      <c r="N491" s="36" t="s">
        <v>32</v>
      </c>
      <c r="O491" s="6" t="s">
        <v>33</v>
      </c>
      <c r="P491" s="7">
        <v>5</v>
      </c>
      <c r="Q491" s="7" t="s">
        <v>34</v>
      </c>
      <c r="R491" s="8"/>
      <c r="S491" s="8"/>
      <c r="T491" s="4" t="s">
        <v>3276</v>
      </c>
      <c r="U491" s="36" t="s">
        <v>35</v>
      </c>
      <c r="V491" s="38" t="s">
        <v>1303</v>
      </c>
      <c r="W491" s="36"/>
      <c r="X491" s="36"/>
      <c r="Y491" s="36"/>
      <c r="Z491" s="41"/>
      <c r="AA491" s="42" t="e">
        <f>_xlfn.XLOOKUP(C491,#REF!,#REF!,"",0,1)</f>
        <v>#REF!</v>
      </c>
      <c r="AB491" s="43">
        <f t="shared" si="21"/>
        <v>0</v>
      </c>
    </row>
    <row r="492" spans="1:28" ht="104.5" thickBot="1" x14ac:dyDescent="0.3">
      <c r="A492" s="36">
        <v>491</v>
      </c>
      <c r="B492" s="36" t="s">
        <v>24</v>
      </c>
      <c r="C492" s="36" t="s">
        <v>25</v>
      </c>
      <c r="D492" s="37">
        <v>39202</v>
      </c>
      <c r="E492" s="36" t="s">
        <v>1239</v>
      </c>
      <c r="F492" s="36" t="s">
        <v>1240</v>
      </c>
      <c r="G492" s="36" t="s">
        <v>55</v>
      </c>
      <c r="H492" s="36" t="s">
        <v>555</v>
      </c>
      <c r="I492" s="36" t="s">
        <v>74</v>
      </c>
      <c r="J492" s="36" t="str">
        <f t="shared" si="19"/>
        <v>IndustryDirectorate of Government Printing EstablishmentCAssistant MechanicS6 (19900 - 63200)</v>
      </c>
      <c r="K492" s="36" t="s">
        <v>127</v>
      </c>
      <c r="L492" s="36" t="s">
        <v>225</v>
      </c>
      <c r="M492" s="38" t="s">
        <v>1370</v>
      </c>
      <c r="N492" s="36" t="s">
        <v>129</v>
      </c>
      <c r="O492" s="6" t="s">
        <v>33</v>
      </c>
      <c r="P492" s="7">
        <v>5</v>
      </c>
      <c r="Q492" s="7" t="s">
        <v>34</v>
      </c>
      <c r="R492" s="8"/>
      <c r="S492" s="8"/>
      <c r="T492" s="7" t="s">
        <v>35</v>
      </c>
      <c r="U492" s="36" t="s">
        <v>35</v>
      </c>
      <c r="V492" s="38" t="s">
        <v>1371</v>
      </c>
      <c r="W492" s="36"/>
      <c r="X492" s="36" t="s">
        <v>150</v>
      </c>
      <c r="Y492" s="36" t="s">
        <v>150</v>
      </c>
      <c r="Z492" s="41"/>
      <c r="AA492" s="42" t="e">
        <f>_xlfn.XLOOKUP(C492,#REF!,#REF!,"",0,1)</f>
        <v>#REF!</v>
      </c>
      <c r="AB492" s="43">
        <f t="shared" si="21"/>
        <v>0</v>
      </c>
    </row>
    <row r="493" spans="1:28" ht="156.5" thickBot="1" x14ac:dyDescent="0.3">
      <c r="A493" s="36">
        <v>492</v>
      </c>
      <c r="B493" s="36" t="s">
        <v>24</v>
      </c>
      <c r="C493" s="36" t="s">
        <v>25</v>
      </c>
      <c r="D493" s="37">
        <v>39202</v>
      </c>
      <c r="E493" s="36" t="s">
        <v>1239</v>
      </c>
      <c r="F493" s="36" t="s">
        <v>1240</v>
      </c>
      <c r="G493" s="36" t="s">
        <v>55</v>
      </c>
      <c r="H493" s="36" t="s">
        <v>1372</v>
      </c>
      <c r="I493" s="36" t="s">
        <v>74</v>
      </c>
      <c r="J493" s="36" t="str">
        <f t="shared" si="19"/>
        <v>IndustryDirectorate of Government Printing EstablishmentCAssistant ElectricianS6 (19900 - 63200)</v>
      </c>
      <c r="K493" s="36" t="s">
        <v>127</v>
      </c>
      <c r="L493" s="36" t="s">
        <v>225</v>
      </c>
      <c r="M493" s="38" t="s">
        <v>1373</v>
      </c>
      <c r="N493" s="36" t="s">
        <v>129</v>
      </c>
      <c r="O493" s="6" t="s">
        <v>33</v>
      </c>
      <c r="P493" s="7">
        <v>1</v>
      </c>
      <c r="Q493" s="7" t="s">
        <v>34</v>
      </c>
      <c r="R493" s="8"/>
      <c r="S493" s="8"/>
      <c r="T493" s="7" t="s">
        <v>2395</v>
      </c>
      <c r="U493" s="36" t="s">
        <v>35</v>
      </c>
      <c r="V493" s="38" t="s">
        <v>1374</v>
      </c>
      <c r="W493" s="36"/>
      <c r="X493" s="36" t="s">
        <v>150</v>
      </c>
      <c r="Y493" s="36" t="s">
        <v>150</v>
      </c>
      <c r="Z493" s="41"/>
      <c r="AA493" s="42" t="e">
        <f>_xlfn.XLOOKUP(C493,#REF!,#REF!,"",0,1)</f>
        <v>#REF!</v>
      </c>
      <c r="AB493" s="43">
        <f t="shared" si="21"/>
        <v>0</v>
      </c>
    </row>
    <row r="494" spans="1:28" ht="104.5" thickBot="1" x14ac:dyDescent="0.3">
      <c r="A494" s="44">
        <v>493</v>
      </c>
      <c r="B494" s="44" t="s">
        <v>24</v>
      </c>
      <c r="C494" s="36" t="s">
        <v>25</v>
      </c>
      <c r="D494" s="37">
        <v>39202</v>
      </c>
      <c r="E494" s="44" t="s">
        <v>1239</v>
      </c>
      <c r="F494" s="44" t="s">
        <v>1240</v>
      </c>
      <c r="G494" s="44" t="s">
        <v>55</v>
      </c>
      <c r="H494" s="44" t="s">
        <v>1375</v>
      </c>
      <c r="I494" s="44" t="s">
        <v>74</v>
      </c>
      <c r="J494" s="44" t="str">
        <f t="shared" si="19"/>
        <v>IndustryDirectorate of Government Printing EstablishmentCLiner / MounterS6 (19900 - 63200)</v>
      </c>
      <c r="K494" s="44"/>
      <c r="L494" s="44" t="s">
        <v>261</v>
      </c>
      <c r="M494" s="45" t="s">
        <v>1352</v>
      </c>
      <c r="N494" s="44" t="s">
        <v>113</v>
      </c>
      <c r="O494" s="11" t="s">
        <v>83</v>
      </c>
      <c r="P494" s="13"/>
      <c r="Q494" s="12" t="s">
        <v>34</v>
      </c>
      <c r="R494" s="13"/>
      <c r="S494" s="13"/>
      <c r="T494" s="4" t="s">
        <v>3276</v>
      </c>
      <c r="U494" s="44" t="s">
        <v>35</v>
      </c>
      <c r="V494" s="45"/>
      <c r="W494" s="44"/>
      <c r="X494" s="44"/>
      <c r="Y494" s="44"/>
      <c r="Z494" s="41"/>
      <c r="AA494" s="42" t="e">
        <f>_xlfn.XLOOKUP(C494,#REF!,#REF!,"",0,1)</f>
        <v>#REF!</v>
      </c>
      <c r="AB494" s="43">
        <f t="shared" si="21"/>
        <v>0</v>
      </c>
    </row>
    <row r="495" spans="1:28" ht="91.5" thickBot="1" x14ac:dyDescent="0.3">
      <c r="A495" s="44">
        <v>494</v>
      </c>
      <c r="B495" s="44" t="s">
        <v>24</v>
      </c>
      <c r="C495" s="36" t="s">
        <v>25</v>
      </c>
      <c r="D495" s="37">
        <v>39202</v>
      </c>
      <c r="E495" s="44" t="s">
        <v>1239</v>
      </c>
      <c r="F495" s="44" t="s">
        <v>1240</v>
      </c>
      <c r="G495" s="44" t="s">
        <v>55</v>
      </c>
      <c r="H495" s="44" t="s">
        <v>1376</v>
      </c>
      <c r="I495" s="44" t="s">
        <v>74</v>
      </c>
      <c r="J495" s="44" t="str">
        <f t="shared" si="19"/>
        <v>IndustryDirectorate of Government Printing EstablishmentCsellerS6 (19900 - 63200)</v>
      </c>
      <c r="K495" s="44"/>
      <c r="L495" s="44" t="s">
        <v>261</v>
      </c>
      <c r="M495" s="45" t="s">
        <v>1377</v>
      </c>
      <c r="N495" s="44" t="s">
        <v>113</v>
      </c>
      <c r="O495" s="11" t="s">
        <v>33</v>
      </c>
      <c r="P495" s="13"/>
      <c r="Q495" s="12" t="s">
        <v>34</v>
      </c>
      <c r="R495" s="13"/>
      <c r="S495" s="13"/>
      <c r="T495" s="4" t="s">
        <v>3276</v>
      </c>
      <c r="U495" s="44" t="s">
        <v>35</v>
      </c>
      <c r="V495" s="45"/>
      <c r="W495" s="44"/>
      <c r="X495" s="44"/>
      <c r="Y495" s="44"/>
      <c r="Z495" s="41"/>
      <c r="AA495" s="42" t="e">
        <f>_xlfn.XLOOKUP(C495,#REF!,#REF!,"",0,1)</f>
        <v>#REF!</v>
      </c>
      <c r="AB495" s="43">
        <f t="shared" si="21"/>
        <v>0</v>
      </c>
    </row>
    <row r="496" spans="1:28" ht="91.5" thickBot="1" x14ac:dyDescent="0.3">
      <c r="A496" s="44">
        <v>495</v>
      </c>
      <c r="B496" s="44" t="s">
        <v>24</v>
      </c>
      <c r="C496" s="36" t="s">
        <v>25</v>
      </c>
      <c r="D496" s="37">
        <v>39202</v>
      </c>
      <c r="E496" s="44" t="s">
        <v>1239</v>
      </c>
      <c r="F496" s="44" t="s">
        <v>1240</v>
      </c>
      <c r="G496" s="44" t="s">
        <v>55</v>
      </c>
      <c r="H496" s="44" t="s">
        <v>1378</v>
      </c>
      <c r="I496" s="44" t="s">
        <v>74</v>
      </c>
      <c r="J496" s="44" t="str">
        <f t="shared" si="19"/>
        <v>IndustryDirectorate of Government Printing EstablishmentCDistributorS6 (19900 - 63200)</v>
      </c>
      <c r="K496" s="44"/>
      <c r="L496" s="44" t="s">
        <v>261</v>
      </c>
      <c r="M496" s="45" t="s">
        <v>1273</v>
      </c>
      <c r="N496" s="44" t="s">
        <v>113</v>
      </c>
      <c r="O496" s="11" t="s">
        <v>33</v>
      </c>
      <c r="P496" s="13"/>
      <c r="Q496" s="12" t="s">
        <v>34</v>
      </c>
      <c r="R496" s="13"/>
      <c r="S496" s="13"/>
      <c r="T496" s="4" t="s">
        <v>3276</v>
      </c>
      <c r="U496" s="44" t="s">
        <v>35</v>
      </c>
      <c r="V496" s="45"/>
      <c r="W496" s="44"/>
      <c r="X496" s="44"/>
      <c r="Y496" s="44"/>
      <c r="Z496" s="41"/>
      <c r="AA496" s="42" t="e">
        <f>_xlfn.XLOOKUP(C496,#REF!,#REF!,"",0,1)</f>
        <v>#REF!</v>
      </c>
      <c r="AB496" s="43">
        <f t="shared" si="21"/>
        <v>0</v>
      </c>
    </row>
    <row r="497" spans="1:28" ht="104.5" thickBot="1" x14ac:dyDescent="0.3">
      <c r="A497" s="44">
        <v>496</v>
      </c>
      <c r="B497" s="44" t="s">
        <v>24</v>
      </c>
      <c r="C497" s="36" t="s">
        <v>25</v>
      </c>
      <c r="D497" s="37">
        <v>39202</v>
      </c>
      <c r="E497" s="44" t="s">
        <v>1239</v>
      </c>
      <c r="F497" s="44" t="s">
        <v>1240</v>
      </c>
      <c r="G497" s="44" t="s">
        <v>55</v>
      </c>
      <c r="H497" s="44" t="s">
        <v>1379</v>
      </c>
      <c r="I497" s="44" t="s">
        <v>74</v>
      </c>
      <c r="J497" s="44" t="str">
        <f t="shared" si="19"/>
        <v>IndustryDirectorate of Government Printing EstablishmentCJudhari / CompositorS6 (19900 - 63200)</v>
      </c>
      <c r="K497" s="44"/>
      <c r="L497" s="44" t="s">
        <v>261</v>
      </c>
      <c r="M497" s="45" t="s">
        <v>1380</v>
      </c>
      <c r="N497" s="44" t="s">
        <v>113</v>
      </c>
      <c r="O497" s="11" t="s">
        <v>33</v>
      </c>
      <c r="P497" s="13"/>
      <c r="Q497" s="12" t="s">
        <v>34</v>
      </c>
      <c r="R497" s="13"/>
      <c r="S497" s="12" t="s">
        <v>1381</v>
      </c>
      <c r="T497" s="4" t="s">
        <v>3276</v>
      </c>
      <c r="U497" s="44" t="s">
        <v>35</v>
      </c>
      <c r="V497" s="45"/>
      <c r="W497" s="44"/>
      <c r="X497" s="44"/>
      <c r="Y497" s="44"/>
      <c r="Z497" s="41"/>
      <c r="AA497" s="42" t="e">
        <f>_xlfn.XLOOKUP(C497,#REF!,#REF!,"",0,1)</f>
        <v>#REF!</v>
      </c>
      <c r="AB497" s="43">
        <f t="shared" si="21"/>
        <v>0</v>
      </c>
    </row>
    <row r="498" spans="1:28" ht="130.5" thickBot="1" x14ac:dyDescent="0.3">
      <c r="A498" s="44">
        <v>497</v>
      </c>
      <c r="B498" s="44" t="s">
        <v>24</v>
      </c>
      <c r="C498" s="36" t="s">
        <v>25</v>
      </c>
      <c r="D498" s="37">
        <v>39202</v>
      </c>
      <c r="E498" s="44" t="s">
        <v>1239</v>
      </c>
      <c r="F498" s="44" t="s">
        <v>1240</v>
      </c>
      <c r="G498" s="44" t="s">
        <v>55</v>
      </c>
      <c r="H498" s="44" t="s">
        <v>1382</v>
      </c>
      <c r="I498" s="44" t="s">
        <v>74</v>
      </c>
      <c r="J498" s="44" t="str">
        <f t="shared" si="19"/>
        <v>IndustryDirectorate of Government Printing EstablishmentCAuthor (Binding) to Progress CheckS6 (19900 - 63200)</v>
      </c>
      <c r="K498" s="44"/>
      <c r="L498" s="44" t="s">
        <v>261</v>
      </c>
      <c r="M498" s="45" t="s">
        <v>1383</v>
      </c>
      <c r="N498" s="44" t="s">
        <v>113</v>
      </c>
      <c r="O498" s="11" t="s">
        <v>33</v>
      </c>
      <c r="P498" s="13"/>
      <c r="Q498" s="12" t="s">
        <v>34</v>
      </c>
      <c r="R498" s="13"/>
      <c r="S498" s="13"/>
      <c r="T498" s="4" t="s">
        <v>3276</v>
      </c>
      <c r="U498" s="44" t="s">
        <v>35</v>
      </c>
      <c r="V498" s="45"/>
      <c r="W498" s="44"/>
      <c r="X498" s="44"/>
      <c r="Y498" s="44"/>
      <c r="Z498" s="41"/>
      <c r="AA498" s="42" t="e">
        <f>_xlfn.XLOOKUP(C498,#REF!,#REF!,"",0,1)</f>
        <v>#REF!</v>
      </c>
      <c r="AB498" s="43">
        <f t="shared" si="21"/>
        <v>0</v>
      </c>
    </row>
    <row r="499" spans="1:28" ht="91.5" thickBot="1" x14ac:dyDescent="0.3">
      <c r="A499" s="36">
        <v>498</v>
      </c>
      <c r="B499" s="36" t="s">
        <v>24</v>
      </c>
      <c r="C499" s="36" t="s">
        <v>25</v>
      </c>
      <c r="D499" s="37">
        <v>39202</v>
      </c>
      <c r="E499" s="36" t="s">
        <v>1239</v>
      </c>
      <c r="F499" s="36" t="s">
        <v>1240</v>
      </c>
      <c r="G499" s="36" t="s">
        <v>55</v>
      </c>
      <c r="H499" s="36" t="s">
        <v>1384</v>
      </c>
      <c r="I499" s="36" t="s">
        <v>169</v>
      </c>
      <c r="J499" s="36" t="str">
        <f t="shared" si="19"/>
        <v>IndustryDirectorate of Government Printing EstablishmentCTracerS7 (21700 - 69100)</v>
      </c>
      <c r="K499" s="36" t="s">
        <v>1385</v>
      </c>
      <c r="L499" s="36" t="s">
        <v>225</v>
      </c>
      <c r="M499" s="38" t="s">
        <v>1386</v>
      </c>
      <c r="N499" s="36" t="s">
        <v>129</v>
      </c>
      <c r="O499" s="6" t="s">
        <v>33</v>
      </c>
      <c r="P499" s="7">
        <v>3</v>
      </c>
      <c r="Q499" s="7" t="s">
        <v>34</v>
      </c>
      <c r="R499" s="8"/>
      <c r="S499" s="8"/>
      <c r="T499" s="7" t="s">
        <v>35</v>
      </c>
      <c r="U499" s="36" t="s">
        <v>35</v>
      </c>
      <c r="V499" s="38" t="s">
        <v>1387</v>
      </c>
      <c r="W499" s="36"/>
      <c r="X499" s="36" t="s">
        <v>150</v>
      </c>
      <c r="Y499" s="36" t="s">
        <v>150</v>
      </c>
      <c r="Z499" s="41"/>
      <c r="AA499" s="42" t="e">
        <f>_xlfn.XLOOKUP(C499,#REF!,#REF!,"",0,1)</f>
        <v>#REF!</v>
      </c>
      <c r="AB499" s="43">
        <f t="shared" si="21"/>
        <v>0</v>
      </c>
    </row>
    <row r="500" spans="1:28" ht="104.5" thickBot="1" x14ac:dyDescent="0.3">
      <c r="A500" s="44">
        <v>499</v>
      </c>
      <c r="B500" s="44" t="s">
        <v>24</v>
      </c>
      <c r="C500" s="36" t="s">
        <v>25</v>
      </c>
      <c r="D500" s="37">
        <v>39202</v>
      </c>
      <c r="E500" s="44" t="s">
        <v>1239</v>
      </c>
      <c r="F500" s="44" t="s">
        <v>1240</v>
      </c>
      <c r="G500" s="44" t="s">
        <v>55</v>
      </c>
      <c r="H500" s="44" t="s">
        <v>362</v>
      </c>
      <c r="I500" s="44" t="s">
        <v>169</v>
      </c>
      <c r="J500" s="44" t="str">
        <f t="shared" si="19"/>
        <v>IndustryDirectorate of Government Printing EstablishmentCTelephone OperatorS7 (21700 - 69100)</v>
      </c>
      <c r="K500" s="44"/>
      <c r="L500" s="44" t="s">
        <v>261</v>
      </c>
      <c r="M500" s="45" t="s">
        <v>1388</v>
      </c>
      <c r="N500" s="44" t="s">
        <v>113</v>
      </c>
      <c r="O500" s="11" t="s">
        <v>33</v>
      </c>
      <c r="P500" s="13"/>
      <c r="Q500" s="12" t="s">
        <v>100</v>
      </c>
      <c r="R500" s="13"/>
      <c r="S500" s="12" t="s">
        <v>1282</v>
      </c>
      <c r="T500" s="4" t="s">
        <v>3276</v>
      </c>
      <c r="U500" s="44" t="s">
        <v>61</v>
      </c>
      <c r="V500" s="45"/>
      <c r="W500" s="44"/>
      <c r="X500" s="44"/>
      <c r="Y500" s="44"/>
      <c r="Z500" s="41"/>
      <c r="AA500" s="42" t="e">
        <f>_xlfn.XLOOKUP(C500,#REF!,#REF!,"",0,1)</f>
        <v>#REF!</v>
      </c>
      <c r="AB500" s="43">
        <f t="shared" si="21"/>
        <v>0</v>
      </c>
    </row>
    <row r="501" spans="1:28" ht="91.5" thickBot="1" x14ac:dyDescent="0.3">
      <c r="A501" s="36">
        <v>500</v>
      </c>
      <c r="B501" s="36" t="s">
        <v>24</v>
      </c>
      <c r="C501" s="36" t="s">
        <v>25</v>
      </c>
      <c r="D501" s="37">
        <v>39202</v>
      </c>
      <c r="E501" s="36" t="s">
        <v>1239</v>
      </c>
      <c r="F501" s="36" t="s">
        <v>1240</v>
      </c>
      <c r="G501" s="36" t="s">
        <v>55</v>
      </c>
      <c r="H501" s="36" t="s">
        <v>87</v>
      </c>
      <c r="I501" s="36" t="s">
        <v>80</v>
      </c>
      <c r="J501" s="36" t="str">
        <f t="shared" si="19"/>
        <v>IndustryDirectorate of Government Printing EstablishmentCSenior ClerkS8 (25500 - 81100)</v>
      </c>
      <c r="K501" s="36" t="s">
        <v>75</v>
      </c>
      <c r="L501" s="36" t="s">
        <v>228</v>
      </c>
      <c r="M501" s="38" t="s">
        <v>598</v>
      </c>
      <c r="N501" s="36" t="s">
        <v>1389</v>
      </c>
      <c r="O501" s="6" t="s">
        <v>33</v>
      </c>
      <c r="P501" s="7">
        <v>26</v>
      </c>
      <c r="Q501" s="7" t="s">
        <v>34</v>
      </c>
      <c r="R501" s="8"/>
      <c r="S501" s="8"/>
      <c r="T501" s="7" t="s">
        <v>35</v>
      </c>
      <c r="U501" s="36" t="s">
        <v>35</v>
      </c>
      <c r="V501" s="38" t="s">
        <v>1390</v>
      </c>
      <c r="W501" s="36"/>
      <c r="X501" s="36" t="s">
        <v>1391</v>
      </c>
      <c r="Y501" s="46">
        <v>32882</v>
      </c>
      <c r="Z501" s="41"/>
      <c r="AA501" s="42" t="e">
        <f>_xlfn.XLOOKUP(C501,#REF!,#REF!,"",0,1)</f>
        <v>#REF!</v>
      </c>
      <c r="AB501" s="43">
        <f t="shared" si="21"/>
        <v>0</v>
      </c>
    </row>
    <row r="502" spans="1:28" ht="91.5" thickBot="1" x14ac:dyDescent="0.3">
      <c r="A502" s="36">
        <v>501</v>
      </c>
      <c r="B502" s="36" t="s">
        <v>24</v>
      </c>
      <c r="C502" s="36" t="s">
        <v>25</v>
      </c>
      <c r="D502" s="37">
        <v>39202</v>
      </c>
      <c r="E502" s="36" t="s">
        <v>1239</v>
      </c>
      <c r="F502" s="36" t="s">
        <v>1240</v>
      </c>
      <c r="G502" s="36" t="s">
        <v>55</v>
      </c>
      <c r="H502" s="49" t="s">
        <v>92</v>
      </c>
      <c r="I502" s="36" t="s">
        <v>80</v>
      </c>
      <c r="J502" s="36" t="str">
        <f t="shared" si="19"/>
        <v>IndustryDirectorate of Government Printing EstablishmentCSteno TypistS8 (25500 - 81100)</v>
      </c>
      <c r="K502" s="36" t="s">
        <v>1335</v>
      </c>
      <c r="L502" s="36" t="s">
        <v>228</v>
      </c>
      <c r="M502" s="38" t="s">
        <v>1392</v>
      </c>
      <c r="N502" s="40" t="s">
        <v>70</v>
      </c>
      <c r="O502" s="6" t="s">
        <v>33</v>
      </c>
      <c r="P502" s="7">
        <v>3</v>
      </c>
      <c r="Q502" s="7" t="s">
        <v>34</v>
      </c>
      <c r="R502" s="8"/>
      <c r="S502" s="8"/>
      <c r="T502" s="7" t="s">
        <v>61</v>
      </c>
      <c r="U502" s="36" t="s">
        <v>1244</v>
      </c>
      <c r="V502" s="38"/>
      <c r="W502" s="36"/>
      <c r="X502" s="36"/>
      <c r="Y502" s="36"/>
      <c r="Z502" s="41"/>
      <c r="AA502" s="42" t="e">
        <f>_xlfn.XLOOKUP(C502,#REF!,#REF!,"",0,1)</f>
        <v>#REF!</v>
      </c>
      <c r="AB502" s="43">
        <f t="shared" si="21"/>
        <v>0</v>
      </c>
    </row>
    <row r="503" spans="1:28" ht="195.5" thickBot="1" x14ac:dyDescent="0.3">
      <c r="A503" s="36">
        <v>502</v>
      </c>
      <c r="B503" s="36" t="s">
        <v>24</v>
      </c>
      <c r="C503" s="36" t="s">
        <v>25</v>
      </c>
      <c r="D503" s="37">
        <v>39202</v>
      </c>
      <c r="E503" s="36" t="s">
        <v>1239</v>
      </c>
      <c r="F503" s="36" t="s">
        <v>1240</v>
      </c>
      <c r="G503" s="36" t="s">
        <v>55</v>
      </c>
      <c r="H503" s="36" t="s">
        <v>1393</v>
      </c>
      <c r="I503" s="36" t="s">
        <v>80</v>
      </c>
      <c r="J503" s="36" t="str">
        <f t="shared" si="19"/>
        <v>IndustryDirectorate of Government Printing EstablishmentCFilm Setter OperatorS8 (25500 - 81100)</v>
      </c>
      <c r="K503" s="36" t="s">
        <v>127</v>
      </c>
      <c r="L503" s="36" t="s">
        <v>225</v>
      </c>
      <c r="M503" s="38" t="s">
        <v>1394</v>
      </c>
      <c r="N503" s="36" t="s">
        <v>129</v>
      </c>
      <c r="O503" s="6" t="s">
        <v>33</v>
      </c>
      <c r="P503" s="7">
        <v>29</v>
      </c>
      <c r="Q503" s="7" t="s">
        <v>34</v>
      </c>
      <c r="R503" s="8"/>
      <c r="S503" s="8"/>
      <c r="T503" s="7" t="s">
        <v>35</v>
      </c>
      <c r="U503" s="36" t="s">
        <v>35</v>
      </c>
      <c r="V503" s="38" t="s">
        <v>1395</v>
      </c>
      <c r="W503" s="36"/>
      <c r="X503" s="36" t="s">
        <v>1396</v>
      </c>
      <c r="Y503" s="36" t="s">
        <v>502</v>
      </c>
      <c r="Z503" s="41"/>
      <c r="AA503" s="42" t="e">
        <f>_xlfn.XLOOKUP(C503,#REF!,#REF!,"",0,1)</f>
        <v>#REF!</v>
      </c>
      <c r="AB503" s="43">
        <f t="shared" si="21"/>
        <v>0</v>
      </c>
    </row>
    <row r="504" spans="1:28" ht="130.5" thickBot="1" x14ac:dyDescent="0.3">
      <c r="A504" s="44">
        <v>503</v>
      </c>
      <c r="B504" s="44" t="s">
        <v>24</v>
      </c>
      <c r="C504" s="36" t="s">
        <v>25</v>
      </c>
      <c r="D504" s="37">
        <v>39202</v>
      </c>
      <c r="E504" s="44" t="s">
        <v>1239</v>
      </c>
      <c r="F504" s="44" t="s">
        <v>1240</v>
      </c>
      <c r="G504" s="44" t="s">
        <v>55</v>
      </c>
      <c r="H504" s="44" t="s">
        <v>1397</v>
      </c>
      <c r="I504" s="44" t="s">
        <v>80</v>
      </c>
      <c r="J504" s="44" t="str">
        <f t="shared" si="19"/>
        <v>IndustryDirectorate of Government Printing EstablishmentCTechnical Asst.Film Setter OperatorrS8 (25500 - 81100)</v>
      </c>
      <c r="K504" s="44"/>
      <c r="L504" s="44" t="s">
        <v>261</v>
      </c>
      <c r="M504" s="45" t="s">
        <v>1398</v>
      </c>
      <c r="N504" s="44" t="s">
        <v>113</v>
      </c>
      <c r="O504" s="11" t="s">
        <v>33</v>
      </c>
      <c r="P504" s="12">
        <v>11</v>
      </c>
      <c r="Q504" s="12" t="s">
        <v>34</v>
      </c>
      <c r="R504" s="13"/>
      <c r="S504" s="13"/>
      <c r="T504" s="4" t="s">
        <v>3276</v>
      </c>
      <c r="U504" s="44" t="s">
        <v>35</v>
      </c>
      <c r="V504" s="45"/>
      <c r="W504" s="44"/>
      <c r="X504" s="44"/>
      <c r="Y504" s="44"/>
      <c r="Z504" s="41"/>
      <c r="AA504" s="42" t="e">
        <f>_xlfn.XLOOKUP(C504,#REF!,#REF!,"",0,1)</f>
        <v>#REF!</v>
      </c>
      <c r="AB504" s="43">
        <f t="shared" si="21"/>
        <v>0</v>
      </c>
    </row>
    <row r="505" spans="1:28" ht="104.5" thickBot="1" x14ac:dyDescent="0.3">
      <c r="A505" s="36">
        <v>504</v>
      </c>
      <c r="B505" s="36" t="s">
        <v>24</v>
      </c>
      <c r="C505" s="36" t="s">
        <v>25</v>
      </c>
      <c r="D505" s="37">
        <v>39202</v>
      </c>
      <c r="E505" s="36" t="s">
        <v>1239</v>
      </c>
      <c r="F505" s="36" t="s">
        <v>1240</v>
      </c>
      <c r="G505" s="36" t="s">
        <v>55</v>
      </c>
      <c r="H505" s="36" t="s">
        <v>1399</v>
      </c>
      <c r="I505" s="36" t="s">
        <v>80</v>
      </c>
      <c r="J505" s="36" t="str">
        <f t="shared" si="19"/>
        <v>IndustryDirectorate of Government Printing EstablishmentCMechanic / MechanicS8 (25500 - 81100)</v>
      </c>
      <c r="K505" s="36" t="s">
        <v>127</v>
      </c>
      <c r="L505" s="36" t="s">
        <v>225</v>
      </c>
      <c r="M505" s="38" t="s">
        <v>1400</v>
      </c>
      <c r="N505" s="36" t="s">
        <v>129</v>
      </c>
      <c r="O505" s="6" t="s">
        <v>33</v>
      </c>
      <c r="P505" s="7">
        <v>2</v>
      </c>
      <c r="Q505" s="7" t="s">
        <v>34</v>
      </c>
      <c r="R505" s="8"/>
      <c r="S505" s="8"/>
      <c r="T505" s="7" t="s">
        <v>35</v>
      </c>
      <c r="U505" s="36" t="s">
        <v>35</v>
      </c>
      <c r="V505" s="38" t="s">
        <v>1401</v>
      </c>
      <c r="W505" s="36"/>
      <c r="X505" s="36" t="s">
        <v>150</v>
      </c>
      <c r="Y505" s="36" t="s">
        <v>150</v>
      </c>
      <c r="Z505" s="41"/>
      <c r="AA505" s="42" t="e">
        <f>_xlfn.XLOOKUP(C505,#REF!,#REF!,"",0,1)</f>
        <v>#REF!</v>
      </c>
      <c r="AB505" s="43">
        <f t="shared" si="21"/>
        <v>0</v>
      </c>
    </row>
    <row r="506" spans="1:28" ht="117.5" thickBot="1" x14ac:dyDescent="0.3">
      <c r="A506" s="36">
        <v>505</v>
      </c>
      <c r="B506" s="36" t="s">
        <v>24</v>
      </c>
      <c r="C506" s="36" t="s">
        <v>25</v>
      </c>
      <c r="D506" s="37">
        <v>39202</v>
      </c>
      <c r="E506" s="36" t="s">
        <v>1239</v>
      </c>
      <c r="F506" s="36" t="s">
        <v>1240</v>
      </c>
      <c r="G506" s="36" t="s">
        <v>55</v>
      </c>
      <c r="H506" s="36" t="s">
        <v>1402</v>
      </c>
      <c r="I506" s="36" t="s">
        <v>80</v>
      </c>
      <c r="J506" s="36" t="str">
        <f t="shared" si="19"/>
        <v>IndustryDirectorate of Government Printing EstablishmentCMachine Operator offsetS8 (25500 - 81100)</v>
      </c>
      <c r="K506" s="36" t="s">
        <v>127</v>
      </c>
      <c r="L506" s="36" t="s">
        <v>225</v>
      </c>
      <c r="M506" s="38" t="s">
        <v>1273</v>
      </c>
      <c r="N506" s="36" t="s">
        <v>129</v>
      </c>
      <c r="O506" s="6" t="s">
        <v>33</v>
      </c>
      <c r="P506" s="7">
        <v>117</v>
      </c>
      <c r="Q506" s="7" t="s">
        <v>34</v>
      </c>
      <c r="R506" s="8"/>
      <c r="S506" s="8"/>
      <c r="T506" s="7" t="s">
        <v>35</v>
      </c>
      <c r="U506" s="36" t="s">
        <v>35</v>
      </c>
      <c r="V506" s="38" t="s">
        <v>1403</v>
      </c>
      <c r="W506" s="36"/>
      <c r="X506" s="36" t="s">
        <v>150</v>
      </c>
      <c r="Y506" s="36" t="s">
        <v>150</v>
      </c>
      <c r="Z506" s="41"/>
      <c r="AA506" s="42" t="e">
        <f>_xlfn.XLOOKUP(C506,#REF!,#REF!,"",0,1)</f>
        <v>#REF!</v>
      </c>
      <c r="AB506" s="43">
        <f t="shared" si="21"/>
        <v>0</v>
      </c>
    </row>
    <row r="507" spans="1:28" ht="169.5" thickBot="1" x14ac:dyDescent="0.3">
      <c r="A507" s="36">
        <v>506</v>
      </c>
      <c r="B507" s="36" t="s">
        <v>24</v>
      </c>
      <c r="C507" s="36" t="s">
        <v>25</v>
      </c>
      <c r="D507" s="37">
        <v>39202</v>
      </c>
      <c r="E507" s="36" t="s">
        <v>1239</v>
      </c>
      <c r="F507" s="36" t="s">
        <v>1240</v>
      </c>
      <c r="G507" s="36" t="s">
        <v>55</v>
      </c>
      <c r="H507" s="36" t="s">
        <v>1211</v>
      </c>
      <c r="I507" s="36" t="s">
        <v>80</v>
      </c>
      <c r="J507" s="36" t="str">
        <f t="shared" si="19"/>
        <v>IndustryDirectorate of Government Printing EstablishmentCElectricianS8 (25500 - 81100)</v>
      </c>
      <c r="K507" s="36" t="s">
        <v>127</v>
      </c>
      <c r="L507" s="36" t="s">
        <v>225</v>
      </c>
      <c r="M507" s="38" t="s">
        <v>1404</v>
      </c>
      <c r="N507" s="36" t="s">
        <v>129</v>
      </c>
      <c r="O507" s="6" t="s">
        <v>33</v>
      </c>
      <c r="P507" s="7">
        <v>1</v>
      </c>
      <c r="Q507" s="7" t="s">
        <v>34</v>
      </c>
      <c r="R507" s="8"/>
      <c r="S507" s="8"/>
      <c r="T507" s="7" t="s">
        <v>2395</v>
      </c>
      <c r="U507" s="36" t="s">
        <v>35</v>
      </c>
      <c r="V507" s="38" t="s">
        <v>1405</v>
      </c>
      <c r="W507" s="36"/>
      <c r="X507" s="36" t="s">
        <v>150</v>
      </c>
      <c r="Y507" s="36" t="s">
        <v>150</v>
      </c>
      <c r="Z507" s="41"/>
      <c r="AA507" s="42" t="e">
        <f>_xlfn.XLOOKUP(C507,#REF!,#REF!,"",0,1)</f>
        <v>#REF!</v>
      </c>
      <c r="AB507" s="43">
        <f t="shared" si="21"/>
        <v>0</v>
      </c>
    </row>
    <row r="508" spans="1:28" ht="156.5" thickBot="1" x14ac:dyDescent="0.3">
      <c r="A508" s="36">
        <v>507</v>
      </c>
      <c r="B508" s="36" t="s">
        <v>24</v>
      </c>
      <c r="C508" s="36" t="s">
        <v>25</v>
      </c>
      <c r="D508" s="37">
        <v>39202</v>
      </c>
      <c r="E508" s="36" t="s">
        <v>1239</v>
      </c>
      <c r="F508" s="36" t="s">
        <v>1240</v>
      </c>
      <c r="G508" s="36" t="s">
        <v>55</v>
      </c>
      <c r="H508" s="36" t="s">
        <v>1406</v>
      </c>
      <c r="I508" s="36" t="s">
        <v>80</v>
      </c>
      <c r="J508" s="36" t="str">
        <f t="shared" si="19"/>
        <v>IndustryDirectorate of Government Printing EstablishmentCAssistant Planning and StandardsS8 (25500 - 81100)</v>
      </c>
      <c r="K508" s="36" t="s">
        <v>127</v>
      </c>
      <c r="L508" s="36" t="s">
        <v>225</v>
      </c>
      <c r="M508" s="38" t="s">
        <v>1407</v>
      </c>
      <c r="N508" s="36" t="s">
        <v>129</v>
      </c>
      <c r="O508" s="6" t="s">
        <v>33</v>
      </c>
      <c r="P508" s="7">
        <v>30</v>
      </c>
      <c r="Q508" s="7" t="s">
        <v>34</v>
      </c>
      <c r="R508" s="8"/>
      <c r="S508" s="8"/>
      <c r="T508" s="7" t="s">
        <v>35</v>
      </c>
      <c r="U508" s="36" t="s">
        <v>35</v>
      </c>
      <c r="V508" s="38" t="s">
        <v>1408</v>
      </c>
      <c r="W508" s="36"/>
      <c r="X508" s="36" t="s">
        <v>150</v>
      </c>
      <c r="Y508" s="36" t="s">
        <v>150</v>
      </c>
      <c r="Z508" s="41"/>
      <c r="AA508" s="42" t="e">
        <f>_xlfn.XLOOKUP(C508,#REF!,#REF!,"",0,1)</f>
        <v>#REF!</v>
      </c>
      <c r="AB508" s="43">
        <f t="shared" si="21"/>
        <v>0</v>
      </c>
    </row>
    <row r="509" spans="1:28" ht="104.5" thickBot="1" x14ac:dyDescent="0.3">
      <c r="A509" s="36">
        <v>508</v>
      </c>
      <c r="B509" s="36" t="s">
        <v>24</v>
      </c>
      <c r="C509" s="36" t="s">
        <v>25</v>
      </c>
      <c r="D509" s="37">
        <v>39202</v>
      </c>
      <c r="E509" s="36" t="s">
        <v>1239</v>
      </c>
      <c r="F509" s="36" t="s">
        <v>1240</v>
      </c>
      <c r="G509" s="36" t="s">
        <v>55</v>
      </c>
      <c r="H509" s="36" t="s">
        <v>1409</v>
      </c>
      <c r="I509" s="36" t="s">
        <v>80</v>
      </c>
      <c r="J509" s="36" t="str">
        <f t="shared" si="19"/>
        <v>IndustryDirectorate of Government Printing EstablishmentCReaderS8 (25500 - 81100)</v>
      </c>
      <c r="K509" s="36" t="s">
        <v>127</v>
      </c>
      <c r="L509" s="36" t="s">
        <v>225</v>
      </c>
      <c r="M509" s="38" t="s">
        <v>1410</v>
      </c>
      <c r="N509" s="36" t="s">
        <v>129</v>
      </c>
      <c r="O509" s="6" t="s">
        <v>33</v>
      </c>
      <c r="P509" s="7">
        <v>20</v>
      </c>
      <c r="Q509" s="7" t="s">
        <v>100</v>
      </c>
      <c r="R509" s="8"/>
      <c r="S509" s="7" t="s">
        <v>1294</v>
      </c>
      <c r="T509" s="7" t="s">
        <v>61</v>
      </c>
      <c r="U509" s="36" t="s">
        <v>61</v>
      </c>
      <c r="V509" s="38" t="s">
        <v>1411</v>
      </c>
      <c r="W509" s="36"/>
      <c r="X509" s="36" t="s">
        <v>1296</v>
      </c>
      <c r="Y509" s="36" t="s">
        <v>1297</v>
      </c>
      <c r="Z509" s="41"/>
      <c r="AA509" s="42" t="e">
        <f>_xlfn.XLOOKUP(C509,#REF!,#REF!,"",0,1)</f>
        <v>#REF!</v>
      </c>
      <c r="AB509" s="43">
        <f t="shared" si="21"/>
        <v>0</v>
      </c>
    </row>
    <row r="510" spans="1:28" ht="130.5" thickBot="1" x14ac:dyDescent="0.3">
      <c r="A510" s="36">
        <v>509</v>
      </c>
      <c r="B510" s="36" t="s">
        <v>24</v>
      </c>
      <c r="C510" s="36" t="s">
        <v>25</v>
      </c>
      <c r="D510" s="37">
        <v>39202</v>
      </c>
      <c r="E510" s="36" t="s">
        <v>1239</v>
      </c>
      <c r="F510" s="36" t="s">
        <v>1240</v>
      </c>
      <c r="G510" s="36" t="s">
        <v>55</v>
      </c>
      <c r="H510" s="36" t="s">
        <v>1412</v>
      </c>
      <c r="I510" s="36" t="s">
        <v>80</v>
      </c>
      <c r="J510" s="36" t="str">
        <f t="shared" si="19"/>
        <v>IndustryDirectorate of Government Printing EstablishmentCProcess Operator / Process OperatorS8 (25500 - 81100)</v>
      </c>
      <c r="K510" s="36" t="s">
        <v>127</v>
      </c>
      <c r="L510" s="36" t="s">
        <v>225</v>
      </c>
      <c r="M510" s="38" t="s">
        <v>1273</v>
      </c>
      <c r="N510" s="36" t="s">
        <v>129</v>
      </c>
      <c r="O510" s="6" t="s">
        <v>33</v>
      </c>
      <c r="P510" s="7">
        <v>16</v>
      </c>
      <c r="Q510" s="7" t="s">
        <v>34</v>
      </c>
      <c r="R510" s="8"/>
      <c r="S510" s="8"/>
      <c r="T510" s="7" t="s">
        <v>35</v>
      </c>
      <c r="U510" s="36" t="s">
        <v>35</v>
      </c>
      <c r="V510" s="38" t="s">
        <v>1413</v>
      </c>
      <c r="W510" s="36"/>
      <c r="X510" s="36" t="s">
        <v>150</v>
      </c>
      <c r="Y510" s="36" t="s">
        <v>150</v>
      </c>
      <c r="Z510" s="41"/>
      <c r="AA510" s="42" t="e">
        <f>_xlfn.XLOOKUP(C510,#REF!,#REF!,"",0,1)</f>
        <v>#REF!</v>
      </c>
      <c r="AB510" s="43">
        <f t="shared" si="21"/>
        <v>0</v>
      </c>
    </row>
    <row r="511" spans="1:28" ht="117.5" thickBot="1" x14ac:dyDescent="0.3">
      <c r="A511" s="44">
        <v>510</v>
      </c>
      <c r="B511" s="44" t="s">
        <v>24</v>
      </c>
      <c r="C511" s="36" t="s">
        <v>25</v>
      </c>
      <c r="D511" s="37">
        <v>39202</v>
      </c>
      <c r="E511" s="44" t="s">
        <v>1239</v>
      </c>
      <c r="F511" s="44" t="s">
        <v>1240</v>
      </c>
      <c r="G511" s="44" t="s">
        <v>55</v>
      </c>
      <c r="H511" s="44" t="s">
        <v>1414</v>
      </c>
      <c r="I511" s="44" t="s">
        <v>80</v>
      </c>
      <c r="J511" s="44" t="str">
        <f t="shared" si="19"/>
        <v>IndustryDirectorate of Government Printing EstablishmentCMatching progress checksS8 (25500 - 81100)</v>
      </c>
      <c r="K511" s="44"/>
      <c r="L511" s="44" t="s">
        <v>261</v>
      </c>
      <c r="M511" s="45" t="s">
        <v>1415</v>
      </c>
      <c r="N511" s="44" t="s">
        <v>113</v>
      </c>
      <c r="O511" s="11" t="s">
        <v>33</v>
      </c>
      <c r="P511" s="13"/>
      <c r="Q511" s="12" t="s">
        <v>34</v>
      </c>
      <c r="R511" s="13"/>
      <c r="S511" s="13"/>
      <c r="T511" s="4" t="s">
        <v>3276</v>
      </c>
      <c r="U511" s="44" t="s">
        <v>35</v>
      </c>
      <c r="V511" s="45"/>
      <c r="W511" s="44"/>
      <c r="X511" s="44"/>
      <c r="Y511" s="44"/>
      <c r="Z511" s="41"/>
      <c r="AA511" s="42" t="e">
        <f>_xlfn.XLOOKUP(C511,#REF!,#REF!,"",0,1)</f>
        <v>#REF!</v>
      </c>
      <c r="AB511" s="43">
        <f t="shared" si="21"/>
        <v>0</v>
      </c>
    </row>
    <row r="512" spans="1:28" ht="130.5" thickBot="1" x14ac:dyDescent="0.3">
      <c r="A512" s="44">
        <v>511</v>
      </c>
      <c r="B512" s="44" t="s">
        <v>24</v>
      </c>
      <c r="C512" s="36" t="s">
        <v>25</v>
      </c>
      <c r="D512" s="37">
        <v>39202</v>
      </c>
      <c r="E512" s="44" t="s">
        <v>1239</v>
      </c>
      <c r="F512" s="44" t="s">
        <v>1240</v>
      </c>
      <c r="G512" s="44" t="s">
        <v>55</v>
      </c>
      <c r="H512" s="44" t="s">
        <v>1416</v>
      </c>
      <c r="I512" s="44" t="s">
        <v>80</v>
      </c>
      <c r="J512" s="44" t="str">
        <f t="shared" si="19"/>
        <v>IndustryDirectorate of Government Printing EstablishmentCDecoration Composer / Display CompositorS8 (25500 - 81100)</v>
      </c>
      <c r="K512" s="44"/>
      <c r="L512" s="44" t="s">
        <v>261</v>
      </c>
      <c r="M512" s="45" t="s">
        <v>1415</v>
      </c>
      <c r="N512" s="44" t="s">
        <v>113</v>
      </c>
      <c r="O512" s="11" t="s">
        <v>33</v>
      </c>
      <c r="P512" s="13"/>
      <c r="Q512" s="12" t="s">
        <v>34</v>
      </c>
      <c r="R512" s="13"/>
      <c r="S512" s="13"/>
      <c r="T512" s="4" t="s">
        <v>3276</v>
      </c>
      <c r="U512" s="44" t="s">
        <v>35</v>
      </c>
      <c r="V512" s="45"/>
      <c r="W512" s="44"/>
      <c r="X512" s="44"/>
      <c r="Y512" s="44"/>
      <c r="Z512" s="41"/>
      <c r="AA512" s="42" t="e">
        <f>_xlfn.XLOOKUP(C512,#REF!,#REF!,"",0,1)</f>
        <v>#REF!</v>
      </c>
      <c r="AB512" s="43">
        <f t="shared" si="21"/>
        <v>0</v>
      </c>
    </row>
    <row r="513" spans="1:28" ht="104.5" thickBot="1" x14ac:dyDescent="0.3">
      <c r="A513" s="36">
        <v>512</v>
      </c>
      <c r="B513" s="36" t="s">
        <v>24</v>
      </c>
      <c r="C513" s="36" t="s">
        <v>263</v>
      </c>
      <c r="D513" s="37">
        <v>43776</v>
      </c>
      <c r="E513" s="36" t="s">
        <v>1239</v>
      </c>
      <c r="F513" s="36" t="s">
        <v>1417</v>
      </c>
      <c r="G513" s="36" t="s">
        <v>28</v>
      </c>
      <c r="H513" s="36" t="s">
        <v>1418</v>
      </c>
      <c r="I513" s="36" t="s">
        <v>38</v>
      </c>
      <c r="J513" s="36" t="str">
        <f t="shared" si="19"/>
        <v>IndustryIndustry Directorate EstablishmentADy. Director of Industries (Technical)S20 (56100 - 177500)</v>
      </c>
      <c r="K513" s="36" t="s">
        <v>45</v>
      </c>
      <c r="L513" s="36" t="s">
        <v>247</v>
      </c>
      <c r="M513" s="38" t="s">
        <v>1419</v>
      </c>
      <c r="N513" s="36" t="s">
        <v>41</v>
      </c>
      <c r="O513" s="6" t="s">
        <v>33</v>
      </c>
      <c r="P513" s="7">
        <v>0</v>
      </c>
      <c r="Q513" s="7" t="s">
        <v>34</v>
      </c>
      <c r="R513" s="8"/>
      <c r="S513" s="8"/>
      <c r="T513" s="7" t="s">
        <v>2395</v>
      </c>
      <c r="U513" s="36" t="s">
        <v>35</v>
      </c>
      <c r="V513" s="38"/>
      <c r="W513" s="36"/>
      <c r="X513" s="36"/>
      <c r="Y513" s="36"/>
      <c r="Z513" s="41"/>
      <c r="AA513" s="42" t="e">
        <f>_xlfn.XLOOKUP(C513,#REF!,#REF!,"",0,1)</f>
        <v>#REF!</v>
      </c>
      <c r="AB513" s="43">
        <f t="shared" si="21"/>
        <v>0</v>
      </c>
    </row>
    <row r="514" spans="1:28" ht="117.5" thickBot="1" x14ac:dyDescent="0.3">
      <c r="A514" s="36">
        <v>513</v>
      </c>
      <c r="B514" s="36" t="s">
        <v>24</v>
      </c>
      <c r="C514" s="36" t="s">
        <v>263</v>
      </c>
      <c r="D514" s="37">
        <v>43776</v>
      </c>
      <c r="E514" s="36" t="s">
        <v>1239</v>
      </c>
      <c r="F514" s="36" t="s">
        <v>1417</v>
      </c>
      <c r="G514" s="36" t="s">
        <v>42</v>
      </c>
      <c r="H514" s="36" t="s">
        <v>1420</v>
      </c>
      <c r="I514" s="36" t="s">
        <v>44</v>
      </c>
      <c r="J514" s="36" t="str">
        <f t="shared" ref="J514:J577" si="22">_xlfn.CONCAT(E514:I514)</f>
        <v>IndustryIndustry Directorate EstablishmentB (Gazetted)Industries Officer (Technical)S15 (41800 - 132300)</v>
      </c>
      <c r="K514" s="36" t="s">
        <v>45</v>
      </c>
      <c r="L514" s="36" t="s">
        <v>247</v>
      </c>
      <c r="M514" s="38" t="s">
        <v>1421</v>
      </c>
      <c r="N514" s="36" t="s">
        <v>41</v>
      </c>
      <c r="O514" s="6" t="s">
        <v>33</v>
      </c>
      <c r="P514" s="7">
        <v>0</v>
      </c>
      <c r="Q514" s="7" t="s">
        <v>34</v>
      </c>
      <c r="R514" s="8"/>
      <c r="S514" s="8"/>
      <c r="T514" s="7" t="s">
        <v>2395</v>
      </c>
      <c r="U514" s="36" t="s">
        <v>35</v>
      </c>
      <c r="V514" s="38"/>
      <c r="W514" s="36"/>
      <c r="X514" s="36"/>
      <c r="Y514" s="36"/>
      <c r="Z514" s="41"/>
      <c r="AA514" s="42" t="e">
        <f>_xlfn.XLOOKUP(C514,#REF!,#REF!,"",0,1)</f>
        <v>#REF!</v>
      </c>
      <c r="AB514" s="43">
        <f t="shared" ref="AB514:AB558" si="23">IFERROR(FLOOR(P514*AA514,1),0)</f>
        <v>0</v>
      </c>
    </row>
    <row r="515" spans="1:28" ht="91.5" thickBot="1" x14ac:dyDescent="0.3">
      <c r="A515" s="36">
        <v>514</v>
      </c>
      <c r="B515" s="36" t="s">
        <v>24</v>
      </c>
      <c r="C515" s="36" t="s">
        <v>263</v>
      </c>
      <c r="D515" s="37">
        <v>43776</v>
      </c>
      <c r="E515" s="36" t="s">
        <v>1239</v>
      </c>
      <c r="F515" s="36" t="s">
        <v>1417</v>
      </c>
      <c r="G515" s="36" t="s">
        <v>55</v>
      </c>
      <c r="H515" s="49" t="s">
        <v>1422</v>
      </c>
      <c r="I515" s="36" t="s">
        <v>57</v>
      </c>
      <c r="J515" s="36" t="str">
        <f t="shared" si="22"/>
        <v>IndustryIndustry Directorate EstablishmentCIndustries InspectorS13 (35400 - 112400)</v>
      </c>
      <c r="K515" s="36" t="s">
        <v>163</v>
      </c>
      <c r="L515" s="36" t="s">
        <v>225</v>
      </c>
      <c r="M515" s="38" t="s">
        <v>1423</v>
      </c>
      <c r="N515" s="40" t="s">
        <v>165</v>
      </c>
      <c r="O515" s="6" t="s">
        <v>33</v>
      </c>
      <c r="P515" s="7">
        <v>16</v>
      </c>
      <c r="Q515" s="7" t="s">
        <v>34</v>
      </c>
      <c r="R515" s="8"/>
      <c r="S515" s="8"/>
      <c r="T515" s="7" t="s">
        <v>35</v>
      </c>
      <c r="U515" s="36" t="s">
        <v>35</v>
      </c>
      <c r="V515" s="38" t="s">
        <v>1424</v>
      </c>
      <c r="W515" s="36"/>
      <c r="X515" s="36" t="s">
        <v>1425</v>
      </c>
      <c r="Y515" s="46">
        <v>44206</v>
      </c>
      <c r="Z515" s="41"/>
      <c r="AA515" s="42" t="e">
        <f>_xlfn.XLOOKUP(C515,#REF!,#REF!,"",0,1)</f>
        <v>#REF!</v>
      </c>
      <c r="AB515" s="43">
        <f t="shared" si="23"/>
        <v>0</v>
      </c>
    </row>
    <row r="516" spans="1:28" ht="104.5" thickBot="1" x14ac:dyDescent="0.3">
      <c r="A516" s="36">
        <v>515</v>
      </c>
      <c r="B516" s="36" t="s">
        <v>24</v>
      </c>
      <c r="C516" s="36" t="s">
        <v>263</v>
      </c>
      <c r="D516" s="37">
        <v>43776</v>
      </c>
      <c r="E516" s="36" t="s">
        <v>1239</v>
      </c>
      <c r="F516" s="36" t="s">
        <v>1417</v>
      </c>
      <c r="G516" s="36" t="s">
        <v>55</v>
      </c>
      <c r="H516" s="36" t="s">
        <v>1426</v>
      </c>
      <c r="I516" s="36" t="s">
        <v>67</v>
      </c>
      <c r="J516" s="36" t="str">
        <f t="shared" si="22"/>
        <v>IndustryIndustry Directorate EstablishmentCSteno Typist (Lower Grade)S14 (38600 - 122800)</v>
      </c>
      <c r="K516" s="36" t="s">
        <v>68</v>
      </c>
      <c r="L516" s="36" t="s">
        <v>231</v>
      </c>
      <c r="M516" s="38" t="s">
        <v>1427</v>
      </c>
      <c r="N516" s="36" t="s">
        <v>70</v>
      </c>
      <c r="O516" s="6" t="s">
        <v>33</v>
      </c>
      <c r="P516" s="7">
        <v>4</v>
      </c>
      <c r="Q516" s="7" t="s">
        <v>34</v>
      </c>
      <c r="R516" s="8"/>
      <c r="S516" s="8"/>
      <c r="T516" s="4" t="s">
        <v>3276</v>
      </c>
      <c r="U516" s="36" t="s">
        <v>35</v>
      </c>
      <c r="V516" s="38"/>
      <c r="W516" s="36"/>
      <c r="X516" s="36"/>
      <c r="Y516" s="36"/>
      <c r="Z516" s="41"/>
      <c r="AA516" s="42" t="e">
        <f>_xlfn.XLOOKUP(C516,#REF!,#REF!,"",0,1)</f>
        <v>#REF!</v>
      </c>
      <c r="AB516" s="43">
        <f t="shared" si="23"/>
        <v>0</v>
      </c>
    </row>
    <row r="517" spans="1:28" ht="104.5" thickBot="1" x14ac:dyDescent="0.3">
      <c r="A517" s="36">
        <v>516</v>
      </c>
      <c r="B517" s="36" t="s">
        <v>24</v>
      </c>
      <c r="C517" s="36" t="s">
        <v>263</v>
      </c>
      <c r="D517" s="37">
        <v>43776</v>
      </c>
      <c r="E517" s="36" t="s">
        <v>1239</v>
      </c>
      <c r="F517" s="36" t="s">
        <v>1417</v>
      </c>
      <c r="G517" s="36" t="s">
        <v>55</v>
      </c>
      <c r="H517" s="36" t="s">
        <v>1428</v>
      </c>
      <c r="I517" s="36" t="s">
        <v>44</v>
      </c>
      <c r="J517" s="36" t="str">
        <f t="shared" si="22"/>
        <v>IndustryIndustry Directorate EstablishmentCSteno Typist (Higher Grade)S15 (41800 - 132300)</v>
      </c>
      <c r="K517" s="36" t="s">
        <v>68</v>
      </c>
      <c r="L517" s="36" t="s">
        <v>231</v>
      </c>
      <c r="M517" s="38" t="s">
        <v>1429</v>
      </c>
      <c r="N517" s="36" t="s">
        <v>70</v>
      </c>
      <c r="O517" s="6" t="s">
        <v>33</v>
      </c>
      <c r="P517" s="7">
        <v>3</v>
      </c>
      <c r="Q517" s="7" t="s">
        <v>34</v>
      </c>
      <c r="R517" s="8"/>
      <c r="S517" s="8"/>
      <c r="T517" s="4" t="s">
        <v>3276</v>
      </c>
      <c r="U517" s="36" t="s">
        <v>35</v>
      </c>
      <c r="V517" s="38"/>
      <c r="W517" s="36"/>
      <c r="X517" s="36"/>
      <c r="Y517" s="36"/>
      <c r="Z517" s="41"/>
      <c r="AA517" s="42" t="e">
        <f>_xlfn.XLOOKUP(C517,#REF!,#REF!,"",0,1)</f>
        <v>#REF!</v>
      </c>
      <c r="AB517" s="43">
        <f t="shared" si="23"/>
        <v>0</v>
      </c>
    </row>
    <row r="518" spans="1:28" ht="91.5" thickBot="1" x14ac:dyDescent="0.3">
      <c r="A518" s="36">
        <v>517</v>
      </c>
      <c r="B518" s="36" t="s">
        <v>24</v>
      </c>
      <c r="C518" s="36" t="s">
        <v>263</v>
      </c>
      <c r="D518" s="37">
        <v>43776</v>
      </c>
      <c r="E518" s="36" t="s">
        <v>1239</v>
      </c>
      <c r="F518" s="36" t="s">
        <v>1417</v>
      </c>
      <c r="G518" s="36" t="s">
        <v>55</v>
      </c>
      <c r="H518" s="36" t="s">
        <v>331</v>
      </c>
      <c r="I518" s="36" t="s">
        <v>74</v>
      </c>
      <c r="J518" s="36" t="str">
        <f t="shared" si="22"/>
        <v>IndustryIndustry Directorate EstablishmentCClerkcumTypistS6 (19900 - 63200)</v>
      </c>
      <c r="K518" s="36" t="s">
        <v>75</v>
      </c>
      <c r="L518" s="36" t="s">
        <v>228</v>
      </c>
      <c r="M518" s="38" t="s">
        <v>1430</v>
      </c>
      <c r="N518" s="36" t="s">
        <v>70</v>
      </c>
      <c r="O518" s="6" t="s">
        <v>33</v>
      </c>
      <c r="P518" s="7">
        <v>5</v>
      </c>
      <c r="Q518" s="7" t="s">
        <v>34</v>
      </c>
      <c r="R518" s="8"/>
      <c r="S518" s="8"/>
      <c r="T518" s="7" t="s">
        <v>35</v>
      </c>
      <c r="U518" s="36" t="s">
        <v>61</v>
      </c>
      <c r="V518" s="38" t="s">
        <v>125</v>
      </c>
      <c r="W518" s="36"/>
      <c r="X518" s="36" t="s">
        <v>77</v>
      </c>
      <c r="Y518" s="36" t="s">
        <v>78</v>
      </c>
      <c r="Z518" s="41"/>
      <c r="AA518" s="42" t="e">
        <f>_xlfn.XLOOKUP(C518,#REF!,#REF!,"",0,1)</f>
        <v>#REF!</v>
      </c>
      <c r="AB518" s="43">
        <f t="shared" si="23"/>
        <v>0</v>
      </c>
    </row>
    <row r="519" spans="1:28" ht="91.5" thickBot="1" x14ac:dyDescent="0.3">
      <c r="A519" s="36">
        <v>518</v>
      </c>
      <c r="B519" s="44" t="s">
        <v>24</v>
      </c>
      <c r="C519" s="36" t="s">
        <v>263</v>
      </c>
      <c r="D519" s="37">
        <v>43776</v>
      </c>
      <c r="E519" s="44" t="s">
        <v>1239</v>
      </c>
      <c r="F519" s="44" t="s">
        <v>1417</v>
      </c>
      <c r="G519" s="44" t="s">
        <v>55</v>
      </c>
      <c r="H519" s="44" t="s">
        <v>1431</v>
      </c>
      <c r="I519" s="44" t="s">
        <v>80</v>
      </c>
      <c r="J519" s="44" t="str">
        <f t="shared" si="22"/>
        <v>IndustryIndustry Directorate EstablishmentCSenior Clerk (Statistics)S8 (25500 - 81100)</v>
      </c>
      <c r="K519" s="44"/>
      <c r="L519" s="44" t="s">
        <v>261</v>
      </c>
      <c r="M519" s="45" t="s">
        <v>1432</v>
      </c>
      <c r="N519" s="44" t="s">
        <v>1433</v>
      </c>
      <c r="O519" s="11" t="s">
        <v>33</v>
      </c>
      <c r="P519" s="12">
        <v>15</v>
      </c>
      <c r="Q519" s="12" t="s">
        <v>34</v>
      </c>
      <c r="R519" s="13"/>
      <c r="S519" s="13"/>
      <c r="T519" s="4" t="s">
        <v>3276</v>
      </c>
      <c r="U519" s="44" t="s">
        <v>35</v>
      </c>
      <c r="V519" s="45" t="s">
        <v>1434</v>
      </c>
      <c r="W519" s="44"/>
      <c r="X519" s="44" t="s">
        <v>1435</v>
      </c>
      <c r="Y519" s="53">
        <v>27831</v>
      </c>
      <c r="Z519" s="54"/>
      <c r="AA519" s="42" t="e">
        <f>_xlfn.XLOOKUP(C519,#REF!,#REF!,"",0,1)</f>
        <v>#REF!</v>
      </c>
      <c r="AB519" s="43">
        <f t="shared" si="23"/>
        <v>0</v>
      </c>
    </row>
    <row r="520" spans="1:28" ht="65.5" thickBot="1" x14ac:dyDescent="0.3">
      <c r="A520" s="36">
        <v>519</v>
      </c>
      <c r="B520" s="36" t="s">
        <v>24</v>
      </c>
      <c r="C520" s="36" t="s">
        <v>263</v>
      </c>
      <c r="D520" s="37">
        <v>43776</v>
      </c>
      <c r="E520" s="36" t="s">
        <v>1239</v>
      </c>
      <c r="F520" s="36" t="s">
        <v>1417</v>
      </c>
      <c r="G520" s="36" t="s">
        <v>55</v>
      </c>
      <c r="H520" s="36" t="s">
        <v>92</v>
      </c>
      <c r="I520" s="36" t="s">
        <v>80</v>
      </c>
      <c r="J520" s="36" t="str">
        <f t="shared" si="22"/>
        <v>IndustryIndustry Directorate EstablishmentCSteno TypistS8 (25500 - 81100)</v>
      </c>
      <c r="K520" s="36" t="s">
        <v>68</v>
      </c>
      <c r="L520" s="36" t="s">
        <v>231</v>
      </c>
      <c r="M520" s="38" t="s">
        <v>1436</v>
      </c>
      <c r="N520" s="36" t="s">
        <v>70</v>
      </c>
      <c r="O520" s="6" t="s">
        <v>33</v>
      </c>
      <c r="P520" s="7">
        <v>13</v>
      </c>
      <c r="Q520" s="7" t="s">
        <v>34</v>
      </c>
      <c r="R520" s="8"/>
      <c r="S520" s="8"/>
      <c r="T520" s="4" t="s">
        <v>3276</v>
      </c>
      <c r="U520" s="36" t="s">
        <v>35</v>
      </c>
      <c r="V520" s="38"/>
      <c r="W520" s="36"/>
      <c r="X520" s="36"/>
      <c r="Y520" s="36"/>
      <c r="Z520" s="41"/>
      <c r="AA520" s="42" t="e">
        <f>_xlfn.XLOOKUP(C520,#REF!,#REF!,"",0,1)</f>
        <v>#REF!</v>
      </c>
      <c r="AB520" s="43">
        <f t="shared" si="23"/>
        <v>0</v>
      </c>
    </row>
    <row r="521" spans="1:28" ht="91.5" thickBot="1" x14ac:dyDescent="0.3">
      <c r="A521" s="36">
        <v>520</v>
      </c>
      <c r="B521" s="36" t="s">
        <v>24</v>
      </c>
      <c r="C521" s="36" t="s">
        <v>263</v>
      </c>
      <c r="D521" s="37">
        <v>44238</v>
      </c>
      <c r="E521" s="36" t="s">
        <v>1437</v>
      </c>
      <c r="F521" s="36" t="s">
        <v>1438</v>
      </c>
      <c r="G521" s="36" t="s">
        <v>28</v>
      </c>
      <c r="H521" s="36" t="s">
        <v>326</v>
      </c>
      <c r="I521" s="36" t="s">
        <v>38</v>
      </c>
      <c r="J521" s="36" t="str">
        <f t="shared" si="22"/>
        <v>LabourLabour (Boiler Establishment)ADeputy DirectorS20 (56100 - 177500)</v>
      </c>
      <c r="K521" s="36"/>
      <c r="L521" s="36" t="s">
        <v>238</v>
      </c>
      <c r="M521" s="38" t="s">
        <v>1439</v>
      </c>
      <c r="N521" s="36" t="s">
        <v>447</v>
      </c>
      <c r="O521" s="9"/>
      <c r="P521" s="7">
        <v>7</v>
      </c>
      <c r="Q521" s="7" t="s">
        <v>100</v>
      </c>
      <c r="R521" s="8"/>
      <c r="S521" s="7" t="s">
        <v>3243</v>
      </c>
      <c r="T521" s="7" t="s">
        <v>61</v>
      </c>
      <c r="U521" s="36" t="s">
        <v>61</v>
      </c>
      <c r="V521" s="38"/>
      <c r="W521" s="36"/>
      <c r="X521" s="36"/>
      <c r="Y521" s="36"/>
      <c r="Z521" s="41"/>
      <c r="AA521" s="42" t="e">
        <f>_xlfn.XLOOKUP(C521,#REF!,#REF!,"",0,1)</f>
        <v>#REF!</v>
      </c>
      <c r="AB521" s="43">
        <f t="shared" si="23"/>
        <v>0</v>
      </c>
    </row>
    <row r="522" spans="1:28" ht="104.5" thickBot="1" x14ac:dyDescent="0.3">
      <c r="A522" s="36">
        <v>521</v>
      </c>
      <c r="B522" s="36" t="s">
        <v>24</v>
      </c>
      <c r="C522" s="36" t="s">
        <v>263</v>
      </c>
      <c r="D522" s="37">
        <v>44238</v>
      </c>
      <c r="E522" s="36" t="s">
        <v>1437</v>
      </c>
      <c r="F522" s="36" t="s">
        <v>1438</v>
      </c>
      <c r="G522" s="36" t="s">
        <v>65</v>
      </c>
      <c r="H522" s="36" t="s">
        <v>1440</v>
      </c>
      <c r="I522" s="36" t="s">
        <v>67</v>
      </c>
      <c r="J522" s="36" t="str">
        <f t="shared" si="22"/>
        <v>LabourLabour (Boiler Establishment)B (Non Gazetted)System AnalysisS14 (38600 - 122800)</v>
      </c>
      <c r="K522" s="36" t="s">
        <v>163</v>
      </c>
      <c r="L522" s="36" t="s">
        <v>225</v>
      </c>
      <c r="M522" s="38" t="s">
        <v>1441</v>
      </c>
      <c r="N522" s="36" t="s">
        <v>165</v>
      </c>
      <c r="O522" s="6" t="s">
        <v>33</v>
      </c>
      <c r="P522" s="7">
        <v>1</v>
      </c>
      <c r="Q522" s="7" t="s">
        <v>34</v>
      </c>
      <c r="R522" s="8"/>
      <c r="S522" s="8"/>
      <c r="T522" s="7" t="s">
        <v>2395</v>
      </c>
      <c r="U522" s="36" t="s">
        <v>517</v>
      </c>
      <c r="V522" s="38" t="s">
        <v>1441</v>
      </c>
      <c r="W522" s="36"/>
      <c r="X522" s="36" t="s">
        <v>150</v>
      </c>
      <c r="Y522" s="36" t="s">
        <v>150</v>
      </c>
      <c r="Z522" s="41"/>
      <c r="AA522" s="42" t="e">
        <f>_xlfn.XLOOKUP(C522,#REF!,#REF!,"",0,1)</f>
        <v>#REF!</v>
      </c>
      <c r="AB522" s="43">
        <f t="shared" si="23"/>
        <v>0</v>
      </c>
    </row>
    <row r="523" spans="1:28" ht="104.5" thickBot="1" x14ac:dyDescent="0.3">
      <c r="A523" s="36">
        <v>522</v>
      </c>
      <c r="B523" s="36" t="s">
        <v>24</v>
      </c>
      <c r="C523" s="36" t="s">
        <v>263</v>
      </c>
      <c r="D523" s="37">
        <v>44238</v>
      </c>
      <c r="E523" s="36" t="s">
        <v>1437</v>
      </c>
      <c r="F523" s="36" t="s">
        <v>1438</v>
      </c>
      <c r="G523" s="36" t="s">
        <v>55</v>
      </c>
      <c r="H523" s="36" t="s">
        <v>1442</v>
      </c>
      <c r="I523" s="36" t="s">
        <v>67</v>
      </c>
      <c r="J523" s="36" t="str">
        <f t="shared" si="22"/>
        <v>LabourLabour (Boiler Establishment)CJunior Technical AssistantS14 (38600 - 122800)</v>
      </c>
      <c r="K523" s="36" t="s">
        <v>163</v>
      </c>
      <c r="L523" s="36" t="s">
        <v>225</v>
      </c>
      <c r="M523" s="38" t="s">
        <v>1443</v>
      </c>
      <c r="N523" s="36" t="s">
        <v>165</v>
      </c>
      <c r="O523" s="6" t="s">
        <v>33</v>
      </c>
      <c r="P523" s="7">
        <v>3</v>
      </c>
      <c r="Q523" s="7" t="s">
        <v>34</v>
      </c>
      <c r="R523" s="8"/>
      <c r="S523" s="8"/>
      <c r="T523" s="7" t="s">
        <v>35</v>
      </c>
      <c r="U523" s="36" t="s">
        <v>61</v>
      </c>
      <c r="V523" s="38" t="s">
        <v>1444</v>
      </c>
      <c r="W523" s="36"/>
      <c r="X523" s="36" t="s">
        <v>1445</v>
      </c>
      <c r="Y523" s="46">
        <v>24481</v>
      </c>
      <c r="Z523" s="41"/>
      <c r="AA523" s="42" t="e">
        <f>_xlfn.XLOOKUP(C523,#REF!,#REF!,"",0,1)</f>
        <v>#REF!</v>
      </c>
      <c r="AB523" s="43">
        <f t="shared" si="23"/>
        <v>0</v>
      </c>
    </row>
    <row r="524" spans="1:28" ht="91.5" thickBot="1" x14ac:dyDescent="0.3">
      <c r="A524" s="36">
        <v>523</v>
      </c>
      <c r="B524" s="36" t="s">
        <v>24</v>
      </c>
      <c r="C524" s="36" t="s">
        <v>263</v>
      </c>
      <c r="D524" s="37">
        <v>44238</v>
      </c>
      <c r="E524" s="36" t="s">
        <v>1437</v>
      </c>
      <c r="F524" s="36" t="s">
        <v>1438</v>
      </c>
      <c r="G524" s="36" t="s">
        <v>55</v>
      </c>
      <c r="H524" s="36" t="s">
        <v>212</v>
      </c>
      <c r="I524" s="36" t="s">
        <v>67</v>
      </c>
      <c r="J524" s="36" t="str">
        <f t="shared" si="22"/>
        <v>LabourLabour (Boiler Establishment)CLower Grade StenographerS14 (38600 - 122800)</v>
      </c>
      <c r="K524" s="36" t="s">
        <v>68</v>
      </c>
      <c r="L524" s="36" t="s">
        <v>231</v>
      </c>
      <c r="M524" s="38" t="s">
        <v>1446</v>
      </c>
      <c r="N524" s="36" t="s">
        <v>70</v>
      </c>
      <c r="O524" s="6" t="s">
        <v>33</v>
      </c>
      <c r="P524" s="7">
        <v>1</v>
      </c>
      <c r="Q524" s="7" t="s">
        <v>100</v>
      </c>
      <c r="R524" s="7">
        <v>1</v>
      </c>
      <c r="S524" s="7" t="s">
        <v>3244</v>
      </c>
      <c r="T524" s="4" t="s">
        <v>3276</v>
      </c>
      <c r="U524" s="36" t="s">
        <v>517</v>
      </c>
      <c r="V524" s="38"/>
      <c r="W524" s="36"/>
      <c r="X524" s="36"/>
      <c r="Y524" s="36"/>
      <c r="Z524" s="41"/>
      <c r="AA524" s="42" t="e">
        <f>_xlfn.XLOOKUP(C524,#REF!,#REF!,"",0,1)</f>
        <v>#REF!</v>
      </c>
      <c r="AB524" s="43">
        <f t="shared" si="23"/>
        <v>0</v>
      </c>
    </row>
    <row r="525" spans="1:28" ht="91.5" thickBot="1" x14ac:dyDescent="0.3">
      <c r="A525" s="36">
        <v>524</v>
      </c>
      <c r="B525" s="36" t="s">
        <v>24</v>
      </c>
      <c r="C525" s="36" t="s">
        <v>263</v>
      </c>
      <c r="D525" s="37">
        <v>44238</v>
      </c>
      <c r="E525" s="36" t="s">
        <v>1437</v>
      </c>
      <c r="F525" s="36" t="s">
        <v>1438</v>
      </c>
      <c r="G525" s="36" t="s">
        <v>55</v>
      </c>
      <c r="H525" s="36" t="s">
        <v>773</v>
      </c>
      <c r="I525" s="36" t="s">
        <v>74</v>
      </c>
      <c r="J525" s="36" t="str">
        <f t="shared" si="22"/>
        <v>LabourLabour (Boiler Establishment)CClerk-TypistS6 (19900 - 63200)</v>
      </c>
      <c r="K525" s="36" t="s">
        <v>75</v>
      </c>
      <c r="L525" s="36" t="s">
        <v>228</v>
      </c>
      <c r="M525" s="38" t="s">
        <v>1447</v>
      </c>
      <c r="N525" s="36" t="s">
        <v>70</v>
      </c>
      <c r="O525" s="6" t="s">
        <v>33</v>
      </c>
      <c r="P525" s="7">
        <v>8</v>
      </c>
      <c r="Q525" s="7" t="s">
        <v>100</v>
      </c>
      <c r="R525" s="7">
        <v>8</v>
      </c>
      <c r="S525" s="7" t="s">
        <v>3244</v>
      </c>
      <c r="T525" s="7" t="s">
        <v>61</v>
      </c>
      <c r="U525" s="36" t="s">
        <v>61</v>
      </c>
      <c r="V525" s="38" t="s">
        <v>125</v>
      </c>
      <c r="W525" s="36"/>
      <c r="X525" s="36" t="s">
        <v>77</v>
      </c>
      <c r="Y525" s="36" t="s">
        <v>78</v>
      </c>
      <c r="Z525" s="41"/>
      <c r="AA525" s="42" t="e">
        <f>_xlfn.XLOOKUP(C525,#REF!,#REF!,"",0,1)</f>
        <v>#REF!</v>
      </c>
      <c r="AB525" s="43">
        <f t="shared" si="23"/>
        <v>0</v>
      </c>
    </row>
    <row r="526" spans="1:28" ht="130.5" thickBot="1" x14ac:dyDescent="0.3">
      <c r="A526" s="36">
        <v>525</v>
      </c>
      <c r="B526" s="36" t="s">
        <v>24</v>
      </c>
      <c r="C526" s="36" t="s">
        <v>263</v>
      </c>
      <c r="D526" s="37">
        <v>44371</v>
      </c>
      <c r="E526" s="36" t="s">
        <v>1437</v>
      </c>
      <c r="F526" s="36" t="s">
        <v>1448</v>
      </c>
      <c r="G526" s="36" t="s">
        <v>28</v>
      </c>
      <c r="H526" s="36" t="s">
        <v>326</v>
      </c>
      <c r="I526" s="36" t="s">
        <v>38</v>
      </c>
      <c r="J526" s="36" t="str">
        <f t="shared" si="22"/>
        <v>LabourLabour (Directorate of Industrial Safety and Health Establishment)ADeputy DirectorS20 (56100 - 177500)</v>
      </c>
      <c r="K526" s="36"/>
      <c r="L526" s="36" t="s">
        <v>238</v>
      </c>
      <c r="M526" s="38" t="s">
        <v>1449</v>
      </c>
      <c r="N526" s="36" t="s">
        <v>447</v>
      </c>
      <c r="O526" s="9"/>
      <c r="P526" s="7">
        <v>5</v>
      </c>
      <c r="Q526" s="7" t="s">
        <v>100</v>
      </c>
      <c r="R526" s="7">
        <v>5</v>
      </c>
      <c r="S526" s="7" t="s">
        <v>2722</v>
      </c>
      <c r="T526" s="7" t="s">
        <v>61</v>
      </c>
      <c r="U526" s="36" t="s">
        <v>35</v>
      </c>
      <c r="V526" s="38"/>
      <c r="W526" s="36"/>
      <c r="X526" s="36"/>
      <c r="Y526" s="36"/>
      <c r="Z526" s="41"/>
      <c r="AA526" s="42" t="e">
        <f>_xlfn.XLOOKUP(C526,#REF!,#REF!,"",0,1)</f>
        <v>#REF!</v>
      </c>
      <c r="AB526" s="43">
        <f t="shared" si="23"/>
        <v>0</v>
      </c>
    </row>
    <row r="527" spans="1:28" ht="130.5" thickBot="1" x14ac:dyDescent="0.3">
      <c r="A527" s="36">
        <v>526</v>
      </c>
      <c r="B527" s="36" t="s">
        <v>24</v>
      </c>
      <c r="C527" s="36" t="s">
        <v>263</v>
      </c>
      <c r="D527" s="37">
        <v>44371</v>
      </c>
      <c r="E527" s="36" t="s">
        <v>1437</v>
      </c>
      <c r="F527" s="36" t="s">
        <v>1448</v>
      </c>
      <c r="G527" s="36" t="s">
        <v>28</v>
      </c>
      <c r="H527" s="36" t="s">
        <v>1011</v>
      </c>
      <c r="I527" s="36" t="s">
        <v>38</v>
      </c>
      <c r="J527" s="36" t="str">
        <f t="shared" si="22"/>
        <v>LabourLabour (Directorate of Industrial Safety and Health Establishment)ALaw OfficerS20 (56100 - 177500)</v>
      </c>
      <c r="K527" s="36" t="s">
        <v>408</v>
      </c>
      <c r="L527" s="36" t="s">
        <v>247</v>
      </c>
      <c r="M527" s="38" t="s">
        <v>1450</v>
      </c>
      <c r="N527" s="36" t="s">
        <v>410</v>
      </c>
      <c r="O527" s="9"/>
      <c r="P527" s="7">
        <v>0</v>
      </c>
      <c r="Q527" s="7" t="s">
        <v>34</v>
      </c>
      <c r="R527" s="8"/>
      <c r="S527" s="8"/>
      <c r="T527" s="7" t="s">
        <v>2395</v>
      </c>
      <c r="U527" s="36" t="s">
        <v>517</v>
      </c>
      <c r="V527" s="38"/>
      <c r="W527" s="36"/>
      <c r="X527" s="36"/>
      <c r="Y527" s="36"/>
      <c r="Z527" s="41"/>
      <c r="AA527" s="42" t="e">
        <f>_xlfn.XLOOKUP(C527,#REF!,#REF!,"",0,1)</f>
        <v>#REF!</v>
      </c>
      <c r="AB527" s="43">
        <f t="shared" si="23"/>
        <v>0</v>
      </c>
    </row>
    <row r="528" spans="1:28" ht="130.5" thickBot="1" x14ac:dyDescent="0.3">
      <c r="A528" s="44">
        <v>527</v>
      </c>
      <c r="B528" s="44" t="s">
        <v>24</v>
      </c>
      <c r="C528" s="36" t="s">
        <v>263</v>
      </c>
      <c r="D528" s="37">
        <v>44371</v>
      </c>
      <c r="E528" s="44" t="s">
        <v>1437</v>
      </c>
      <c r="F528" s="44" t="s">
        <v>1448</v>
      </c>
      <c r="G528" s="44" t="s">
        <v>28</v>
      </c>
      <c r="H528" s="44" t="s">
        <v>1451</v>
      </c>
      <c r="I528" s="44" t="s">
        <v>38</v>
      </c>
      <c r="J528" s="44" t="str">
        <f t="shared" si="22"/>
        <v>LabourLabour (Directorate of Industrial Safety and Health Establishment)ACertifying SurgeonS20 (56100 - 177500)</v>
      </c>
      <c r="K528" s="44"/>
      <c r="L528" s="44" t="s">
        <v>261</v>
      </c>
      <c r="M528" s="45" t="s">
        <v>1452</v>
      </c>
      <c r="N528" s="44" t="s">
        <v>113</v>
      </c>
      <c r="O528" s="11" t="s">
        <v>33</v>
      </c>
      <c r="P528" s="12">
        <v>1</v>
      </c>
      <c r="Q528" s="12" t="s">
        <v>34</v>
      </c>
      <c r="R528" s="13"/>
      <c r="S528" s="13"/>
      <c r="T528" s="4" t="s">
        <v>3276</v>
      </c>
      <c r="U528" s="44" t="s">
        <v>517</v>
      </c>
      <c r="V528" s="45"/>
      <c r="W528" s="44"/>
      <c r="X528" s="44"/>
      <c r="Y528" s="44"/>
      <c r="Z528" s="41"/>
      <c r="AA528" s="42" t="e">
        <f>_xlfn.XLOOKUP(C528,#REF!,#REF!,"",0,1)</f>
        <v>#REF!</v>
      </c>
      <c r="AB528" s="43">
        <f t="shared" si="23"/>
        <v>0</v>
      </c>
    </row>
    <row r="529" spans="1:28" ht="143.5" thickBot="1" x14ac:dyDescent="0.3">
      <c r="A529" s="44">
        <v>528</v>
      </c>
      <c r="B529" s="44" t="s">
        <v>24</v>
      </c>
      <c r="C529" s="36" t="s">
        <v>263</v>
      </c>
      <c r="D529" s="37">
        <v>44371</v>
      </c>
      <c r="E529" s="44" t="s">
        <v>1437</v>
      </c>
      <c r="F529" s="44" t="s">
        <v>1448</v>
      </c>
      <c r="G529" s="44" t="s">
        <v>28</v>
      </c>
      <c r="H529" s="44" t="s">
        <v>1453</v>
      </c>
      <c r="I529" s="44" t="s">
        <v>242</v>
      </c>
      <c r="J529" s="44" t="str">
        <f t="shared" si="22"/>
        <v>LabourLabour (Directorate of Industrial Safety and Health Establishment)ADeputy Director (Medical)S23 (67700 - 208700)</v>
      </c>
      <c r="K529" s="44"/>
      <c r="L529" s="44" t="s">
        <v>261</v>
      </c>
      <c r="M529" s="45" t="s">
        <v>1454</v>
      </c>
      <c r="N529" s="44" t="s">
        <v>113</v>
      </c>
      <c r="O529" s="11" t="s">
        <v>33</v>
      </c>
      <c r="P529" s="12">
        <v>1</v>
      </c>
      <c r="Q529" s="12" t="s">
        <v>34</v>
      </c>
      <c r="R529" s="13"/>
      <c r="S529" s="13"/>
      <c r="T529" s="4" t="s">
        <v>3276</v>
      </c>
      <c r="U529" s="44" t="s">
        <v>517</v>
      </c>
      <c r="V529" s="45"/>
      <c r="W529" s="44"/>
      <c r="X529" s="44"/>
      <c r="Y529" s="44"/>
      <c r="Z529" s="41"/>
      <c r="AA529" s="42" t="e">
        <f>_xlfn.XLOOKUP(C529,#REF!,#REF!,"",0,1)</f>
        <v>#REF!</v>
      </c>
      <c r="AB529" s="43">
        <f t="shared" si="23"/>
        <v>0</v>
      </c>
    </row>
    <row r="530" spans="1:28" ht="156.5" thickBot="1" x14ac:dyDescent="0.3">
      <c r="A530" s="36">
        <v>529</v>
      </c>
      <c r="B530" s="36" t="s">
        <v>24</v>
      </c>
      <c r="C530" s="36" t="s">
        <v>263</v>
      </c>
      <c r="D530" s="37">
        <v>44371</v>
      </c>
      <c r="E530" s="36" t="s">
        <v>1437</v>
      </c>
      <c r="F530" s="36" t="s">
        <v>1448</v>
      </c>
      <c r="G530" s="36" t="s">
        <v>42</v>
      </c>
      <c r="H530" s="36" t="s">
        <v>344</v>
      </c>
      <c r="I530" s="36" t="s">
        <v>44</v>
      </c>
      <c r="J530" s="36" t="str">
        <f t="shared" si="22"/>
        <v>LabourLabour (Directorate of Industrial Safety and Health Establishment)B (Gazetted)Assistant DirectorS15 (41800 - 132300)</v>
      </c>
      <c r="K530" s="36" t="s">
        <v>246</v>
      </c>
      <c r="L530" s="36" t="s">
        <v>247</v>
      </c>
      <c r="M530" s="38" t="s">
        <v>1455</v>
      </c>
      <c r="N530" s="36" t="s">
        <v>60</v>
      </c>
      <c r="O530" s="6" t="s">
        <v>33</v>
      </c>
      <c r="P530" s="7">
        <v>1</v>
      </c>
      <c r="Q530" s="7" t="s">
        <v>34</v>
      </c>
      <c r="R530" s="8"/>
      <c r="S530" s="8"/>
      <c r="T530" s="7" t="s">
        <v>2395</v>
      </c>
      <c r="U530" s="36" t="s">
        <v>35</v>
      </c>
      <c r="V530" s="38"/>
      <c r="W530" s="36"/>
      <c r="X530" s="36"/>
      <c r="Y530" s="36"/>
      <c r="Z530" s="41"/>
      <c r="AA530" s="42" t="e">
        <f>_xlfn.XLOOKUP(C530,#REF!,#REF!,"",0,1)</f>
        <v>#REF!</v>
      </c>
      <c r="AB530" s="43">
        <f t="shared" si="23"/>
        <v>0</v>
      </c>
    </row>
    <row r="531" spans="1:28" ht="117.5" thickBot="1" x14ac:dyDescent="0.3">
      <c r="A531" s="36">
        <v>530</v>
      </c>
      <c r="B531" s="36" t="s">
        <v>24</v>
      </c>
      <c r="C531" s="36" t="s">
        <v>263</v>
      </c>
      <c r="D531" s="37">
        <v>44371</v>
      </c>
      <c r="E531" s="36" t="s">
        <v>1437</v>
      </c>
      <c r="F531" s="36" t="s">
        <v>1448</v>
      </c>
      <c r="G531" s="36" t="s">
        <v>55</v>
      </c>
      <c r="H531" s="36" t="s">
        <v>376</v>
      </c>
      <c r="I531" s="36" t="s">
        <v>169</v>
      </c>
      <c r="J531" s="36" t="str">
        <f t="shared" si="22"/>
        <v>LabourLabour (Directorate of Industrial Safety and Health Establishment)CLab AssistantS7 (21700 - 69100)</v>
      </c>
      <c r="K531" s="36" t="s">
        <v>377</v>
      </c>
      <c r="L531" s="36" t="s">
        <v>225</v>
      </c>
      <c r="M531" s="38" t="s">
        <v>1456</v>
      </c>
      <c r="N531" s="36" t="s">
        <v>379</v>
      </c>
      <c r="O531" s="6" t="s">
        <v>33</v>
      </c>
      <c r="P531" s="7">
        <v>1</v>
      </c>
      <c r="Q531" s="7" t="s">
        <v>34</v>
      </c>
      <c r="R531" s="8"/>
      <c r="S531" s="8"/>
      <c r="T531" s="7" t="s">
        <v>2395</v>
      </c>
      <c r="U531" s="36" t="s">
        <v>517</v>
      </c>
      <c r="V531" s="38" t="s">
        <v>1457</v>
      </c>
      <c r="W531" s="36"/>
      <c r="X531" s="36" t="s">
        <v>1458</v>
      </c>
      <c r="Y531" s="36" t="s">
        <v>1459</v>
      </c>
      <c r="Z531" s="41"/>
      <c r="AA531" s="42" t="e">
        <f>_xlfn.XLOOKUP(C531,#REF!,#REF!,"",0,1)</f>
        <v>#REF!</v>
      </c>
      <c r="AB531" s="43">
        <f t="shared" si="23"/>
        <v>0</v>
      </c>
    </row>
    <row r="532" spans="1:28" ht="117.5" thickBot="1" x14ac:dyDescent="0.3">
      <c r="A532" s="36">
        <v>531</v>
      </c>
      <c r="B532" s="36" t="s">
        <v>24</v>
      </c>
      <c r="C532" s="36" t="s">
        <v>263</v>
      </c>
      <c r="D532" s="37">
        <v>44371</v>
      </c>
      <c r="E532" s="36" t="s">
        <v>1437</v>
      </c>
      <c r="F532" s="36" t="s">
        <v>1448</v>
      </c>
      <c r="G532" s="36" t="s">
        <v>55</v>
      </c>
      <c r="H532" s="36" t="s">
        <v>1460</v>
      </c>
      <c r="I532" s="36" t="s">
        <v>80</v>
      </c>
      <c r="J532" s="36" t="str">
        <f t="shared" si="22"/>
        <v>LabourLabour (Directorate of Industrial Safety and Health Establishment)CSteno-TypistS8 (25500 - 81100)</v>
      </c>
      <c r="K532" s="36" t="s">
        <v>68</v>
      </c>
      <c r="L532" s="36" t="s">
        <v>231</v>
      </c>
      <c r="M532" s="38" t="s">
        <v>1461</v>
      </c>
      <c r="N532" s="36" t="s">
        <v>70</v>
      </c>
      <c r="O532" s="6" t="s">
        <v>33</v>
      </c>
      <c r="P532" s="7">
        <v>1</v>
      </c>
      <c r="Q532" s="7" t="s">
        <v>100</v>
      </c>
      <c r="R532" s="7">
        <v>1</v>
      </c>
      <c r="S532" s="7" t="s">
        <v>2722</v>
      </c>
      <c r="T532" s="4" t="s">
        <v>3276</v>
      </c>
      <c r="U532" s="36" t="s">
        <v>35</v>
      </c>
      <c r="V532" s="38"/>
      <c r="W532" s="36"/>
      <c r="X532" s="36"/>
      <c r="Y532" s="36"/>
      <c r="Z532" s="41"/>
      <c r="AA532" s="42" t="e">
        <f>_xlfn.XLOOKUP(C532,#REF!,#REF!,"",0,1)</f>
        <v>#REF!</v>
      </c>
      <c r="AB532" s="43">
        <f t="shared" si="23"/>
        <v>0</v>
      </c>
    </row>
    <row r="533" spans="1:28" ht="130.5" thickBot="1" x14ac:dyDescent="0.3">
      <c r="A533" s="36">
        <v>532</v>
      </c>
      <c r="B533" s="36" t="s">
        <v>24</v>
      </c>
      <c r="C533" s="36"/>
      <c r="D533" s="37" t="s">
        <v>721</v>
      </c>
      <c r="E533" s="36" t="s">
        <v>1437</v>
      </c>
      <c r="F533" s="36" t="s">
        <v>1462</v>
      </c>
      <c r="G533" s="36" t="s">
        <v>42</v>
      </c>
      <c r="H533" s="36" t="s">
        <v>1463</v>
      </c>
      <c r="I533" s="36" t="s">
        <v>54</v>
      </c>
      <c r="J533" s="36" t="str">
        <f t="shared" si="22"/>
        <v>LabourLabour (Industry and Labour Court Establishment)B (Gazetted)Junior Investigation OfficerS16 (44900 - 142400)</v>
      </c>
      <c r="K533" s="36"/>
      <c r="L533" s="36" t="s">
        <v>238</v>
      </c>
      <c r="M533" s="38"/>
      <c r="N533" s="36"/>
      <c r="O533" s="9"/>
      <c r="P533" s="7">
        <v>11</v>
      </c>
      <c r="Q533" s="7" t="s">
        <v>34</v>
      </c>
      <c r="R533" s="8"/>
      <c r="S533" s="7" t="s">
        <v>3245</v>
      </c>
      <c r="T533" s="7" t="s">
        <v>35</v>
      </c>
      <c r="U533" s="36" t="s">
        <v>1464</v>
      </c>
      <c r="V533" s="38"/>
      <c r="W533" s="36"/>
      <c r="X533" s="36"/>
      <c r="Y533" s="36"/>
      <c r="Z533" s="41"/>
      <c r="AA533" s="42" t="e">
        <f>_xlfn.XLOOKUP(C533,#REF!,#REF!,"",0,1)</f>
        <v>#REF!</v>
      </c>
      <c r="AB533" s="43">
        <f t="shared" si="23"/>
        <v>0</v>
      </c>
    </row>
    <row r="534" spans="1:28" ht="117.5" thickBot="1" x14ac:dyDescent="0.3">
      <c r="A534" s="36">
        <v>533</v>
      </c>
      <c r="B534" s="36" t="s">
        <v>24</v>
      </c>
      <c r="C534" s="36"/>
      <c r="D534" s="37" t="s">
        <v>721</v>
      </c>
      <c r="E534" s="36" t="s">
        <v>1437</v>
      </c>
      <c r="F534" s="36" t="s">
        <v>1462</v>
      </c>
      <c r="G534" s="36" t="s">
        <v>42</v>
      </c>
      <c r="H534" s="36" t="s">
        <v>1465</v>
      </c>
      <c r="I534" s="36" t="s">
        <v>54</v>
      </c>
      <c r="J534" s="36" t="str">
        <f t="shared" si="22"/>
        <v>LabourLabour (Industry and Labour Court Establishment)B (Gazetted)SecretaryS16 (44900 - 142400)</v>
      </c>
      <c r="K534" s="36"/>
      <c r="L534" s="36" t="s">
        <v>238</v>
      </c>
      <c r="M534" s="38" t="s">
        <v>480</v>
      </c>
      <c r="N534" s="36"/>
      <c r="O534" s="9"/>
      <c r="P534" s="7">
        <v>3</v>
      </c>
      <c r="Q534" s="7" t="s">
        <v>34</v>
      </c>
      <c r="R534" s="8"/>
      <c r="S534" s="7" t="s">
        <v>3245</v>
      </c>
      <c r="T534" s="7" t="s">
        <v>35</v>
      </c>
      <c r="U534" s="36" t="s">
        <v>1466</v>
      </c>
      <c r="V534" s="38"/>
      <c r="W534" s="36"/>
      <c r="X534" s="36"/>
      <c r="Y534" s="36"/>
      <c r="Z534" s="41"/>
      <c r="AA534" s="42" t="e">
        <f>_xlfn.XLOOKUP(C534,#REF!,#REF!,"",0,1)</f>
        <v>#REF!</v>
      </c>
      <c r="AB534" s="43">
        <f t="shared" si="23"/>
        <v>0</v>
      </c>
    </row>
    <row r="535" spans="1:28" ht="117.5" thickBot="1" x14ac:dyDescent="0.3">
      <c r="A535" s="36">
        <v>534</v>
      </c>
      <c r="B535" s="36" t="s">
        <v>24</v>
      </c>
      <c r="C535" s="36"/>
      <c r="D535" s="37" t="s">
        <v>721</v>
      </c>
      <c r="E535" s="36" t="s">
        <v>1437</v>
      </c>
      <c r="F535" s="36" t="s">
        <v>1462</v>
      </c>
      <c r="G535" s="36" t="s">
        <v>42</v>
      </c>
      <c r="H535" s="36" t="s">
        <v>1467</v>
      </c>
      <c r="I535" s="36" t="s">
        <v>54</v>
      </c>
      <c r="J535" s="36" t="str">
        <f t="shared" si="22"/>
        <v>LabourLabour (Industry and Labour Court Establishment)B (Gazetted)Deputy RegistrarS16 (44900 - 142400)</v>
      </c>
      <c r="K535" s="36"/>
      <c r="L535" s="36" t="s">
        <v>238</v>
      </c>
      <c r="M535" s="38" t="s">
        <v>1468</v>
      </c>
      <c r="N535" s="36" t="s">
        <v>41</v>
      </c>
      <c r="O535" s="6" t="s">
        <v>33</v>
      </c>
      <c r="P535" s="7">
        <v>1</v>
      </c>
      <c r="Q535" s="7" t="s">
        <v>34</v>
      </c>
      <c r="R535" s="8"/>
      <c r="S535" s="7" t="s">
        <v>3245</v>
      </c>
      <c r="T535" s="7" t="s">
        <v>2395</v>
      </c>
      <c r="U535" s="36" t="s">
        <v>517</v>
      </c>
      <c r="V535" s="38"/>
      <c r="W535" s="36"/>
      <c r="X535" s="36"/>
      <c r="Y535" s="36"/>
      <c r="Z535" s="41"/>
      <c r="AA535" s="42" t="e">
        <f>_xlfn.XLOOKUP(C535,#REF!,#REF!,"",0,1)</f>
        <v>#REF!</v>
      </c>
      <c r="AB535" s="43">
        <f t="shared" si="23"/>
        <v>0</v>
      </c>
    </row>
    <row r="536" spans="1:28" ht="130.5" thickBot="1" x14ac:dyDescent="0.3">
      <c r="A536" s="36">
        <v>535</v>
      </c>
      <c r="B536" s="36" t="s">
        <v>24</v>
      </c>
      <c r="C536" s="36"/>
      <c r="D536" s="37" t="s">
        <v>721</v>
      </c>
      <c r="E536" s="36" t="s">
        <v>1437</v>
      </c>
      <c r="F536" s="36" t="s">
        <v>1462</v>
      </c>
      <c r="G536" s="36" t="s">
        <v>42</v>
      </c>
      <c r="H536" s="36" t="s">
        <v>1469</v>
      </c>
      <c r="I536" s="36" t="s">
        <v>54</v>
      </c>
      <c r="J536" s="36" t="str">
        <f t="shared" si="22"/>
        <v>LabourLabour (Industry and Labour Court Establishment)B (Gazetted)Assistant RegistrarS16 (44900 - 142400)</v>
      </c>
      <c r="K536" s="36"/>
      <c r="L536" s="36" t="s">
        <v>238</v>
      </c>
      <c r="M536" s="38" t="s">
        <v>1470</v>
      </c>
      <c r="N536" s="36"/>
      <c r="O536" s="6" t="s">
        <v>33</v>
      </c>
      <c r="P536" s="7">
        <v>15</v>
      </c>
      <c r="Q536" s="7" t="s">
        <v>100</v>
      </c>
      <c r="R536" s="8"/>
      <c r="S536" s="7" t="s">
        <v>1471</v>
      </c>
      <c r="T536" s="7" t="s">
        <v>35</v>
      </c>
      <c r="U536" s="36" t="s">
        <v>1472</v>
      </c>
      <c r="V536" s="38"/>
      <c r="W536" s="36"/>
      <c r="X536" s="36"/>
      <c r="Y536" s="36"/>
      <c r="Z536" s="41"/>
      <c r="AA536" s="42" t="e">
        <f>_xlfn.XLOOKUP(C536,#REF!,#REF!,"",0,1)</f>
        <v>#REF!</v>
      </c>
      <c r="AB536" s="43">
        <f t="shared" si="23"/>
        <v>0</v>
      </c>
    </row>
    <row r="537" spans="1:28" ht="117.5" thickBot="1" x14ac:dyDescent="0.3">
      <c r="A537" s="36">
        <v>536</v>
      </c>
      <c r="B537" s="36" t="s">
        <v>24</v>
      </c>
      <c r="C537" s="36"/>
      <c r="D537" s="37" t="s">
        <v>721</v>
      </c>
      <c r="E537" s="36" t="s">
        <v>1437</v>
      </c>
      <c r="F537" s="36" t="s">
        <v>1462</v>
      </c>
      <c r="G537" s="36" t="s">
        <v>65</v>
      </c>
      <c r="H537" s="36" t="s">
        <v>998</v>
      </c>
      <c r="I537" s="36" t="s">
        <v>44</v>
      </c>
      <c r="J537" s="36" t="str">
        <f t="shared" si="22"/>
        <v>LabourLabour (Industry and Labour Court Establishment)B (Non Gazetted)Stenographer (LG)S15 (41800 - 132300)</v>
      </c>
      <c r="K537" s="36" t="s">
        <v>68</v>
      </c>
      <c r="L537" s="36" t="s">
        <v>231</v>
      </c>
      <c r="M537" s="38" t="s">
        <v>1473</v>
      </c>
      <c r="N537" s="36" t="s">
        <v>70</v>
      </c>
      <c r="O537" s="6" t="s">
        <v>33</v>
      </c>
      <c r="P537" s="7">
        <v>8</v>
      </c>
      <c r="Q537" s="7" t="s">
        <v>34</v>
      </c>
      <c r="R537" s="8"/>
      <c r="S537" s="8"/>
      <c r="T537" s="4" t="s">
        <v>3276</v>
      </c>
      <c r="U537" s="36" t="s">
        <v>35</v>
      </c>
      <c r="V537" s="38"/>
      <c r="W537" s="36"/>
      <c r="X537" s="36"/>
      <c r="Y537" s="36"/>
      <c r="Z537" s="41"/>
      <c r="AA537" s="42" t="e">
        <f>_xlfn.XLOOKUP(C537,#REF!,#REF!,"",0,1)</f>
        <v>#REF!</v>
      </c>
      <c r="AB537" s="43">
        <f t="shared" si="23"/>
        <v>0</v>
      </c>
    </row>
    <row r="538" spans="1:28" ht="130.5" thickBot="1" x14ac:dyDescent="0.3">
      <c r="A538" s="36">
        <v>537</v>
      </c>
      <c r="B538" s="36" t="s">
        <v>24</v>
      </c>
      <c r="C538" s="36"/>
      <c r="D538" s="37" t="s">
        <v>721</v>
      </c>
      <c r="E538" s="36" t="s">
        <v>1437</v>
      </c>
      <c r="F538" s="36" t="s">
        <v>1462</v>
      </c>
      <c r="G538" s="36" t="s">
        <v>65</v>
      </c>
      <c r="H538" s="36" t="s">
        <v>1474</v>
      </c>
      <c r="I538" s="36" t="s">
        <v>372</v>
      </c>
      <c r="J538" s="36" t="str">
        <f t="shared" si="22"/>
        <v>LabourLabour (Industry and Labour Court Establishment)B (Non Gazetted)PA/Stenographer (HG)S17 (47600 - 151100)</v>
      </c>
      <c r="K538" s="36" t="s">
        <v>68</v>
      </c>
      <c r="L538" s="36" t="s">
        <v>231</v>
      </c>
      <c r="M538" s="38" t="s">
        <v>1475</v>
      </c>
      <c r="N538" s="36" t="s">
        <v>70</v>
      </c>
      <c r="O538" s="6" t="s">
        <v>33</v>
      </c>
      <c r="P538" s="7">
        <v>12</v>
      </c>
      <c r="Q538" s="7" t="s">
        <v>34</v>
      </c>
      <c r="R538" s="8"/>
      <c r="S538" s="8"/>
      <c r="T538" s="4" t="s">
        <v>3276</v>
      </c>
      <c r="U538" s="36" t="s">
        <v>35</v>
      </c>
      <c r="V538" s="38"/>
      <c r="W538" s="36"/>
      <c r="X538" s="36"/>
      <c r="Y538" s="36"/>
      <c r="Z538" s="41"/>
      <c r="AA538" s="42" t="e">
        <f>_xlfn.XLOOKUP(C538,#REF!,#REF!,"",0,1)</f>
        <v>#REF!</v>
      </c>
      <c r="AB538" s="43">
        <f t="shared" si="23"/>
        <v>0</v>
      </c>
    </row>
    <row r="539" spans="1:28" ht="169.5" thickBot="1" x14ac:dyDescent="0.3">
      <c r="A539" s="36">
        <v>538</v>
      </c>
      <c r="B539" s="36" t="s">
        <v>24</v>
      </c>
      <c r="C539" s="36"/>
      <c r="D539" s="37" t="s">
        <v>721</v>
      </c>
      <c r="E539" s="36" t="s">
        <v>1437</v>
      </c>
      <c r="F539" s="36" t="s">
        <v>1462</v>
      </c>
      <c r="G539" s="36" t="s">
        <v>55</v>
      </c>
      <c r="H539" s="36" t="s">
        <v>1476</v>
      </c>
      <c r="I539" s="36" t="s">
        <v>74</v>
      </c>
      <c r="J539" s="36" t="str">
        <f t="shared" si="22"/>
        <v>LabourLabour (Industry and Labour Court Establishment)CClerk Typist/Junior Clerk/Lower Division Clerk/Typist/Clerk Cum Telephone OperatorS6 (19900 - 63200)</v>
      </c>
      <c r="K539" s="36" t="s">
        <v>75</v>
      </c>
      <c r="L539" s="36" t="s">
        <v>228</v>
      </c>
      <c r="M539" s="38" t="s">
        <v>1477</v>
      </c>
      <c r="N539" s="36" t="s">
        <v>70</v>
      </c>
      <c r="O539" s="6" t="s">
        <v>33</v>
      </c>
      <c r="P539" s="7">
        <v>54</v>
      </c>
      <c r="Q539" s="7" t="s">
        <v>100</v>
      </c>
      <c r="R539" s="7">
        <v>25</v>
      </c>
      <c r="S539" s="7" t="s">
        <v>3246</v>
      </c>
      <c r="T539" s="7" t="s">
        <v>35</v>
      </c>
      <c r="U539" s="36" t="s">
        <v>1478</v>
      </c>
      <c r="V539" s="38" t="s">
        <v>125</v>
      </c>
      <c r="W539" s="36"/>
      <c r="X539" s="36" t="s">
        <v>77</v>
      </c>
      <c r="Y539" s="36" t="s">
        <v>78</v>
      </c>
      <c r="Z539" s="41"/>
      <c r="AA539" s="42" t="e">
        <f>_xlfn.XLOOKUP(C539,#REF!,#REF!,"",0,1)</f>
        <v>#REF!</v>
      </c>
      <c r="AB539" s="43">
        <f t="shared" si="23"/>
        <v>0</v>
      </c>
    </row>
    <row r="540" spans="1:28" ht="91.5" thickBot="1" x14ac:dyDescent="0.3">
      <c r="A540" s="36">
        <v>539</v>
      </c>
      <c r="B540" s="36" t="s">
        <v>24</v>
      </c>
      <c r="C540" s="36"/>
      <c r="D540" s="37" t="s">
        <v>721</v>
      </c>
      <c r="E540" s="36" t="s">
        <v>1437</v>
      </c>
      <c r="F540" s="36" t="s">
        <v>1462</v>
      </c>
      <c r="G540" s="36" t="s">
        <v>55</v>
      </c>
      <c r="H540" s="36" t="s">
        <v>1460</v>
      </c>
      <c r="I540" s="36" t="s">
        <v>80</v>
      </c>
      <c r="J540" s="36" t="str">
        <f t="shared" si="22"/>
        <v>LabourLabour (Industry and Labour Court Establishment)CSteno-TypistS8 (25500 - 81100)</v>
      </c>
      <c r="K540" s="36" t="s">
        <v>68</v>
      </c>
      <c r="L540" s="36" t="s">
        <v>231</v>
      </c>
      <c r="M540" s="38" t="s">
        <v>1479</v>
      </c>
      <c r="N540" s="36" t="s">
        <v>70</v>
      </c>
      <c r="O540" s="6" t="s">
        <v>33</v>
      </c>
      <c r="P540" s="7">
        <v>8</v>
      </c>
      <c r="Q540" s="7" t="s">
        <v>34</v>
      </c>
      <c r="R540" s="8"/>
      <c r="S540" s="8"/>
      <c r="T540" s="4" t="s">
        <v>3276</v>
      </c>
      <c r="U540" s="36" t="s">
        <v>35</v>
      </c>
      <c r="V540" s="38"/>
      <c r="W540" s="36"/>
      <c r="X540" s="36"/>
      <c r="Y540" s="36"/>
      <c r="Z540" s="41"/>
      <c r="AA540" s="42" t="e">
        <f>_xlfn.XLOOKUP(C540,#REF!,#REF!,"",0,1)</f>
        <v>#REF!</v>
      </c>
      <c r="AB540" s="43">
        <f t="shared" si="23"/>
        <v>0</v>
      </c>
    </row>
    <row r="541" spans="1:28" ht="104.5" thickBot="1" x14ac:dyDescent="0.3">
      <c r="A541" s="36">
        <v>540</v>
      </c>
      <c r="B541" s="36" t="s">
        <v>24</v>
      </c>
      <c r="C541" s="36" t="s">
        <v>263</v>
      </c>
      <c r="D541" s="37">
        <v>44536</v>
      </c>
      <c r="E541" s="36" t="s">
        <v>1437</v>
      </c>
      <c r="F541" s="36" t="s">
        <v>1480</v>
      </c>
      <c r="G541" s="36" t="s">
        <v>28</v>
      </c>
      <c r="H541" s="36" t="s">
        <v>1481</v>
      </c>
      <c r="I541" s="36" t="s">
        <v>30</v>
      </c>
      <c r="J541" s="36" t="str">
        <f t="shared" si="22"/>
        <v>LabourLabour Commissioner EstablishmentAAssistant Commissioner of LabourS18 (49100 - 155800)</v>
      </c>
      <c r="K541" s="36" t="s">
        <v>45</v>
      </c>
      <c r="L541" s="36" t="s">
        <v>247</v>
      </c>
      <c r="M541" s="38" t="s">
        <v>1482</v>
      </c>
      <c r="N541" s="36" t="s">
        <v>41</v>
      </c>
      <c r="O541" s="6" t="s">
        <v>33</v>
      </c>
      <c r="P541" s="7">
        <v>6</v>
      </c>
      <c r="Q541" s="7" t="s">
        <v>34</v>
      </c>
      <c r="R541" s="8"/>
      <c r="S541" s="7" t="s">
        <v>3239</v>
      </c>
      <c r="T541" s="7" t="s">
        <v>35</v>
      </c>
      <c r="U541" s="36" t="s">
        <v>61</v>
      </c>
      <c r="V541" s="38"/>
      <c r="W541" s="36"/>
      <c r="X541" s="36"/>
      <c r="Y541" s="36"/>
      <c r="Z541" s="41"/>
      <c r="AA541" s="42" t="e">
        <f>_xlfn.XLOOKUP(C541,#REF!,#REF!,"",0,1)</f>
        <v>#REF!</v>
      </c>
      <c r="AB541" s="43">
        <f t="shared" si="23"/>
        <v>0</v>
      </c>
    </row>
    <row r="542" spans="1:28" ht="117.5" thickBot="1" x14ac:dyDescent="0.3">
      <c r="A542" s="36">
        <v>541</v>
      </c>
      <c r="B542" s="36" t="s">
        <v>24</v>
      </c>
      <c r="C542" s="36" t="s">
        <v>263</v>
      </c>
      <c r="D542" s="37">
        <v>44536</v>
      </c>
      <c r="E542" s="36" t="s">
        <v>1437</v>
      </c>
      <c r="F542" s="36" t="s">
        <v>1480</v>
      </c>
      <c r="G542" s="36" t="s">
        <v>42</v>
      </c>
      <c r="H542" s="36" t="s">
        <v>1483</v>
      </c>
      <c r="I542" s="36" t="s">
        <v>44</v>
      </c>
      <c r="J542" s="36" t="str">
        <f t="shared" si="22"/>
        <v>LabourLabour Commissioner EstablishmentB (Gazetted)Government Labour OfficerS15 (41800 - 132300)</v>
      </c>
      <c r="K542" s="36" t="s">
        <v>45</v>
      </c>
      <c r="L542" s="36" t="s">
        <v>247</v>
      </c>
      <c r="M542" s="38" t="s">
        <v>1482</v>
      </c>
      <c r="N542" s="36" t="s">
        <v>41</v>
      </c>
      <c r="O542" s="6" t="s">
        <v>33</v>
      </c>
      <c r="P542" s="7">
        <v>19</v>
      </c>
      <c r="Q542" s="7" t="s">
        <v>34</v>
      </c>
      <c r="R542" s="8"/>
      <c r="S542" s="7" t="s">
        <v>3239</v>
      </c>
      <c r="T542" s="7" t="s">
        <v>35</v>
      </c>
      <c r="U542" s="36" t="s">
        <v>61</v>
      </c>
      <c r="V542" s="38"/>
      <c r="W542" s="36"/>
      <c r="X542" s="36"/>
      <c r="Y542" s="36"/>
      <c r="Z542" s="41"/>
      <c r="AA542" s="42" t="e">
        <f>_xlfn.XLOOKUP(C542,#REF!,#REF!,"",0,1)</f>
        <v>#REF!</v>
      </c>
      <c r="AB542" s="43">
        <f t="shared" si="23"/>
        <v>0</v>
      </c>
    </row>
    <row r="543" spans="1:28" ht="91.5" thickBot="1" x14ac:dyDescent="0.3">
      <c r="A543" s="36">
        <v>542</v>
      </c>
      <c r="B543" s="36" t="s">
        <v>24</v>
      </c>
      <c r="C543" s="36" t="s">
        <v>263</v>
      </c>
      <c r="D543" s="37">
        <v>44536</v>
      </c>
      <c r="E543" s="36" t="s">
        <v>1437</v>
      </c>
      <c r="F543" s="36" t="s">
        <v>1480</v>
      </c>
      <c r="G543" s="36" t="s">
        <v>55</v>
      </c>
      <c r="H543" s="36" t="s">
        <v>1484</v>
      </c>
      <c r="I543" s="36" t="s">
        <v>57</v>
      </c>
      <c r="J543" s="36" t="str">
        <f t="shared" si="22"/>
        <v>LabourLabour Commissioner EstablishmentCSenior Labour InvestigatorS13 (35400 - 112400)</v>
      </c>
      <c r="K543" s="36" t="s">
        <v>115</v>
      </c>
      <c r="L543" s="36" t="s">
        <v>225</v>
      </c>
      <c r="M543" s="38" t="s">
        <v>1485</v>
      </c>
      <c r="N543" s="36" t="s">
        <v>179</v>
      </c>
      <c r="O543" s="6" t="s">
        <v>33</v>
      </c>
      <c r="P543" s="7">
        <v>7</v>
      </c>
      <c r="Q543" s="7" t="s">
        <v>34</v>
      </c>
      <c r="R543" s="8"/>
      <c r="S543" s="8"/>
      <c r="T543" s="7" t="s">
        <v>61</v>
      </c>
      <c r="U543" s="36" t="s">
        <v>61</v>
      </c>
      <c r="V543" s="38" t="s">
        <v>1486</v>
      </c>
      <c r="W543" s="36"/>
      <c r="X543" s="36" t="s">
        <v>1487</v>
      </c>
      <c r="Y543" s="46">
        <v>21409</v>
      </c>
      <c r="Z543" s="41"/>
      <c r="AA543" s="42" t="e">
        <f>_xlfn.XLOOKUP(C543,#REF!,#REF!,"",0,1)</f>
        <v>#REF!</v>
      </c>
      <c r="AB543" s="43">
        <f t="shared" si="23"/>
        <v>0</v>
      </c>
    </row>
    <row r="544" spans="1:28" ht="104.5" thickBot="1" x14ac:dyDescent="0.3">
      <c r="A544" s="36">
        <v>543</v>
      </c>
      <c r="B544" s="36" t="s">
        <v>24</v>
      </c>
      <c r="C544" s="36" t="s">
        <v>263</v>
      </c>
      <c r="D544" s="37">
        <v>44536</v>
      </c>
      <c r="E544" s="36" t="s">
        <v>1437</v>
      </c>
      <c r="F544" s="36" t="s">
        <v>1480</v>
      </c>
      <c r="G544" s="36" t="s">
        <v>55</v>
      </c>
      <c r="H544" s="36" t="s">
        <v>66</v>
      </c>
      <c r="I544" s="36" t="s">
        <v>44</v>
      </c>
      <c r="J544" s="36" t="str">
        <f t="shared" si="22"/>
        <v>LabourLabour Commissioner EstablishmentCStenographer (Lower Grade)S15 (41800 - 132300)</v>
      </c>
      <c r="K544" s="36" t="s">
        <v>68</v>
      </c>
      <c r="L544" s="36" t="s">
        <v>231</v>
      </c>
      <c r="M544" s="38" t="s">
        <v>1482</v>
      </c>
      <c r="N544" s="36" t="s">
        <v>70</v>
      </c>
      <c r="O544" s="6" t="s">
        <v>33</v>
      </c>
      <c r="P544" s="7">
        <v>2</v>
      </c>
      <c r="Q544" s="7" t="s">
        <v>34</v>
      </c>
      <c r="R544" s="8"/>
      <c r="S544" s="8"/>
      <c r="T544" s="4" t="s">
        <v>3276</v>
      </c>
      <c r="U544" s="36" t="s">
        <v>61</v>
      </c>
      <c r="V544" s="38"/>
      <c r="W544" s="36"/>
      <c r="X544" s="36"/>
      <c r="Y544" s="36"/>
      <c r="Z544" s="41"/>
      <c r="AA544" s="42" t="e">
        <f>_xlfn.XLOOKUP(C544,#REF!,#REF!,"",0,1)</f>
        <v>#REF!</v>
      </c>
      <c r="AB544" s="43">
        <f t="shared" si="23"/>
        <v>0</v>
      </c>
    </row>
    <row r="545" spans="1:28" ht="104.5" thickBot="1" x14ac:dyDescent="0.3">
      <c r="A545" s="36">
        <v>544</v>
      </c>
      <c r="B545" s="36" t="s">
        <v>24</v>
      </c>
      <c r="C545" s="36" t="s">
        <v>263</v>
      </c>
      <c r="D545" s="37">
        <v>44536</v>
      </c>
      <c r="E545" s="36" t="s">
        <v>1437</v>
      </c>
      <c r="F545" s="36" t="s">
        <v>1480</v>
      </c>
      <c r="G545" s="36" t="s">
        <v>55</v>
      </c>
      <c r="H545" s="36" t="s">
        <v>71</v>
      </c>
      <c r="I545" s="36" t="s">
        <v>54</v>
      </c>
      <c r="J545" s="36" t="str">
        <f t="shared" si="22"/>
        <v>LabourLabour Commissioner EstablishmentCStenographer (Higher Grade)S16 (44900 - 142400)</v>
      </c>
      <c r="K545" s="36" t="s">
        <v>68</v>
      </c>
      <c r="L545" s="36" t="s">
        <v>231</v>
      </c>
      <c r="M545" s="38" t="s">
        <v>1482</v>
      </c>
      <c r="N545" s="36" t="s">
        <v>70</v>
      </c>
      <c r="O545" s="6" t="s">
        <v>33</v>
      </c>
      <c r="P545" s="7">
        <v>1</v>
      </c>
      <c r="Q545" s="7" t="s">
        <v>34</v>
      </c>
      <c r="R545" s="8"/>
      <c r="S545" s="8"/>
      <c r="T545" s="4" t="s">
        <v>3276</v>
      </c>
      <c r="U545" s="36" t="s">
        <v>35</v>
      </c>
      <c r="V545" s="38"/>
      <c r="W545" s="36"/>
      <c r="X545" s="36"/>
      <c r="Y545" s="36"/>
      <c r="Z545" s="41"/>
      <c r="AA545" s="42" t="e">
        <f>_xlfn.XLOOKUP(C545,#REF!,#REF!,"",0,1)</f>
        <v>#REF!</v>
      </c>
      <c r="AB545" s="43">
        <f t="shared" si="23"/>
        <v>0</v>
      </c>
    </row>
    <row r="546" spans="1:28" ht="130.5" thickBot="1" x14ac:dyDescent="0.3">
      <c r="A546" s="36">
        <v>545</v>
      </c>
      <c r="B546" s="36" t="s">
        <v>24</v>
      </c>
      <c r="C546" s="36" t="s">
        <v>263</v>
      </c>
      <c r="D546" s="37">
        <v>44536</v>
      </c>
      <c r="E546" s="36" t="s">
        <v>1437</v>
      </c>
      <c r="F546" s="36" t="s">
        <v>1480</v>
      </c>
      <c r="G546" s="36" t="s">
        <v>55</v>
      </c>
      <c r="H546" s="36" t="s">
        <v>838</v>
      </c>
      <c r="I546" s="36" t="s">
        <v>169</v>
      </c>
      <c r="J546" s="36" t="str">
        <f t="shared" si="22"/>
        <v>LabourLabour Commissioner EstablishmentCTelephone operatorS7 (21700 - 69100)</v>
      </c>
      <c r="K546" s="36" t="s">
        <v>611</v>
      </c>
      <c r="L546" s="36" t="s">
        <v>225</v>
      </c>
      <c r="M546" s="38" t="s">
        <v>1488</v>
      </c>
      <c r="N546" s="36" t="s">
        <v>199</v>
      </c>
      <c r="O546" s="6" t="s">
        <v>33</v>
      </c>
      <c r="P546" s="7">
        <v>1</v>
      </c>
      <c r="Q546" s="7" t="s">
        <v>34</v>
      </c>
      <c r="R546" s="8"/>
      <c r="S546" s="8"/>
      <c r="T546" s="7" t="s">
        <v>2395</v>
      </c>
      <c r="U546" s="36" t="s">
        <v>35</v>
      </c>
      <c r="V546" s="38" t="s">
        <v>1489</v>
      </c>
      <c r="W546" s="36"/>
      <c r="X546" s="36" t="s">
        <v>1490</v>
      </c>
      <c r="Y546" s="46">
        <v>31324</v>
      </c>
      <c r="Z546" s="41"/>
      <c r="AA546" s="42" t="e">
        <f>_xlfn.XLOOKUP(C546,#REF!,#REF!,"",0,1)</f>
        <v>#REF!</v>
      </c>
      <c r="AB546" s="43">
        <f t="shared" si="23"/>
        <v>0</v>
      </c>
    </row>
    <row r="547" spans="1:28" ht="65.5" thickBot="1" x14ac:dyDescent="0.3">
      <c r="A547" s="36">
        <v>546</v>
      </c>
      <c r="B547" s="36" t="s">
        <v>24</v>
      </c>
      <c r="C547" s="36" t="s">
        <v>263</v>
      </c>
      <c r="D547" s="37">
        <v>44536</v>
      </c>
      <c r="E547" s="36" t="s">
        <v>1437</v>
      </c>
      <c r="F547" s="36" t="s">
        <v>1480</v>
      </c>
      <c r="G547" s="36" t="s">
        <v>55</v>
      </c>
      <c r="H547" s="36" t="s">
        <v>1491</v>
      </c>
      <c r="I547" s="36" t="s">
        <v>80</v>
      </c>
      <c r="J547" s="36" t="str">
        <f t="shared" si="22"/>
        <v>LabourLabour Commissioner EstablishmentCClerk typistS8 (25500 - 81100)</v>
      </c>
      <c r="K547" s="36" t="s">
        <v>75</v>
      </c>
      <c r="L547" s="36" t="s">
        <v>228</v>
      </c>
      <c r="M547" s="38" t="s">
        <v>1482</v>
      </c>
      <c r="N547" s="36" t="s">
        <v>70</v>
      </c>
      <c r="O547" s="6" t="s">
        <v>33</v>
      </c>
      <c r="P547" s="7">
        <v>92</v>
      </c>
      <c r="Q547" s="7" t="s">
        <v>100</v>
      </c>
      <c r="R547" s="7">
        <v>49</v>
      </c>
      <c r="S547" s="8"/>
      <c r="T547" s="7" t="s">
        <v>61</v>
      </c>
      <c r="U547" s="36" t="s">
        <v>61</v>
      </c>
      <c r="V547" s="38" t="s">
        <v>1492</v>
      </c>
      <c r="W547" s="36"/>
      <c r="X547" s="36" t="s">
        <v>1493</v>
      </c>
      <c r="Y547" s="36" t="s">
        <v>1494</v>
      </c>
      <c r="Z547" s="41"/>
      <c r="AA547" s="42" t="e">
        <f>_xlfn.XLOOKUP(C547,#REF!,#REF!,"",0,1)</f>
        <v>#REF!</v>
      </c>
      <c r="AB547" s="43">
        <f t="shared" si="23"/>
        <v>0</v>
      </c>
    </row>
    <row r="548" spans="1:28" ht="78.5" thickBot="1" x14ac:dyDescent="0.3">
      <c r="A548" s="36">
        <v>547</v>
      </c>
      <c r="B548" s="36" t="s">
        <v>24</v>
      </c>
      <c r="C548" s="36" t="s">
        <v>263</v>
      </c>
      <c r="D548" s="37">
        <v>44536</v>
      </c>
      <c r="E548" s="36" t="s">
        <v>1437</v>
      </c>
      <c r="F548" s="36" t="s">
        <v>1480</v>
      </c>
      <c r="G548" s="36" t="s">
        <v>55</v>
      </c>
      <c r="H548" s="36" t="s">
        <v>1495</v>
      </c>
      <c r="I548" s="36" t="s">
        <v>80</v>
      </c>
      <c r="J548" s="36" t="str">
        <f t="shared" si="22"/>
        <v>LabourLabour Commissioner EstablishmentCShop Inspector Grade-2S8 (25500 - 81100)</v>
      </c>
      <c r="K548" s="36" t="s">
        <v>1496</v>
      </c>
      <c r="L548" s="36" t="s">
        <v>228</v>
      </c>
      <c r="M548" s="38" t="s">
        <v>1482</v>
      </c>
      <c r="N548" s="36" t="s">
        <v>41</v>
      </c>
      <c r="O548" s="6" t="s">
        <v>33</v>
      </c>
      <c r="P548" s="7">
        <v>80</v>
      </c>
      <c r="Q548" s="7" t="s">
        <v>34</v>
      </c>
      <c r="R548" s="8"/>
      <c r="S548" s="8"/>
      <c r="T548" s="7" t="s">
        <v>61</v>
      </c>
      <c r="U548" s="36" t="s">
        <v>61</v>
      </c>
      <c r="V548" s="38" t="s">
        <v>1482</v>
      </c>
      <c r="W548" s="36"/>
      <c r="X548" s="36" t="s">
        <v>1497</v>
      </c>
      <c r="Y548" s="46">
        <v>41307</v>
      </c>
      <c r="Z548" s="41"/>
      <c r="AA548" s="42" t="e">
        <f>_xlfn.XLOOKUP(C548,#REF!,#REF!,"",0,1)</f>
        <v>#REF!</v>
      </c>
      <c r="AB548" s="43">
        <f t="shared" si="23"/>
        <v>0</v>
      </c>
    </row>
    <row r="549" spans="1:28" ht="65.5" thickBot="1" x14ac:dyDescent="0.3">
      <c r="A549" s="36">
        <v>548</v>
      </c>
      <c r="B549" s="36" t="s">
        <v>24</v>
      </c>
      <c r="C549" s="36" t="s">
        <v>263</v>
      </c>
      <c r="D549" s="37">
        <v>44536</v>
      </c>
      <c r="E549" s="36" t="s">
        <v>1437</v>
      </c>
      <c r="F549" s="36" t="s">
        <v>1480</v>
      </c>
      <c r="G549" s="36" t="s">
        <v>55</v>
      </c>
      <c r="H549" s="36" t="s">
        <v>168</v>
      </c>
      <c r="I549" s="36" t="s">
        <v>80</v>
      </c>
      <c r="J549" s="36" t="str">
        <f t="shared" si="22"/>
        <v>LabourLabour Commissioner EstablishmentCLibrarianS8 (25500 - 81100)</v>
      </c>
      <c r="K549" s="36" t="s">
        <v>170</v>
      </c>
      <c r="L549" s="36" t="s">
        <v>228</v>
      </c>
      <c r="M549" s="38" t="s">
        <v>1498</v>
      </c>
      <c r="N549" s="36" t="s">
        <v>172</v>
      </c>
      <c r="O549" s="6" t="s">
        <v>33</v>
      </c>
      <c r="P549" s="7">
        <v>1</v>
      </c>
      <c r="Q549" s="7" t="s">
        <v>34</v>
      </c>
      <c r="R549" s="8"/>
      <c r="S549" s="8"/>
      <c r="T549" s="7" t="s">
        <v>2395</v>
      </c>
      <c r="U549" s="36" t="s">
        <v>35</v>
      </c>
      <c r="V549" s="38" t="s">
        <v>1498</v>
      </c>
      <c r="W549" s="36"/>
      <c r="X549" s="36" t="s">
        <v>150</v>
      </c>
      <c r="Y549" s="36" t="s">
        <v>150</v>
      </c>
      <c r="Z549" s="41"/>
      <c r="AA549" s="42" t="e">
        <f>_xlfn.XLOOKUP(C549,#REF!,#REF!,"",0,1)</f>
        <v>#REF!</v>
      </c>
      <c r="AB549" s="43">
        <f t="shared" si="23"/>
        <v>0</v>
      </c>
    </row>
    <row r="550" spans="1:28" ht="78.5" thickBot="1" x14ac:dyDescent="0.3">
      <c r="A550" s="36">
        <v>549</v>
      </c>
      <c r="B550" s="36" t="s">
        <v>24</v>
      </c>
      <c r="C550" s="36" t="s">
        <v>263</v>
      </c>
      <c r="D550" s="37">
        <v>44536</v>
      </c>
      <c r="E550" s="36" t="s">
        <v>1437</v>
      </c>
      <c r="F550" s="36" t="s">
        <v>1480</v>
      </c>
      <c r="G550" s="36" t="s">
        <v>55</v>
      </c>
      <c r="H550" s="36" t="s">
        <v>1499</v>
      </c>
      <c r="I550" s="36" t="s">
        <v>80</v>
      </c>
      <c r="J550" s="36" t="str">
        <f t="shared" si="22"/>
        <v>LabourLabour Commissioner EstablishmentCJunior Labour InvestigatorS8 (25500 - 81100)</v>
      </c>
      <c r="K550" s="36" t="s">
        <v>115</v>
      </c>
      <c r="L550" s="36" t="s">
        <v>225</v>
      </c>
      <c r="M550" s="38" t="s">
        <v>1500</v>
      </c>
      <c r="N550" s="36" t="s">
        <v>179</v>
      </c>
      <c r="O550" s="6" t="s">
        <v>33</v>
      </c>
      <c r="P550" s="7">
        <v>15</v>
      </c>
      <c r="Q550" s="7" t="s">
        <v>34</v>
      </c>
      <c r="R550" s="8"/>
      <c r="S550" s="8"/>
      <c r="T550" s="7" t="s">
        <v>61</v>
      </c>
      <c r="U550" s="36" t="s">
        <v>61</v>
      </c>
      <c r="V550" s="38" t="s">
        <v>1501</v>
      </c>
      <c r="W550" s="36"/>
      <c r="X550" s="36" t="s">
        <v>1502</v>
      </c>
      <c r="Y550" s="46">
        <v>30628</v>
      </c>
      <c r="Z550" s="41"/>
      <c r="AA550" s="42" t="e">
        <f>_xlfn.XLOOKUP(C550,#REF!,#REF!,"",0,1)</f>
        <v>#REF!</v>
      </c>
      <c r="AB550" s="43">
        <f t="shared" si="23"/>
        <v>0</v>
      </c>
    </row>
    <row r="551" spans="1:28" ht="65.5" thickBot="1" x14ac:dyDescent="0.3">
      <c r="A551" s="36">
        <v>550</v>
      </c>
      <c r="B551" s="36" t="s">
        <v>24</v>
      </c>
      <c r="C551" s="36" t="s">
        <v>263</v>
      </c>
      <c r="D551" s="37">
        <v>44536</v>
      </c>
      <c r="E551" s="36" t="s">
        <v>1437</v>
      </c>
      <c r="F551" s="36" t="s">
        <v>1480</v>
      </c>
      <c r="G551" s="36" t="s">
        <v>55</v>
      </c>
      <c r="H551" s="36" t="s">
        <v>92</v>
      </c>
      <c r="I551" s="36" t="s">
        <v>80</v>
      </c>
      <c r="J551" s="36" t="str">
        <f t="shared" si="22"/>
        <v>LabourLabour Commissioner EstablishmentCSteno TypistS8 (25500 - 81100)</v>
      </c>
      <c r="K551" s="36" t="s">
        <v>68</v>
      </c>
      <c r="L551" s="36" t="s">
        <v>231</v>
      </c>
      <c r="M551" s="38" t="s">
        <v>1482</v>
      </c>
      <c r="N551" s="36" t="s">
        <v>70</v>
      </c>
      <c r="O551" s="6" t="s">
        <v>33</v>
      </c>
      <c r="P551" s="7">
        <v>9</v>
      </c>
      <c r="Q551" s="7" t="s">
        <v>34</v>
      </c>
      <c r="R551" s="8"/>
      <c r="S551" s="8"/>
      <c r="T551" s="4" t="s">
        <v>3276</v>
      </c>
      <c r="U551" s="36" t="s">
        <v>61</v>
      </c>
      <c r="V551" s="38"/>
      <c r="W551" s="36"/>
      <c r="X551" s="36"/>
      <c r="Y551" s="36"/>
      <c r="Z551" s="41"/>
      <c r="AA551" s="42" t="e">
        <f>_xlfn.XLOOKUP(C551,#REF!,#REF!,"",0,1)</f>
        <v>#REF!</v>
      </c>
      <c r="AB551" s="43">
        <f t="shared" si="23"/>
        <v>0</v>
      </c>
    </row>
    <row r="552" spans="1:28" ht="195.5" thickBot="1" x14ac:dyDescent="0.3">
      <c r="A552" s="36">
        <v>551</v>
      </c>
      <c r="B552" s="36" t="s">
        <v>24</v>
      </c>
      <c r="C552" s="36" t="s">
        <v>263</v>
      </c>
      <c r="D552" s="37">
        <v>45363</v>
      </c>
      <c r="E552" s="36" t="s">
        <v>1437</v>
      </c>
      <c r="F552" s="36" t="s">
        <v>1503</v>
      </c>
      <c r="G552" s="36" t="s">
        <v>42</v>
      </c>
      <c r="H552" s="36" t="s">
        <v>1504</v>
      </c>
      <c r="I552" s="36" t="s">
        <v>737</v>
      </c>
      <c r="J552" s="36" t="str">
        <f t="shared" si="22"/>
        <v>LabourLabour Studies EstablishmentB (Gazetted)Assistant Professor (Labour Studies) BOMAL 10 (57,700 - 1,82,400)</v>
      </c>
      <c r="K552" s="36" t="s">
        <v>738</v>
      </c>
      <c r="L552" s="36" t="s">
        <v>247</v>
      </c>
      <c r="M552" s="38" t="s">
        <v>1505</v>
      </c>
      <c r="N552" s="36"/>
      <c r="O552" s="6" t="s">
        <v>83</v>
      </c>
      <c r="P552" s="7">
        <v>1</v>
      </c>
      <c r="Q552" s="7" t="s">
        <v>34</v>
      </c>
      <c r="R552" s="8"/>
      <c r="S552" s="8"/>
      <c r="T552" s="7" t="s">
        <v>2395</v>
      </c>
      <c r="U552" s="36" t="s">
        <v>1464</v>
      </c>
      <c r="V552" s="38"/>
      <c r="W552" s="36"/>
      <c r="X552" s="36"/>
      <c r="Y552" s="36"/>
      <c r="Z552" s="41"/>
      <c r="AA552" s="42" t="e">
        <f>_xlfn.XLOOKUP(C552,#REF!,#REF!,"",0,1)</f>
        <v>#REF!</v>
      </c>
      <c r="AB552" s="43">
        <f t="shared" si="23"/>
        <v>0</v>
      </c>
    </row>
    <row r="553" spans="1:28" ht="143.5" thickBot="1" x14ac:dyDescent="0.3">
      <c r="A553" s="36">
        <v>552</v>
      </c>
      <c r="B553" s="36" t="s">
        <v>24</v>
      </c>
      <c r="C553" s="36" t="s">
        <v>263</v>
      </c>
      <c r="D553" s="37">
        <v>45363</v>
      </c>
      <c r="E553" s="36" t="s">
        <v>1437</v>
      </c>
      <c r="F553" s="36" t="s">
        <v>1503</v>
      </c>
      <c r="G553" s="36" t="s">
        <v>42</v>
      </c>
      <c r="H553" s="36" t="s">
        <v>1506</v>
      </c>
      <c r="I553" s="36" t="s">
        <v>737</v>
      </c>
      <c r="J553" s="36" t="str">
        <f t="shared" si="22"/>
        <v>LabourLabour Studies EstablishmentB (Gazetted)Assistant Professor (Labour Studies) NAGAL 10 (57,700 - 1,82,400)</v>
      </c>
      <c r="K553" s="36" t="s">
        <v>738</v>
      </c>
      <c r="L553" s="36" t="s">
        <v>247</v>
      </c>
      <c r="M553" s="38" t="s">
        <v>1507</v>
      </c>
      <c r="N553" s="36"/>
      <c r="O553" s="6" t="s">
        <v>83</v>
      </c>
      <c r="P553" s="7">
        <v>2</v>
      </c>
      <c r="Q553" s="7" t="s">
        <v>34</v>
      </c>
      <c r="R553" s="8"/>
      <c r="S553" s="8"/>
      <c r="T553" s="7" t="s">
        <v>35</v>
      </c>
      <c r="U553" s="36" t="s">
        <v>1464</v>
      </c>
      <c r="V553" s="38"/>
      <c r="W553" s="36"/>
      <c r="X553" s="36"/>
      <c r="Y553" s="36"/>
      <c r="Z553" s="41"/>
      <c r="AA553" s="42" t="e">
        <f>_xlfn.XLOOKUP(C553,#REF!,#REF!,"",0,1)</f>
        <v>#REF!</v>
      </c>
      <c r="AB553" s="43">
        <f t="shared" si="23"/>
        <v>0</v>
      </c>
    </row>
    <row r="554" spans="1:28" ht="104.5" thickBot="1" x14ac:dyDescent="0.3">
      <c r="A554" s="36">
        <v>553</v>
      </c>
      <c r="B554" s="36" t="s">
        <v>24</v>
      </c>
      <c r="C554" s="36" t="s">
        <v>263</v>
      </c>
      <c r="D554" s="37">
        <v>45363</v>
      </c>
      <c r="E554" s="36" t="s">
        <v>1437</v>
      </c>
      <c r="F554" s="36" t="s">
        <v>1503</v>
      </c>
      <c r="G554" s="36" t="s">
        <v>42</v>
      </c>
      <c r="H554" s="36" t="s">
        <v>1508</v>
      </c>
      <c r="I554" s="36" t="s">
        <v>44</v>
      </c>
      <c r="J554" s="36" t="str">
        <f t="shared" si="22"/>
        <v>LabourLabour Studies EstablishmentB (Gazetted)Registrar BOMS15 (41800 - 132300)</v>
      </c>
      <c r="K554" s="36" t="s">
        <v>45</v>
      </c>
      <c r="L554" s="36" t="s">
        <v>247</v>
      </c>
      <c r="M554" s="38" t="s">
        <v>1509</v>
      </c>
      <c r="N554" s="36" t="s">
        <v>41</v>
      </c>
      <c r="O554" s="6" t="s">
        <v>33</v>
      </c>
      <c r="P554" s="7">
        <v>1</v>
      </c>
      <c r="Q554" s="7" t="s">
        <v>34</v>
      </c>
      <c r="R554" s="8"/>
      <c r="S554" s="8"/>
      <c r="T554" s="7" t="s">
        <v>2395</v>
      </c>
      <c r="U554" s="36" t="s">
        <v>517</v>
      </c>
      <c r="V554" s="38"/>
      <c r="W554" s="36"/>
      <c r="X554" s="36"/>
      <c r="Y554" s="36"/>
      <c r="Z554" s="41"/>
      <c r="AA554" s="42" t="e">
        <f>_xlfn.XLOOKUP(C554,#REF!,#REF!,"",0,1)</f>
        <v>#REF!</v>
      </c>
      <c r="AB554" s="43">
        <f t="shared" si="23"/>
        <v>0</v>
      </c>
    </row>
    <row r="555" spans="1:28" ht="91.5" thickBot="1" x14ac:dyDescent="0.3">
      <c r="A555" s="36">
        <v>554</v>
      </c>
      <c r="B555" s="36" t="s">
        <v>24</v>
      </c>
      <c r="C555" s="36" t="s">
        <v>263</v>
      </c>
      <c r="D555" s="37">
        <v>45363</v>
      </c>
      <c r="E555" s="36" t="s">
        <v>1437</v>
      </c>
      <c r="F555" s="36" t="s">
        <v>1503</v>
      </c>
      <c r="G555" s="36" t="s">
        <v>55</v>
      </c>
      <c r="H555" s="36" t="s">
        <v>1510</v>
      </c>
      <c r="I555" s="36" t="s">
        <v>67</v>
      </c>
      <c r="J555" s="36" t="str">
        <f t="shared" si="22"/>
        <v>LabourLabour Studies EstablishmentCLibrarian BOMS14 (38600 - 122800)</v>
      </c>
      <c r="K555" s="36" t="s">
        <v>170</v>
      </c>
      <c r="L555" s="36" t="s">
        <v>228</v>
      </c>
      <c r="M555" s="38" t="s">
        <v>1511</v>
      </c>
      <c r="N555" s="36" t="s">
        <v>172</v>
      </c>
      <c r="O555" s="6" t="s">
        <v>33</v>
      </c>
      <c r="P555" s="7">
        <v>1</v>
      </c>
      <c r="Q555" s="7" t="s">
        <v>34</v>
      </c>
      <c r="R555" s="8"/>
      <c r="S555" s="8"/>
      <c r="T555" s="7" t="s">
        <v>2395</v>
      </c>
      <c r="U555" s="36" t="s">
        <v>1464</v>
      </c>
      <c r="V555" s="38" t="s">
        <v>1511</v>
      </c>
      <c r="W555" s="36"/>
      <c r="X555" s="36" t="s">
        <v>150</v>
      </c>
      <c r="Y555" s="36" t="s">
        <v>150</v>
      </c>
      <c r="Z555" s="41"/>
      <c r="AA555" s="42" t="e">
        <f>_xlfn.XLOOKUP(C555,#REF!,#REF!,"",0,1)</f>
        <v>#REF!</v>
      </c>
      <c r="AB555" s="43">
        <f t="shared" si="23"/>
        <v>0</v>
      </c>
    </row>
    <row r="556" spans="1:28" ht="91.5" thickBot="1" x14ac:dyDescent="0.3">
      <c r="A556" s="36">
        <v>555</v>
      </c>
      <c r="B556" s="36" t="s">
        <v>24</v>
      </c>
      <c r="C556" s="36" t="s">
        <v>263</v>
      </c>
      <c r="D556" s="37">
        <v>45363</v>
      </c>
      <c r="E556" s="36" t="s">
        <v>1437</v>
      </c>
      <c r="F556" s="36" t="s">
        <v>1503</v>
      </c>
      <c r="G556" s="36" t="s">
        <v>55</v>
      </c>
      <c r="H556" s="36" t="s">
        <v>1512</v>
      </c>
      <c r="I556" s="36" t="s">
        <v>67</v>
      </c>
      <c r="J556" s="36" t="str">
        <f t="shared" si="22"/>
        <v>LabourLabour Studies EstablishmentCLibrarian NAGS14 (38600 - 122800)</v>
      </c>
      <c r="K556" s="36" t="s">
        <v>170</v>
      </c>
      <c r="L556" s="36" t="s">
        <v>228</v>
      </c>
      <c r="M556" s="38" t="s">
        <v>1513</v>
      </c>
      <c r="N556" s="36" t="s">
        <v>172</v>
      </c>
      <c r="O556" s="6" t="s">
        <v>33</v>
      </c>
      <c r="P556" s="7">
        <v>1</v>
      </c>
      <c r="Q556" s="7" t="s">
        <v>34</v>
      </c>
      <c r="R556" s="8"/>
      <c r="S556" s="8"/>
      <c r="T556" s="7" t="s">
        <v>2395</v>
      </c>
      <c r="U556" s="36" t="s">
        <v>1464</v>
      </c>
      <c r="V556" s="38" t="s">
        <v>1513</v>
      </c>
      <c r="W556" s="36"/>
      <c r="X556" s="36" t="s">
        <v>150</v>
      </c>
      <c r="Y556" s="36" t="s">
        <v>150</v>
      </c>
      <c r="Z556" s="41"/>
      <c r="AA556" s="42" t="e">
        <f>_xlfn.XLOOKUP(C556,#REF!,#REF!,"",0,1)</f>
        <v>#REF!</v>
      </c>
      <c r="AB556" s="43">
        <f t="shared" si="23"/>
        <v>0</v>
      </c>
    </row>
    <row r="557" spans="1:28" ht="91.5" thickBot="1" x14ac:dyDescent="0.3">
      <c r="A557" s="36">
        <v>556</v>
      </c>
      <c r="B557" s="36" t="s">
        <v>24</v>
      </c>
      <c r="C557" s="36" t="s">
        <v>263</v>
      </c>
      <c r="D557" s="37">
        <v>45363</v>
      </c>
      <c r="E557" s="36" t="s">
        <v>1437</v>
      </c>
      <c r="F557" s="36" t="s">
        <v>1503</v>
      </c>
      <c r="G557" s="36" t="s">
        <v>55</v>
      </c>
      <c r="H557" s="36" t="s">
        <v>1514</v>
      </c>
      <c r="I557" s="36" t="s">
        <v>74</v>
      </c>
      <c r="J557" s="36" t="str">
        <f t="shared" si="22"/>
        <v>LabourLabour Studies EstablishmentCClerk Typist BOMS6 (19900 - 63200)</v>
      </c>
      <c r="K557" s="36" t="s">
        <v>75</v>
      </c>
      <c r="L557" s="36" t="s">
        <v>228</v>
      </c>
      <c r="M557" s="38" t="s">
        <v>449</v>
      </c>
      <c r="N557" s="36" t="s">
        <v>70</v>
      </c>
      <c r="O557" s="6" t="s">
        <v>33</v>
      </c>
      <c r="P557" s="7">
        <v>0</v>
      </c>
      <c r="Q557" s="7" t="s">
        <v>34</v>
      </c>
      <c r="R557" s="8"/>
      <c r="S557" s="8"/>
      <c r="T557" s="7" t="s">
        <v>2395</v>
      </c>
      <c r="U557" s="36" t="s">
        <v>1515</v>
      </c>
      <c r="V557" s="38" t="s">
        <v>125</v>
      </c>
      <c r="W557" s="36"/>
      <c r="X557" s="36" t="s">
        <v>77</v>
      </c>
      <c r="Y557" s="36" t="s">
        <v>78</v>
      </c>
      <c r="Z557" s="41"/>
      <c r="AA557" s="42" t="e">
        <f>_xlfn.XLOOKUP(C557,#REF!,#REF!,"",0,1)</f>
        <v>#REF!</v>
      </c>
      <c r="AB557" s="43">
        <f t="shared" si="23"/>
        <v>0</v>
      </c>
    </row>
    <row r="558" spans="1:28" ht="91.5" thickBot="1" x14ac:dyDescent="0.3">
      <c r="A558" s="36">
        <v>557</v>
      </c>
      <c r="B558" s="36" t="s">
        <v>24</v>
      </c>
      <c r="C558" s="36" t="s">
        <v>263</v>
      </c>
      <c r="D558" s="37">
        <v>45363</v>
      </c>
      <c r="E558" s="36" t="s">
        <v>1437</v>
      </c>
      <c r="F558" s="36" t="s">
        <v>1503</v>
      </c>
      <c r="G558" s="36" t="s">
        <v>55</v>
      </c>
      <c r="H558" s="36" t="s">
        <v>1516</v>
      </c>
      <c r="I558" s="36" t="s">
        <v>74</v>
      </c>
      <c r="J558" s="36" t="str">
        <f t="shared" si="22"/>
        <v>LabourLabour Studies EstablishmentCClerk Typist NAGS6 (19900 - 63200)</v>
      </c>
      <c r="K558" s="36" t="s">
        <v>75</v>
      </c>
      <c r="L558" s="36" t="s">
        <v>228</v>
      </c>
      <c r="M558" s="38" t="s">
        <v>1517</v>
      </c>
      <c r="N558" s="36" t="s">
        <v>70</v>
      </c>
      <c r="O558" s="6" t="s">
        <v>33</v>
      </c>
      <c r="P558" s="7">
        <v>0</v>
      </c>
      <c r="Q558" s="7" t="s">
        <v>34</v>
      </c>
      <c r="R558" s="8"/>
      <c r="S558" s="8"/>
      <c r="T558" s="7" t="s">
        <v>2395</v>
      </c>
      <c r="U558" s="36" t="s">
        <v>1518</v>
      </c>
      <c r="V558" s="38" t="s">
        <v>125</v>
      </c>
      <c r="W558" s="36"/>
      <c r="X558" s="36" t="s">
        <v>77</v>
      </c>
      <c r="Y558" s="36" t="s">
        <v>78</v>
      </c>
      <c r="Z558" s="41"/>
      <c r="AA558" s="42" t="e">
        <f>_xlfn.XLOOKUP(C558,#REF!,#REF!,"",0,1)</f>
        <v>#REF!</v>
      </c>
      <c r="AB558" s="43">
        <f t="shared" si="23"/>
        <v>0</v>
      </c>
    </row>
    <row r="559" spans="1:28" ht="182.5" thickBot="1" x14ac:dyDescent="0.3">
      <c r="A559" s="36">
        <v>558</v>
      </c>
      <c r="B559" s="36" t="s">
        <v>102</v>
      </c>
      <c r="C559" s="36" t="s">
        <v>263</v>
      </c>
      <c r="D559" s="37">
        <v>45363</v>
      </c>
      <c r="E559" s="36" t="s">
        <v>1437</v>
      </c>
      <c r="F559" s="36" t="s">
        <v>1503</v>
      </c>
      <c r="G559" s="36" t="s">
        <v>55</v>
      </c>
      <c r="H559" s="36" t="s">
        <v>1519</v>
      </c>
      <c r="I559" s="36" t="s">
        <v>74</v>
      </c>
      <c r="J559" s="36" t="str">
        <f t="shared" si="22"/>
        <v>LabourLabour Studies EstablishmentCClerk Typist/Junior Clerk/Lower Division Clerk/Typist/Clerk Cum Telephone Operator
 NAG and BOMS6 (19900 - 63200)</v>
      </c>
      <c r="K559" s="36"/>
      <c r="L559" s="36"/>
      <c r="M559" s="38" t="s">
        <v>1520</v>
      </c>
      <c r="N559" s="36" t="s">
        <v>1521</v>
      </c>
      <c r="O559" s="6" t="s">
        <v>33</v>
      </c>
      <c r="P559" s="17"/>
      <c r="Q559" s="17" t="s">
        <v>34</v>
      </c>
      <c r="R559" s="19"/>
      <c r="S559" s="19"/>
      <c r="T559" s="4" t="s">
        <v>3276</v>
      </c>
      <c r="U559" s="55" t="s">
        <v>35</v>
      </c>
      <c r="V559" s="38"/>
      <c r="W559" s="36"/>
      <c r="X559" s="36"/>
      <c r="Y559" s="36"/>
      <c r="Z559" s="41"/>
      <c r="AA559" s="42" t="e">
        <f>_xlfn.XLOOKUP(C559,#REF!,#REF!,"",0,1)</f>
        <v>#REF!</v>
      </c>
      <c r="AB559" s="43">
        <f t="shared" ref="AB559:AB577" si="24">IFERROR(FLOOR(P559*AA559,1),0)</f>
        <v>0</v>
      </c>
    </row>
    <row r="560" spans="1:28" ht="195.5" thickBot="1" x14ac:dyDescent="0.3">
      <c r="A560" s="36">
        <v>559</v>
      </c>
      <c r="B560" s="36" t="s">
        <v>24</v>
      </c>
      <c r="C560" s="36" t="s">
        <v>263</v>
      </c>
      <c r="D560" s="37">
        <v>45363</v>
      </c>
      <c r="E560" s="36" t="s">
        <v>1437</v>
      </c>
      <c r="F560" s="36" t="s">
        <v>1503</v>
      </c>
      <c r="G560" s="36" t="s">
        <v>55</v>
      </c>
      <c r="H560" s="36" t="s">
        <v>1522</v>
      </c>
      <c r="I560" s="36" t="s">
        <v>80</v>
      </c>
      <c r="J560" s="36" t="str">
        <f t="shared" si="22"/>
        <v>LabourLabour Studies EstablishmentCSteno Typist NAGS8 (25500 - 81100)</v>
      </c>
      <c r="K560" s="36" t="s">
        <v>68</v>
      </c>
      <c r="L560" s="36" t="s">
        <v>231</v>
      </c>
      <c r="M560" s="38" t="s">
        <v>1523</v>
      </c>
      <c r="N560" s="36" t="s">
        <v>70</v>
      </c>
      <c r="O560" s="6" t="s">
        <v>33</v>
      </c>
      <c r="P560" s="7">
        <v>1</v>
      </c>
      <c r="Q560" s="7" t="s">
        <v>34</v>
      </c>
      <c r="R560" s="8"/>
      <c r="S560" s="8"/>
      <c r="T560" s="4" t="s">
        <v>3276</v>
      </c>
      <c r="U560" s="36" t="s">
        <v>35</v>
      </c>
      <c r="V560" s="38"/>
      <c r="W560" s="36"/>
      <c r="X560" s="36"/>
      <c r="Y560" s="36"/>
      <c r="Z560" s="41"/>
      <c r="AA560" s="42" t="e">
        <f>_xlfn.XLOOKUP(C560,#REF!,#REF!,"",0,1)</f>
        <v>#REF!</v>
      </c>
      <c r="AB560" s="43">
        <f t="shared" si="24"/>
        <v>0</v>
      </c>
    </row>
    <row r="561" spans="1:28" ht="78.5" thickBot="1" x14ac:dyDescent="0.3">
      <c r="A561" s="36">
        <v>560</v>
      </c>
      <c r="B561" s="36" t="s">
        <v>24</v>
      </c>
      <c r="C561" s="36" t="s">
        <v>263</v>
      </c>
      <c r="D561" s="37">
        <v>45363</v>
      </c>
      <c r="E561" s="36" t="s">
        <v>1437</v>
      </c>
      <c r="F561" s="36" t="s">
        <v>1503</v>
      </c>
      <c r="G561" s="36" t="s">
        <v>55</v>
      </c>
      <c r="H561" s="36" t="s">
        <v>1524</v>
      </c>
      <c r="I561" s="36" t="s">
        <v>80</v>
      </c>
      <c r="J561" s="36" t="str">
        <f t="shared" si="22"/>
        <v>LabourLabour Studies EstablishmentCSteno Typist BOMS8 (25500 - 81100)</v>
      </c>
      <c r="K561" s="36" t="s">
        <v>68</v>
      </c>
      <c r="L561" s="36" t="s">
        <v>231</v>
      </c>
      <c r="M561" s="38" t="s">
        <v>1525</v>
      </c>
      <c r="N561" s="36" t="s">
        <v>70</v>
      </c>
      <c r="O561" s="6" t="s">
        <v>33</v>
      </c>
      <c r="P561" s="7">
        <v>0</v>
      </c>
      <c r="Q561" s="7" t="s">
        <v>34</v>
      </c>
      <c r="R561" s="8"/>
      <c r="S561" s="8"/>
      <c r="T561" s="4" t="s">
        <v>3276</v>
      </c>
      <c r="U561" s="36" t="s">
        <v>35</v>
      </c>
      <c r="V561" s="38"/>
      <c r="W561" s="36"/>
      <c r="X561" s="36"/>
      <c r="Y561" s="36"/>
      <c r="Z561" s="41"/>
      <c r="AA561" s="42" t="e">
        <f>_xlfn.XLOOKUP(C561,#REF!,#REF!,"",0,1)</f>
        <v>#REF!</v>
      </c>
      <c r="AB561" s="43">
        <f t="shared" si="24"/>
        <v>0</v>
      </c>
    </row>
    <row r="562" spans="1:28" ht="182.5" thickBot="1" x14ac:dyDescent="0.3">
      <c r="A562" s="36">
        <v>561</v>
      </c>
      <c r="B562" s="36" t="s">
        <v>24</v>
      </c>
      <c r="C562" s="36" t="s">
        <v>263</v>
      </c>
      <c r="D562" s="37">
        <v>44669</v>
      </c>
      <c r="E562" s="36" t="s">
        <v>1526</v>
      </c>
      <c r="F562" s="36" t="s">
        <v>1527</v>
      </c>
      <c r="G562" s="36" t="s">
        <v>28</v>
      </c>
      <c r="H562" s="36" t="s">
        <v>1528</v>
      </c>
      <c r="I562" s="36" t="s">
        <v>754</v>
      </c>
      <c r="J562" s="36" t="str">
        <f t="shared" si="22"/>
        <v>Law and JudiciaryAdministrator General and Offcial Trustee of Maharashtra State, Mumbai EstablishmentAAdministrative General And Government TrustyS27 (118500 - 214100)</v>
      </c>
      <c r="K562" s="36"/>
      <c r="L562" s="36" t="s">
        <v>238</v>
      </c>
      <c r="M562" s="38" t="s">
        <v>1218</v>
      </c>
      <c r="N562" s="36"/>
      <c r="O562" s="9"/>
      <c r="P562" s="7">
        <v>0</v>
      </c>
      <c r="Q562" s="7" t="s">
        <v>34</v>
      </c>
      <c r="R562" s="8"/>
      <c r="S562" s="8"/>
      <c r="T562" s="7" t="s">
        <v>2395</v>
      </c>
      <c r="U562" s="36" t="s">
        <v>36</v>
      </c>
      <c r="V562" s="38"/>
      <c r="W562" s="36"/>
      <c r="X562" s="36"/>
      <c r="Y562" s="36"/>
      <c r="Z562" s="41"/>
      <c r="AA562" s="42" t="e">
        <f>_xlfn.XLOOKUP(C562,#REF!,#REF!,"",0,1)</f>
        <v>#REF!</v>
      </c>
      <c r="AB562" s="43">
        <f t="shared" si="24"/>
        <v>0</v>
      </c>
    </row>
    <row r="563" spans="1:28" ht="182.5" thickBot="1" x14ac:dyDescent="0.3">
      <c r="A563" s="36">
        <v>562</v>
      </c>
      <c r="B563" s="36" t="s">
        <v>24</v>
      </c>
      <c r="C563" s="36" t="s">
        <v>263</v>
      </c>
      <c r="D563" s="37">
        <v>44669</v>
      </c>
      <c r="E563" s="36" t="s">
        <v>1526</v>
      </c>
      <c r="F563" s="36" t="s">
        <v>1527</v>
      </c>
      <c r="G563" s="36" t="s">
        <v>65</v>
      </c>
      <c r="H563" s="36" t="s">
        <v>1230</v>
      </c>
      <c r="I563" s="36" t="s">
        <v>67</v>
      </c>
      <c r="J563" s="36" t="str">
        <f t="shared" si="22"/>
        <v>Law and JudiciaryAdministrator General and Offcial Trustee of Maharashtra State, Mumbai EstablishmentB (Non Gazetted)Stenographer Lower GradeS14 (38600 - 122800)</v>
      </c>
      <c r="K563" s="36" t="s">
        <v>68</v>
      </c>
      <c r="L563" s="36" t="s">
        <v>1529</v>
      </c>
      <c r="M563" s="38" t="s">
        <v>1530</v>
      </c>
      <c r="N563" s="36" t="s">
        <v>70</v>
      </c>
      <c r="O563" s="6" t="s">
        <v>33</v>
      </c>
      <c r="P563" s="7">
        <v>0</v>
      </c>
      <c r="Q563" s="7" t="s">
        <v>34</v>
      </c>
      <c r="R563" s="8"/>
      <c r="S563" s="8"/>
      <c r="T563" s="7" t="s">
        <v>2395</v>
      </c>
      <c r="U563" s="36" t="s">
        <v>36</v>
      </c>
      <c r="V563" s="38"/>
      <c r="W563" s="36"/>
      <c r="X563" s="36"/>
      <c r="Y563" s="36"/>
      <c r="Z563" s="41"/>
      <c r="AA563" s="42" t="e">
        <f>_xlfn.XLOOKUP(C563,#REF!,#REF!,"",0,1)</f>
        <v>#REF!</v>
      </c>
      <c r="AB563" s="43">
        <f t="shared" si="24"/>
        <v>0</v>
      </c>
    </row>
    <row r="564" spans="1:28" ht="130.5" thickBot="1" x14ac:dyDescent="0.3">
      <c r="A564" s="36">
        <v>563</v>
      </c>
      <c r="B564" s="36" t="s">
        <v>24</v>
      </c>
      <c r="C564" s="36" t="s">
        <v>263</v>
      </c>
      <c r="D564" s="37">
        <v>44669</v>
      </c>
      <c r="E564" s="36" t="s">
        <v>1526</v>
      </c>
      <c r="F564" s="36" t="s">
        <v>1527</v>
      </c>
      <c r="G564" s="36" t="s">
        <v>55</v>
      </c>
      <c r="H564" s="36" t="s">
        <v>73</v>
      </c>
      <c r="I564" s="36" t="s">
        <v>74</v>
      </c>
      <c r="J564" s="36" t="str">
        <f t="shared" si="22"/>
        <v>Law and JudiciaryAdministrator General and Offcial Trustee of Maharashtra State, Mumbai EstablishmentCClerk TypistS6 (19900 - 63200)</v>
      </c>
      <c r="K564" s="36" t="s">
        <v>75</v>
      </c>
      <c r="L564" s="36" t="s">
        <v>228</v>
      </c>
      <c r="M564" s="38" t="s">
        <v>1531</v>
      </c>
      <c r="N564" s="36" t="s">
        <v>70</v>
      </c>
      <c r="O564" s="6" t="s">
        <v>33</v>
      </c>
      <c r="P564" s="7">
        <v>2</v>
      </c>
      <c r="Q564" s="7" t="s">
        <v>34</v>
      </c>
      <c r="R564" s="8"/>
      <c r="S564" s="8"/>
      <c r="T564" s="7" t="s">
        <v>61</v>
      </c>
      <c r="U564" s="36" t="s">
        <v>36</v>
      </c>
      <c r="V564" s="38" t="s">
        <v>125</v>
      </c>
      <c r="W564" s="36"/>
      <c r="X564" s="36" t="s">
        <v>77</v>
      </c>
      <c r="Y564" s="36" t="s">
        <v>78</v>
      </c>
      <c r="Z564" s="41"/>
      <c r="AA564" s="42" t="e">
        <f>_xlfn.XLOOKUP(C564,#REF!,#REF!,"",0,1)</f>
        <v>#REF!</v>
      </c>
      <c r="AB564" s="43">
        <f t="shared" si="24"/>
        <v>0</v>
      </c>
    </row>
    <row r="565" spans="1:28" ht="78.5" thickBot="1" x14ac:dyDescent="0.3">
      <c r="A565" s="36">
        <v>564</v>
      </c>
      <c r="B565" s="36" t="s">
        <v>983</v>
      </c>
      <c r="C565" s="36" t="s">
        <v>263</v>
      </c>
      <c r="D565" s="37">
        <v>45623</v>
      </c>
      <c r="E565" s="36" t="s">
        <v>1526</v>
      </c>
      <c r="F565" s="36" t="s">
        <v>1532</v>
      </c>
      <c r="G565" s="36" t="s">
        <v>28</v>
      </c>
      <c r="H565" s="36" t="s">
        <v>1533</v>
      </c>
      <c r="I565" s="36"/>
      <c r="J565" s="36" t="str">
        <f t="shared" si="22"/>
        <v>Law and JudiciaryGovernment Pleader Office EstablishmentADistrict Judge</v>
      </c>
      <c r="K565" s="36" t="s">
        <v>1534</v>
      </c>
      <c r="L565" s="36" t="s">
        <v>247</v>
      </c>
      <c r="M565" s="38"/>
      <c r="N565" s="36" t="s">
        <v>41</v>
      </c>
      <c r="O565" s="6" t="s">
        <v>33</v>
      </c>
      <c r="P565" s="7">
        <v>662</v>
      </c>
      <c r="Q565" s="7" t="s">
        <v>34</v>
      </c>
      <c r="R565" s="8"/>
      <c r="S565" s="8"/>
      <c r="T565" s="7" t="s">
        <v>35</v>
      </c>
      <c r="U565" s="36" t="s">
        <v>1535</v>
      </c>
      <c r="V565" s="38"/>
      <c r="W565" s="36"/>
      <c r="X565" s="36"/>
      <c r="Y565" s="36"/>
      <c r="Z565" s="41"/>
      <c r="AA565" s="42" t="e">
        <f>_xlfn.XLOOKUP(C565,#REF!,#REF!,"",0,1)</f>
        <v>#REF!</v>
      </c>
      <c r="AB565" s="43">
        <f t="shared" si="24"/>
        <v>0</v>
      </c>
    </row>
    <row r="566" spans="1:28" ht="143.5" thickBot="1" x14ac:dyDescent="0.3">
      <c r="A566" s="36">
        <v>565</v>
      </c>
      <c r="B566" s="36" t="s">
        <v>24</v>
      </c>
      <c r="C566" s="36" t="s">
        <v>263</v>
      </c>
      <c r="D566" s="37">
        <v>45623</v>
      </c>
      <c r="E566" s="36" t="s">
        <v>1526</v>
      </c>
      <c r="F566" s="36" t="s">
        <v>1532</v>
      </c>
      <c r="G566" s="36" t="s">
        <v>65</v>
      </c>
      <c r="H566" s="36" t="s">
        <v>1536</v>
      </c>
      <c r="I566" s="36" t="s">
        <v>44</v>
      </c>
      <c r="J566" s="36" t="str">
        <f t="shared" si="22"/>
        <v>Law and JudiciaryGovernment Pleader Office EstablishmentB (Non Gazetted)Lower Grade Steno GrapherS15 (41800 - 132300)</v>
      </c>
      <c r="K566" s="36" t="s">
        <v>68</v>
      </c>
      <c r="L566" s="36" t="s">
        <v>1529</v>
      </c>
      <c r="M566" s="38" t="s">
        <v>1537</v>
      </c>
      <c r="N566" s="36" t="s">
        <v>70</v>
      </c>
      <c r="O566" s="6" t="s">
        <v>33</v>
      </c>
      <c r="P566" s="7">
        <v>58</v>
      </c>
      <c r="Q566" s="7" t="s">
        <v>34</v>
      </c>
      <c r="R566" s="7">
        <v>12</v>
      </c>
      <c r="S566" s="8"/>
      <c r="T566" s="7" t="s">
        <v>35</v>
      </c>
      <c r="U566" s="36" t="s">
        <v>1535</v>
      </c>
      <c r="V566" s="38"/>
      <c r="W566" s="36"/>
      <c r="X566" s="36"/>
      <c r="Y566" s="36"/>
      <c r="Z566" s="41"/>
      <c r="AA566" s="42" t="e">
        <f>_xlfn.XLOOKUP(C566,#REF!,#REF!,"",0,1)</f>
        <v>#REF!</v>
      </c>
      <c r="AB566" s="43">
        <f t="shared" si="24"/>
        <v>0</v>
      </c>
    </row>
    <row r="567" spans="1:28" ht="130.5" thickBot="1" x14ac:dyDescent="0.3">
      <c r="A567" s="36">
        <v>566</v>
      </c>
      <c r="B567" s="36" t="s">
        <v>24</v>
      </c>
      <c r="C567" s="36" t="s">
        <v>263</v>
      </c>
      <c r="D567" s="37">
        <v>45623</v>
      </c>
      <c r="E567" s="36" t="s">
        <v>1526</v>
      </c>
      <c r="F567" s="36" t="s">
        <v>1532</v>
      </c>
      <c r="G567" s="36" t="s">
        <v>28</v>
      </c>
      <c r="H567" s="36" t="s">
        <v>1538</v>
      </c>
      <c r="I567" s="36"/>
      <c r="J567" s="36" t="str">
        <f t="shared" si="22"/>
        <v>Law and JudiciaryGovernment Pleader Office EstablishmentACivil Judge Junior Division and Judicial Magistrate First Class</v>
      </c>
      <c r="K567" s="36" t="s">
        <v>1534</v>
      </c>
      <c r="L567" s="36" t="s">
        <v>247</v>
      </c>
      <c r="M567" s="38"/>
      <c r="N567" s="36" t="s">
        <v>41</v>
      </c>
      <c r="O567" s="6" t="s">
        <v>33</v>
      </c>
      <c r="P567" s="7">
        <v>1801</v>
      </c>
      <c r="Q567" s="7" t="s">
        <v>100</v>
      </c>
      <c r="R567" s="7">
        <v>632</v>
      </c>
      <c r="S567" s="7" t="s">
        <v>3247</v>
      </c>
      <c r="T567" s="7" t="s">
        <v>35</v>
      </c>
      <c r="U567" s="36" t="s">
        <v>1535</v>
      </c>
      <c r="V567" s="38"/>
      <c r="W567" s="36"/>
      <c r="X567" s="36"/>
      <c r="Y567" s="36"/>
      <c r="Z567" s="41"/>
      <c r="AA567" s="42" t="e">
        <f>_xlfn.XLOOKUP(C567,#REF!,#REF!,"",0,1)</f>
        <v>#REF!</v>
      </c>
      <c r="AB567" s="43">
        <f t="shared" si="24"/>
        <v>0</v>
      </c>
    </row>
    <row r="568" spans="1:28" ht="143.5" thickBot="1" x14ac:dyDescent="0.3">
      <c r="A568" s="36">
        <v>567</v>
      </c>
      <c r="B568" s="36" t="s">
        <v>24</v>
      </c>
      <c r="C568" s="36" t="s">
        <v>263</v>
      </c>
      <c r="D568" s="37">
        <v>45623</v>
      </c>
      <c r="E568" s="36" t="s">
        <v>1526</v>
      </c>
      <c r="F568" s="36" t="s">
        <v>1532</v>
      </c>
      <c r="G568" s="36" t="s">
        <v>65</v>
      </c>
      <c r="H568" s="36" t="s">
        <v>1539</v>
      </c>
      <c r="I568" s="36" t="s">
        <v>54</v>
      </c>
      <c r="J568" s="36" t="str">
        <f t="shared" si="22"/>
        <v>Law and JudiciaryGovernment Pleader Office EstablishmentB (Non Gazetted)Higher Grade Steno GrapherS16 (44900 - 142400)</v>
      </c>
      <c r="K568" s="36" t="s">
        <v>68</v>
      </c>
      <c r="L568" s="36" t="s">
        <v>1529</v>
      </c>
      <c r="M568" s="38" t="s">
        <v>1540</v>
      </c>
      <c r="N568" s="36" t="s">
        <v>70</v>
      </c>
      <c r="O568" s="6" t="s">
        <v>33</v>
      </c>
      <c r="P568" s="7">
        <v>12</v>
      </c>
      <c r="Q568" s="7" t="s">
        <v>34</v>
      </c>
      <c r="R568" s="7">
        <v>6</v>
      </c>
      <c r="S568" s="8"/>
      <c r="T568" s="7" t="s">
        <v>35</v>
      </c>
      <c r="U568" s="36" t="s">
        <v>1535</v>
      </c>
      <c r="V568" s="38"/>
      <c r="W568" s="36"/>
      <c r="X568" s="36"/>
      <c r="Y568" s="36"/>
      <c r="Z568" s="41"/>
      <c r="AA568" s="42" t="e">
        <f>_xlfn.XLOOKUP(C568,#REF!,#REF!,"",0,1)</f>
        <v>#REF!</v>
      </c>
      <c r="AB568" s="43">
        <f t="shared" si="24"/>
        <v>0</v>
      </c>
    </row>
    <row r="569" spans="1:28" ht="104.5" thickBot="1" x14ac:dyDescent="0.3">
      <c r="A569" s="36">
        <v>568</v>
      </c>
      <c r="B569" s="36" t="s">
        <v>24</v>
      </c>
      <c r="C569" s="36" t="s">
        <v>263</v>
      </c>
      <c r="D569" s="37">
        <v>45623</v>
      </c>
      <c r="E569" s="36" t="s">
        <v>1526</v>
      </c>
      <c r="F569" s="36" t="s">
        <v>1532</v>
      </c>
      <c r="G569" s="36" t="s">
        <v>55</v>
      </c>
      <c r="H569" s="36" t="s">
        <v>706</v>
      </c>
      <c r="I569" s="36" t="s">
        <v>276</v>
      </c>
      <c r="J569" s="36" t="str">
        <f t="shared" si="22"/>
        <v>Law and JudiciaryGovernment Pleader Office EstablishmentCAssistant LibrarianS10 (29200 - 92300)</v>
      </c>
      <c r="K569" s="36" t="s">
        <v>170</v>
      </c>
      <c r="L569" s="36" t="s">
        <v>228</v>
      </c>
      <c r="M569" s="38" t="s">
        <v>1541</v>
      </c>
      <c r="N569" s="36" t="s">
        <v>172</v>
      </c>
      <c r="O569" s="6" t="s">
        <v>33</v>
      </c>
      <c r="P569" s="7">
        <v>1</v>
      </c>
      <c r="Q569" s="7" t="s">
        <v>34</v>
      </c>
      <c r="R569" s="8"/>
      <c r="S569" s="8"/>
      <c r="T569" s="7" t="s">
        <v>2395</v>
      </c>
      <c r="U569" s="36" t="s">
        <v>1535</v>
      </c>
      <c r="V569" s="38" t="s">
        <v>1542</v>
      </c>
      <c r="W569" s="36"/>
      <c r="X569" s="36" t="s">
        <v>654</v>
      </c>
      <c r="Y569" s="36" t="s">
        <v>655</v>
      </c>
      <c r="Z569" s="41"/>
      <c r="AA569" s="42" t="e">
        <f>_xlfn.XLOOKUP(C569,#REF!,#REF!,"",0,1)</f>
        <v>#REF!</v>
      </c>
      <c r="AB569" s="43">
        <f t="shared" si="24"/>
        <v>0</v>
      </c>
    </row>
    <row r="570" spans="1:28" ht="91.5" thickBot="1" x14ac:dyDescent="0.3">
      <c r="A570" s="36">
        <v>569</v>
      </c>
      <c r="B570" s="36" t="s">
        <v>24</v>
      </c>
      <c r="C570" s="36" t="s">
        <v>263</v>
      </c>
      <c r="D570" s="37">
        <v>45623</v>
      </c>
      <c r="E570" s="36" t="s">
        <v>1526</v>
      </c>
      <c r="F570" s="36" t="s">
        <v>1532</v>
      </c>
      <c r="G570" s="36" t="s">
        <v>55</v>
      </c>
      <c r="H570" s="36" t="s">
        <v>168</v>
      </c>
      <c r="I570" s="36" t="s">
        <v>276</v>
      </c>
      <c r="J570" s="36" t="str">
        <f t="shared" si="22"/>
        <v>Law and JudiciaryGovernment Pleader Office EstablishmentCLibrarianS10 (29200 - 92300)</v>
      </c>
      <c r="K570" s="36" t="s">
        <v>170</v>
      </c>
      <c r="L570" s="36" t="s">
        <v>228</v>
      </c>
      <c r="M570" s="38" t="s">
        <v>1543</v>
      </c>
      <c r="N570" s="36" t="s">
        <v>172</v>
      </c>
      <c r="O570" s="6" t="s">
        <v>33</v>
      </c>
      <c r="P570" s="7">
        <v>2</v>
      </c>
      <c r="Q570" s="7" t="s">
        <v>34</v>
      </c>
      <c r="R570" s="8"/>
      <c r="S570" s="8"/>
      <c r="T570" s="7" t="s">
        <v>61</v>
      </c>
      <c r="U570" s="36" t="s">
        <v>1535</v>
      </c>
      <c r="V570" s="38" t="s">
        <v>1544</v>
      </c>
      <c r="W570" s="36"/>
      <c r="X570" s="36" t="s">
        <v>654</v>
      </c>
      <c r="Y570" s="36" t="s">
        <v>655</v>
      </c>
      <c r="Z570" s="41"/>
      <c r="AA570" s="42" t="e">
        <f>_xlfn.XLOOKUP(C570,#REF!,#REF!,"",0,1)</f>
        <v>#REF!</v>
      </c>
      <c r="AB570" s="43">
        <f t="shared" si="24"/>
        <v>0</v>
      </c>
    </row>
    <row r="571" spans="1:28" ht="117.5" thickBot="1" x14ac:dyDescent="0.3">
      <c r="A571" s="36">
        <v>570</v>
      </c>
      <c r="B571" s="36" t="s">
        <v>24</v>
      </c>
      <c r="C571" s="36" t="s">
        <v>263</v>
      </c>
      <c r="D571" s="37">
        <v>45623</v>
      </c>
      <c r="E571" s="36" t="s">
        <v>1526</v>
      </c>
      <c r="F571" s="36" t="s">
        <v>1532</v>
      </c>
      <c r="G571" s="36" t="s">
        <v>55</v>
      </c>
      <c r="H571" s="36" t="s">
        <v>1545</v>
      </c>
      <c r="I571" s="36" t="s">
        <v>276</v>
      </c>
      <c r="J571" s="36" t="str">
        <f t="shared" si="22"/>
        <v>Law and JudiciaryGovernment Pleader Office EstablishmentCJunior Translator and InterpreterS10 (29200 - 92300)</v>
      </c>
      <c r="K571" s="36"/>
      <c r="L571" s="36" t="s">
        <v>238</v>
      </c>
      <c r="M571" s="38" t="s">
        <v>1546</v>
      </c>
      <c r="N571" s="36" t="s">
        <v>283</v>
      </c>
      <c r="O571" s="6" t="s">
        <v>33</v>
      </c>
      <c r="P571" s="7">
        <v>1</v>
      </c>
      <c r="Q571" s="7" t="s">
        <v>34</v>
      </c>
      <c r="R571" s="8"/>
      <c r="S571" s="8"/>
      <c r="T571" s="7" t="s">
        <v>2395</v>
      </c>
      <c r="U571" s="36" t="s">
        <v>1535</v>
      </c>
      <c r="V571" s="38"/>
      <c r="W571" s="36"/>
      <c r="X571" s="36"/>
      <c r="Y571" s="36"/>
      <c r="Z571" s="41"/>
      <c r="AA571" s="42" t="e">
        <f>_xlfn.XLOOKUP(C571,#REF!,#REF!,"",0,1)</f>
        <v>#REF!</v>
      </c>
      <c r="AB571" s="43">
        <f t="shared" si="24"/>
        <v>0</v>
      </c>
    </row>
    <row r="572" spans="1:28" ht="91.5" thickBot="1" x14ac:dyDescent="0.3">
      <c r="A572" s="36">
        <v>571</v>
      </c>
      <c r="B572" s="36" t="s">
        <v>1547</v>
      </c>
      <c r="C572" s="36" t="s">
        <v>263</v>
      </c>
      <c r="D572" s="37">
        <v>45623</v>
      </c>
      <c r="E572" s="36" t="s">
        <v>1526</v>
      </c>
      <c r="F572" s="36" t="s">
        <v>1532</v>
      </c>
      <c r="G572" s="36" t="s">
        <v>55</v>
      </c>
      <c r="H572" s="36" t="s">
        <v>630</v>
      </c>
      <c r="I572" s="36" t="s">
        <v>74</v>
      </c>
      <c r="J572" s="36" t="str">
        <f t="shared" si="22"/>
        <v>Law and JudiciaryGovernment Pleader Office EstablishmentCClerkTypistS6 (19900 - 63200)</v>
      </c>
      <c r="K572" s="36" t="s">
        <v>75</v>
      </c>
      <c r="L572" s="36" t="s">
        <v>228</v>
      </c>
      <c r="M572" s="38" t="s">
        <v>1548</v>
      </c>
      <c r="N572" s="36" t="s">
        <v>70</v>
      </c>
      <c r="O572" s="9"/>
      <c r="P572" s="8"/>
      <c r="Q572" s="7" t="s">
        <v>34</v>
      </c>
      <c r="R572" s="8"/>
      <c r="S572" s="8"/>
      <c r="T572" s="7" t="s">
        <v>35</v>
      </c>
      <c r="U572" s="36" t="s">
        <v>1535</v>
      </c>
      <c r="V572" s="38" t="s">
        <v>125</v>
      </c>
      <c r="W572" s="36"/>
      <c r="X572" s="36" t="s">
        <v>77</v>
      </c>
      <c r="Y572" s="36" t="s">
        <v>78</v>
      </c>
      <c r="Z572" s="41"/>
      <c r="AA572" s="42" t="e">
        <f>_xlfn.XLOOKUP(C572,#REF!,#REF!,"",0,1)</f>
        <v>#REF!</v>
      </c>
      <c r="AB572" s="43">
        <f t="shared" si="24"/>
        <v>0</v>
      </c>
    </row>
    <row r="573" spans="1:28" ht="91.5" thickBot="1" x14ac:dyDescent="0.3">
      <c r="A573" s="36">
        <v>572</v>
      </c>
      <c r="B573" s="36" t="s">
        <v>24</v>
      </c>
      <c r="C573" s="36" t="s">
        <v>263</v>
      </c>
      <c r="D573" s="37">
        <v>45623</v>
      </c>
      <c r="E573" s="36" t="s">
        <v>1526</v>
      </c>
      <c r="F573" s="36" t="s">
        <v>1532</v>
      </c>
      <c r="G573" s="36" t="s">
        <v>55</v>
      </c>
      <c r="H573" s="36" t="s">
        <v>486</v>
      </c>
      <c r="I573" s="36" t="s">
        <v>74</v>
      </c>
      <c r="J573" s="36" t="str">
        <f t="shared" si="22"/>
        <v>Law and JudiciaryGovernment Pleader Office EstablishmentCClerkS6 (19900 - 63200)</v>
      </c>
      <c r="K573" s="36" t="s">
        <v>75</v>
      </c>
      <c r="L573" s="36" t="s">
        <v>228</v>
      </c>
      <c r="M573" s="38" t="s">
        <v>1549</v>
      </c>
      <c r="N573" s="36" t="s">
        <v>70</v>
      </c>
      <c r="O573" s="6" t="s">
        <v>83</v>
      </c>
      <c r="P573" s="7">
        <v>126</v>
      </c>
      <c r="Q573" s="7" t="s">
        <v>100</v>
      </c>
      <c r="R573" s="7">
        <v>92</v>
      </c>
      <c r="S573" s="8"/>
      <c r="T573" s="7" t="s">
        <v>35</v>
      </c>
      <c r="U573" s="36" t="s">
        <v>1535</v>
      </c>
      <c r="V573" s="38" t="s">
        <v>125</v>
      </c>
      <c r="W573" s="36"/>
      <c r="X573" s="36" t="s">
        <v>77</v>
      </c>
      <c r="Y573" s="36" t="s">
        <v>78</v>
      </c>
      <c r="Z573" s="41"/>
      <c r="AA573" s="42" t="e">
        <f>_xlfn.XLOOKUP(C573,#REF!,#REF!,"",0,1)</f>
        <v>#REF!</v>
      </c>
      <c r="AB573" s="43">
        <f t="shared" si="24"/>
        <v>0</v>
      </c>
    </row>
    <row r="574" spans="1:28" ht="91.5" thickBot="1" x14ac:dyDescent="0.3">
      <c r="A574" s="36">
        <v>573</v>
      </c>
      <c r="B574" s="36" t="s">
        <v>1547</v>
      </c>
      <c r="C574" s="36" t="s">
        <v>263</v>
      </c>
      <c r="D574" s="37">
        <v>45623</v>
      </c>
      <c r="E574" s="36" t="s">
        <v>1526</v>
      </c>
      <c r="F574" s="36" t="s">
        <v>1532</v>
      </c>
      <c r="G574" s="36" t="s">
        <v>55</v>
      </c>
      <c r="H574" s="36" t="s">
        <v>73</v>
      </c>
      <c r="I574" s="36" t="s">
        <v>74</v>
      </c>
      <c r="J574" s="36" t="str">
        <f t="shared" si="22"/>
        <v>Law and JudiciaryGovernment Pleader Office EstablishmentCClerk TypistS6 (19900 - 63200)</v>
      </c>
      <c r="K574" s="36" t="s">
        <v>75</v>
      </c>
      <c r="L574" s="36" t="s">
        <v>228</v>
      </c>
      <c r="M574" s="38" t="s">
        <v>1550</v>
      </c>
      <c r="N574" s="36" t="s">
        <v>70</v>
      </c>
      <c r="O574" s="9"/>
      <c r="P574" s="8"/>
      <c r="Q574" s="7" t="s">
        <v>34</v>
      </c>
      <c r="R574" s="8"/>
      <c r="S574" s="8"/>
      <c r="T574" s="7" t="s">
        <v>35</v>
      </c>
      <c r="U574" s="36" t="s">
        <v>1535</v>
      </c>
      <c r="V574" s="38" t="s">
        <v>125</v>
      </c>
      <c r="W574" s="36"/>
      <c r="X574" s="36" t="s">
        <v>77</v>
      </c>
      <c r="Y574" s="36" t="s">
        <v>78</v>
      </c>
      <c r="Z574" s="41"/>
      <c r="AA574" s="42" t="e">
        <f>_xlfn.XLOOKUP(C574,#REF!,#REF!,"",0,1)</f>
        <v>#REF!</v>
      </c>
      <c r="AB574" s="43">
        <f t="shared" si="24"/>
        <v>0</v>
      </c>
    </row>
    <row r="575" spans="1:28" ht="91.5" thickBot="1" x14ac:dyDescent="0.3">
      <c r="A575" s="36">
        <v>574</v>
      </c>
      <c r="B575" s="36" t="s">
        <v>24</v>
      </c>
      <c r="C575" s="36" t="s">
        <v>263</v>
      </c>
      <c r="D575" s="37">
        <v>45623</v>
      </c>
      <c r="E575" s="36" t="s">
        <v>1526</v>
      </c>
      <c r="F575" s="36" t="s">
        <v>1532</v>
      </c>
      <c r="G575" s="36" t="s">
        <v>55</v>
      </c>
      <c r="H575" s="36" t="s">
        <v>320</v>
      </c>
      <c r="I575" s="36" t="s">
        <v>80</v>
      </c>
      <c r="J575" s="36" t="str">
        <f t="shared" si="22"/>
        <v>Law and JudiciaryGovernment Pleader Office EstablishmentCStenoTypistS8 (25500 - 81100)</v>
      </c>
      <c r="K575" s="36" t="s">
        <v>68</v>
      </c>
      <c r="L575" s="36" t="s">
        <v>1529</v>
      </c>
      <c r="M575" s="38" t="s">
        <v>1551</v>
      </c>
      <c r="N575" s="36" t="s">
        <v>70</v>
      </c>
      <c r="O575" s="6" t="s">
        <v>33</v>
      </c>
      <c r="P575" s="7">
        <v>11</v>
      </c>
      <c r="Q575" s="7" t="s">
        <v>100</v>
      </c>
      <c r="R575" s="7">
        <v>11</v>
      </c>
      <c r="S575" s="8"/>
      <c r="T575" s="7" t="s">
        <v>61</v>
      </c>
      <c r="U575" s="36" t="s">
        <v>1535</v>
      </c>
      <c r="V575" s="38"/>
      <c r="W575" s="36"/>
      <c r="X575" s="36"/>
      <c r="Y575" s="36"/>
      <c r="Z575" s="41"/>
      <c r="AA575" s="42" t="e">
        <f>_xlfn.XLOOKUP(C575,#REF!,#REF!,"",0,1)</f>
        <v>#REF!</v>
      </c>
      <c r="AB575" s="43">
        <f t="shared" si="24"/>
        <v>0</v>
      </c>
    </row>
    <row r="576" spans="1:28" ht="130.5" thickBot="1" x14ac:dyDescent="0.3">
      <c r="A576" s="36">
        <v>575</v>
      </c>
      <c r="B576" s="36" t="s">
        <v>24</v>
      </c>
      <c r="C576" s="36" t="s">
        <v>263</v>
      </c>
      <c r="D576" s="37">
        <v>44645</v>
      </c>
      <c r="E576" s="36" t="s">
        <v>1526</v>
      </c>
      <c r="F576" s="36" t="s">
        <v>1552</v>
      </c>
      <c r="G576" s="36" t="s">
        <v>28</v>
      </c>
      <c r="H576" s="36" t="s">
        <v>1553</v>
      </c>
      <c r="I576" s="36" t="s">
        <v>38</v>
      </c>
      <c r="J576" s="36" t="str">
        <f t="shared" si="22"/>
        <v>Law and JudiciaryLaw and Judiciary Proper EstablishmentALibrarian and Reference OfficerS20 (56100 - 177500)</v>
      </c>
      <c r="K576" s="36"/>
      <c r="L576" s="36" t="s">
        <v>238</v>
      </c>
      <c r="M576" s="38" t="s">
        <v>1554</v>
      </c>
      <c r="N576" s="36" t="s">
        <v>1555</v>
      </c>
      <c r="O576" s="9"/>
      <c r="P576" s="7">
        <v>0</v>
      </c>
      <c r="Q576" s="7" t="s">
        <v>34</v>
      </c>
      <c r="R576" s="8"/>
      <c r="S576" s="8"/>
      <c r="T576" s="7" t="s">
        <v>2395</v>
      </c>
      <c r="U576" s="36"/>
      <c r="V576" s="38"/>
      <c r="W576" s="36"/>
      <c r="X576" s="36"/>
      <c r="Y576" s="36"/>
      <c r="Z576" s="41"/>
      <c r="AA576" s="42" t="e">
        <f>_xlfn.XLOOKUP(C576,#REF!,#REF!,"",0,1)</f>
        <v>#REF!</v>
      </c>
      <c r="AB576" s="43">
        <f t="shared" si="24"/>
        <v>0</v>
      </c>
    </row>
    <row r="577" spans="1:28" ht="182.5" thickBot="1" x14ac:dyDescent="0.3">
      <c r="A577" s="36">
        <v>576</v>
      </c>
      <c r="B577" s="36" t="s">
        <v>24</v>
      </c>
      <c r="C577" s="36" t="s">
        <v>263</v>
      </c>
      <c r="D577" s="37">
        <v>44645</v>
      </c>
      <c r="E577" s="36" t="s">
        <v>1526</v>
      </c>
      <c r="F577" s="36" t="s">
        <v>1552</v>
      </c>
      <c r="G577" s="36" t="s">
        <v>28</v>
      </c>
      <c r="H577" s="36" t="s">
        <v>1556</v>
      </c>
      <c r="I577" s="36" t="s">
        <v>242</v>
      </c>
      <c r="J577" s="36" t="str">
        <f t="shared" si="22"/>
        <v>Law and JudiciaryLaw and Judiciary Proper EstablishmentAAssistant legal advisor cum under secretaryS23 (67700 - 208700)</v>
      </c>
      <c r="K577" s="36"/>
      <c r="L577" s="36" t="s">
        <v>238</v>
      </c>
      <c r="M577" s="38" t="s">
        <v>1557</v>
      </c>
      <c r="N577" s="36"/>
      <c r="O577" s="9"/>
      <c r="P577" s="7">
        <v>1</v>
      </c>
      <c r="Q577" s="7" t="s">
        <v>34</v>
      </c>
      <c r="R577" s="8"/>
      <c r="S577" s="8"/>
      <c r="T577" s="7" t="s">
        <v>2395</v>
      </c>
      <c r="U577" s="36"/>
      <c r="V577" s="38"/>
      <c r="W577" s="36"/>
      <c r="X577" s="36"/>
      <c r="Y577" s="36"/>
      <c r="Z577" s="41"/>
      <c r="AA577" s="42" t="e">
        <f>_xlfn.XLOOKUP(C577,#REF!,#REF!,"",0,1)</f>
        <v>#REF!</v>
      </c>
      <c r="AB577" s="43">
        <f t="shared" si="24"/>
        <v>0</v>
      </c>
    </row>
    <row r="578" spans="1:28" ht="143.5" thickBot="1" x14ac:dyDescent="0.3">
      <c r="A578" s="36">
        <v>577</v>
      </c>
      <c r="B578" s="36" t="s">
        <v>24</v>
      </c>
      <c r="C578" s="36" t="s">
        <v>263</v>
      </c>
      <c r="D578" s="37">
        <v>44645</v>
      </c>
      <c r="E578" s="36" t="s">
        <v>1526</v>
      </c>
      <c r="F578" s="36" t="s">
        <v>1552</v>
      </c>
      <c r="G578" s="36" t="s">
        <v>28</v>
      </c>
      <c r="H578" s="36" t="s">
        <v>1558</v>
      </c>
      <c r="I578" s="36" t="s">
        <v>242</v>
      </c>
      <c r="J578" s="36" t="str">
        <f t="shared" ref="J578:J641" si="25">_xlfn.CONCAT(E578:I578)</f>
        <v>Law and JudiciaryLaw and Judiciary Proper EstablishmentAAssistant Draftsman cum under secretaryS23 (67700 - 208700)</v>
      </c>
      <c r="K578" s="36"/>
      <c r="L578" s="36" t="s">
        <v>238</v>
      </c>
      <c r="M578" s="38" t="s">
        <v>1559</v>
      </c>
      <c r="N578" s="36"/>
      <c r="O578" s="9"/>
      <c r="P578" s="7">
        <v>3</v>
      </c>
      <c r="Q578" s="7" t="s">
        <v>100</v>
      </c>
      <c r="R578" s="8"/>
      <c r="S578" s="7" t="s">
        <v>830</v>
      </c>
      <c r="T578" s="8" t="s">
        <v>3276</v>
      </c>
      <c r="U578" s="36"/>
      <c r="V578" s="38"/>
      <c r="W578" s="36"/>
      <c r="X578" s="36"/>
      <c r="Y578" s="36"/>
      <c r="Z578" s="41"/>
      <c r="AA578" s="42" t="e">
        <f>_xlfn.XLOOKUP(C578,#REF!,#REF!,"",0,1)</f>
        <v>#REF!</v>
      </c>
      <c r="AB578" s="43">
        <f t="shared" ref="AB578:AB641" si="26">IFERROR(FLOOR(P578*AA578,1),0)</f>
        <v>0</v>
      </c>
    </row>
    <row r="579" spans="1:28" ht="130.5" thickBot="1" x14ac:dyDescent="0.3">
      <c r="A579" s="36">
        <v>578</v>
      </c>
      <c r="B579" s="36" t="s">
        <v>24</v>
      </c>
      <c r="C579" s="36" t="s">
        <v>263</v>
      </c>
      <c r="D579" s="37">
        <v>44645</v>
      </c>
      <c r="E579" s="36" t="s">
        <v>1526</v>
      </c>
      <c r="F579" s="36" t="s">
        <v>1552</v>
      </c>
      <c r="G579" s="36" t="s">
        <v>28</v>
      </c>
      <c r="H579" s="36" t="s">
        <v>1560</v>
      </c>
      <c r="I579" s="36" t="s">
        <v>242</v>
      </c>
      <c r="J579" s="36" t="str">
        <f t="shared" si="25"/>
        <v>Law and JudiciaryLaw and Judiciary Proper EstablishmentAUnder Secretary (Law)S23 (67700 - 208700)</v>
      </c>
      <c r="K579" s="36"/>
      <c r="L579" s="36" t="s">
        <v>238</v>
      </c>
      <c r="M579" s="38" t="s">
        <v>1561</v>
      </c>
      <c r="N579" s="36"/>
      <c r="O579" s="9"/>
      <c r="P579" s="7">
        <v>6</v>
      </c>
      <c r="Q579" s="7" t="s">
        <v>34</v>
      </c>
      <c r="R579" s="8"/>
      <c r="S579" s="8"/>
      <c r="T579" s="8" t="s">
        <v>3276</v>
      </c>
      <c r="U579" s="36"/>
      <c r="V579" s="38"/>
      <c r="W579" s="36"/>
      <c r="X579" s="36"/>
      <c r="Y579" s="36"/>
      <c r="Z579" s="41"/>
      <c r="AA579" s="42" t="e">
        <f>_xlfn.XLOOKUP(C579,#REF!,#REF!,"",0,1)</f>
        <v>#REF!</v>
      </c>
      <c r="AB579" s="43">
        <f t="shared" si="26"/>
        <v>0</v>
      </c>
    </row>
    <row r="580" spans="1:28" ht="130.5" thickBot="1" x14ac:dyDescent="0.3">
      <c r="A580" s="36">
        <v>579</v>
      </c>
      <c r="B580" s="36" t="s">
        <v>24</v>
      </c>
      <c r="C580" s="36" t="s">
        <v>263</v>
      </c>
      <c r="D580" s="37">
        <v>44645</v>
      </c>
      <c r="E580" s="36" t="s">
        <v>1526</v>
      </c>
      <c r="F580" s="36" t="s">
        <v>1552</v>
      </c>
      <c r="G580" s="36" t="s">
        <v>28</v>
      </c>
      <c r="H580" s="36" t="s">
        <v>1562</v>
      </c>
      <c r="I580" s="36" t="s">
        <v>754</v>
      </c>
      <c r="J580" s="36" t="str">
        <f t="shared" si="25"/>
        <v>Law and JudiciaryLaw and Judiciary Proper EstablishmentASolicitor cum Joint SecretaryS27 (118500 - 214100)</v>
      </c>
      <c r="K580" s="36"/>
      <c r="L580" s="36" t="s">
        <v>243</v>
      </c>
      <c r="M580" s="38" t="s">
        <v>1563</v>
      </c>
      <c r="N580" s="36" t="s">
        <v>32</v>
      </c>
      <c r="O580" s="6" t="s">
        <v>33</v>
      </c>
      <c r="P580" s="7">
        <v>0</v>
      </c>
      <c r="Q580" s="7" t="s">
        <v>34</v>
      </c>
      <c r="R580" s="8"/>
      <c r="S580" s="8"/>
      <c r="T580" s="4" t="s">
        <v>3276</v>
      </c>
      <c r="U580" s="36"/>
      <c r="V580" s="38"/>
      <c r="W580" s="36"/>
      <c r="X580" s="36"/>
      <c r="Y580" s="36"/>
      <c r="Z580" s="41"/>
      <c r="AA580" s="42" t="e">
        <f>_xlfn.XLOOKUP(C580,#REF!,#REF!,"",0,1)</f>
        <v>#REF!</v>
      </c>
      <c r="AB580" s="43">
        <f t="shared" si="26"/>
        <v>0</v>
      </c>
    </row>
    <row r="581" spans="1:28" ht="143.5" thickBot="1" x14ac:dyDescent="0.3">
      <c r="A581" s="36">
        <v>580</v>
      </c>
      <c r="B581" s="36" t="s">
        <v>24</v>
      </c>
      <c r="C581" s="36" t="s">
        <v>263</v>
      </c>
      <c r="D581" s="37">
        <v>44645</v>
      </c>
      <c r="E581" s="36" t="s">
        <v>1526</v>
      </c>
      <c r="F581" s="36" t="s">
        <v>1552</v>
      </c>
      <c r="G581" s="36" t="s">
        <v>42</v>
      </c>
      <c r="H581" s="36" t="s">
        <v>1564</v>
      </c>
      <c r="I581" s="36" t="s">
        <v>38</v>
      </c>
      <c r="J581" s="36" t="str">
        <f t="shared" si="25"/>
        <v>Law and JudiciaryLaw and Judiciary Proper EstablishmentB (Gazetted)Junior DraftsmanS20 (56100 - 177500)</v>
      </c>
      <c r="K581" s="36" t="s">
        <v>408</v>
      </c>
      <c r="L581" s="36" t="s">
        <v>247</v>
      </c>
      <c r="M581" s="38" t="s">
        <v>1565</v>
      </c>
      <c r="N581" s="36" t="s">
        <v>410</v>
      </c>
      <c r="O581" s="6" t="s">
        <v>33</v>
      </c>
      <c r="P581" s="7">
        <v>1</v>
      </c>
      <c r="Q581" s="7" t="s">
        <v>34</v>
      </c>
      <c r="R581" s="8"/>
      <c r="S581" s="8"/>
      <c r="T581" s="7" t="s">
        <v>2395</v>
      </c>
      <c r="U581" s="36"/>
      <c r="V581" s="38"/>
      <c r="W581" s="36"/>
      <c r="X581" s="36"/>
      <c r="Y581" s="36"/>
      <c r="Z581" s="41"/>
      <c r="AA581" s="42" t="e">
        <f>_xlfn.XLOOKUP(C581,#REF!,#REF!,"",0,1)</f>
        <v>#REF!</v>
      </c>
      <c r="AB581" s="43">
        <f t="shared" si="26"/>
        <v>0</v>
      </c>
    </row>
    <row r="582" spans="1:28" ht="130.5" thickBot="1" x14ac:dyDescent="0.3">
      <c r="A582" s="36">
        <v>581</v>
      </c>
      <c r="B582" s="36" t="s">
        <v>24</v>
      </c>
      <c r="C582" s="36" t="s">
        <v>263</v>
      </c>
      <c r="D582" s="37">
        <v>44645</v>
      </c>
      <c r="E582" s="36" t="s">
        <v>1526</v>
      </c>
      <c r="F582" s="36" t="s">
        <v>1552</v>
      </c>
      <c r="G582" s="36" t="s">
        <v>65</v>
      </c>
      <c r="H582" s="36" t="s">
        <v>1566</v>
      </c>
      <c r="I582" s="36" t="s">
        <v>44</v>
      </c>
      <c r="J582" s="36" t="str">
        <f t="shared" si="25"/>
        <v>Law and JudiciaryLaw and Judiciary Proper EstablishmentB (Non Gazetted)Assistant (Legal)S15 (41800 - 132300)</v>
      </c>
      <c r="K582" s="36"/>
      <c r="L582" s="36" t="s">
        <v>238</v>
      </c>
      <c r="M582" s="38" t="s">
        <v>1567</v>
      </c>
      <c r="N582" s="36"/>
      <c r="O582" s="6" t="s">
        <v>33</v>
      </c>
      <c r="P582" s="7">
        <v>14</v>
      </c>
      <c r="Q582" s="7" t="s">
        <v>34</v>
      </c>
      <c r="R582" s="8"/>
      <c r="S582" s="8"/>
      <c r="T582" s="7" t="s">
        <v>61</v>
      </c>
      <c r="U582" s="36"/>
      <c r="V582" s="38"/>
      <c r="W582" s="36"/>
      <c r="X582" s="36"/>
      <c r="Y582" s="36"/>
      <c r="Z582" s="41"/>
      <c r="AA582" s="42" t="e">
        <f>_xlfn.XLOOKUP(C582,#REF!,#REF!,"",0,1)</f>
        <v>#REF!</v>
      </c>
      <c r="AB582" s="43">
        <f t="shared" si="26"/>
        <v>0</v>
      </c>
    </row>
    <row r="583" spans="1:28" ht="156.5" thickBot="1" x14ac:dyDescent="0.3">
      <c r="A583" s="36">
        <v>582</v>
      </c>
      <c r="B583" s="36" t="s">
        <v>24</v>
      </c>
      <c r="C583" s="36" t="s">
        <v>263</v>
      </c>
      <c r="D583" s="37">
        <v>44915</v>
      </c>
      <c r="E583" s="36" t="s">
        <v>1526</v>
      </c>
      <c r="F583" s="36" t="s">
        <v>1568</v>
      </c>
      <c r="G583" s="36" t="s">
        <v>28</v>
      </c>
      <c r="H583" s="36" t="s">
        <v>1569</v>
      </c>
      <c r="I583" s="36" t="s">
        <v>30</v>
      </c>
      <c r="J583" s="36" t="str">
        <f t="shared" si="25"/>
        <v>Law and JudiciaryOffice of Charity Commissioner, Maharashtra State, Mumbai EstablishmentAAssistant Charity CommissionerS18 (49100 - 155800)</v>
      </c>
      <c r="K583" s="36" t="s">
        <v>408</v>
      </c>
      <c r="L583" s="36" t="s">
        <v>247</v>
      </c>
      <c r="M583" s="38" t="s">
        <v>1570</v>
      </c>
      <c r="N583" s="36"/>
      <c r="O583" s="6" t="s">
        <v>33</v>
      </c>
      <c r="P583" s="7">
        <v>23</v>
      </c>
      <c r="Q583" s="7" t="s">
        <v>34</v>
      </c>
      <c r="R583" s="8"/>
      <c r="S583" s="8"/>
      <c r="T583" s="7" t="s">
        <v>61</v>
      </c>
      <c r="U583" s="36"/>
      <c r="V583" s="38"/>
      <c r="W583" s="36"/>
      <c r="X583" s="36"/>
      <c r="Y583" s="36"/>
      <c r="Z583" s="41"/>
      <c r="AA583" s="42" t="e">
        <f>_xlfn.XLOOKUP(C583,#REF!,#REF!,"",0,1)</f>
        <v>#REF!</v>
      </c>
      <c r="AB583" s="43">
        <f t="shared" si="26"/>
        <v>0</v>
      </c>
    </row>
    <row r="584" spans="1:28" ht="143.5" thickBot="1" x14ac:dyDescent="0.3">
      <c r="A584" s="36">
        <v>583</v>
      </c>
      <c r="B584" s="36" t="s">
        <v>24</v>
      </c>
      <c r="C584" s="36" t="s">
        <v>263</v>
      </c>
      <c r="D584" s="37">
        <v>44915</v>
      </c>
      <c r="E584" s="36" t="s">
        <v>1526</v>
      </c>
      <c r="F584" s="36" t="s">
        <v>1568</v>
      </c>
      <c r="G584" s="36" t="s">
        <v>28</v>
      </c>
      <c r="H584" s="36" t="s">
        <v>1571</v>
      </c>
      <c r="I584" s="36" t="s">
        <v>242</v>
      </c>
      <c r="J584" s="36" t="str">
        <f t="shared" si="25"/>
        <v>Law and JudiciaryOffice of Charity Commissioner, Maharashtra State, Mumbai EstablishmentADeputy Charity CommissionerS23 (67700 - 208700)</v>
      </c>
      <c r="K584" s="36"/>
      <c r="L584" s="36" t="s">
        <v>238</v>
      </c>
      <c r="M584" s="38" t="s">
        <v>1572</v>
      </c>
      <c r="N584" s="36"/>
      <c r="O584" s="9"/>
      <c r="P584" s="7">
        <v>0</v>
      </c>
      <c r="Q584" s="7" t="s">
        <v>34</v>
      </c>
      <c r="R584" s="8"/>
      <c r="S584" s="8"/>
      <c r="T584" s="7" t="s">
        <v>2395</v>
      </c>
      <c r="U584" s="36"/>
      <c r="V584" s="38"/>
      <c r="W584" s="36"/>
      <c r="X584" s="36"/>
      <c r="Y584" s="36"/>
      <c r="Z584" s="41"/>
      <c r="AA584" s="42" t="e">
        <f>_xlfn.XLOOKUP(C584,#REF!,#REF!,"",0,1)</f>
        <v>#REF!</v>
      </c>
      <c r="AB584" s="43">
        <f t="shared" si="26"/>
        <v>0</v>
      </c>
    </row>
    <row r="585" spans="1:28" ht="143.5" thickBot="1" x14ac:dyDescent="0.3">
      <c r="A585" s="36">
        <v>584</v>
      </c>
      <c r="B585" s="36" t="s">
        <v>24</v>
      </c>
      <c r="C585" s="36" t="s">
        <v>263</v>
      </c>
      <c r="D585" s="37">
        <v>44915</v>
      </c>
      <c r="E585" s="36" t="s">
        <v>1526</v>
      </c>
      <c r="F585" s="36" t="s">
        <v>1568</v>
      </c>
      <c r="G585" s="36" t="s">
        <v>28</v>
      </c>
      <c r="H585" s="36" t="s">
        <v>1573</v>
      </c>
      <c r="I585" s="36" t="s">
        <v>513</v>
      </c>
      <c r="J585" s="36" t="str">
        <f t="shared" si="25"/>
        <v>Law and JudiciaryOffice of Charity Commissioner, Maharashtra State, Mumbai EstablishmentAJoint Charity CommissionerS25 (78800 - 209200)</v>
      </c>
      <c r="K585" s="36"/>
      <c r="L585" s="36" t="s">
        <v>238</v>
      </c>
      <c r="M585" s="38" t="s">
        <v>1574</v>
      </c>
      <c r="N585" s="36"/>
      <c r="O585" s="9"/>
      <c r="P585" s="7">
        <v>0</v>
      </c>
      <c r="Q585" s="7" t="s">
        <v>34</v>
      </c>
      <c r="R585" s="8"/>
      <c r="S585" s="8"/>
      <c r="T585" s="7" t="s">
        <v>2395</v>
      </c>
      <c r="U585" s="36"/>
      <c r="V585" s="38"/>
      <c r="W585" s="36"/>
      <c r="X585" s="36"/>
      <c r="Y585" s="36"/>
      <c r="Z585" s="41"/>
      <c r="AA585" s="42" t="e">
        <f>_xlfn.XLOOKUP(C585,#REF!,#REF!,"",0,1)</f>
        <v>#REF!</v>
      </c>
      <c r="AB585" s="43">
        <f t="shared" si="26"/>
        <v>0</v>
      </c>
    </row>
    <row r="586" spans="1:28" ht="169.5" thickBot="1" x14ac:dyDescent="0.3">
      <c r="A586" s="36">
        <v>585</v>
      </c>
      <c r="B586" s="36" t="s">
        <v>24</v>
      </c>
      <c r="C586" s="36" t="s">
        <v>263</v>
      </c>
      <c r="D586" s="37">
        <v>44915</v>
      </c>
      <c r="E586" s="36" t="s">
        <v>1526</v>
      </c>
      <c r="F586" s="36" t="s">
        <v>1568</v>
      </c>
      <c r="G586" s="36" t="s">
        <v>42</v>
      </c>
      <c r="H586" s="36" t="s">
        <v>1575</v>
      </c>
      <c r="I586" s="36" t="s">
        <v>44</v>
      </c>
      <c r="J586" s="36" t="str">
        <f t="shared" si="25"/>
        <v>Law and JudiciaryOffice of Charity Commissioner, Maharashtra State, Mumbai EstablishmentB (Gazetted)Administrative OfficersS15 (41800 - 132300)</v>
      </c>
      <c r="K586" s="36" t="s">
        <v>45</v>
      </c>
      <c r="L586" s="36" t="s">
        <v>247</v>
      </c>
      <c r="M586" s="38" t="s">
        <v>1576</v>
      </c>
      <c r="N586" s="36" t="s">
        <v>41</v>
      </c>
      <c r="O586" s="6" t="s">
        <v>33</v>
      </c>
      <c r="P586" s="7">
        <v>18</v>
      </c>
      <c r="Q586" s="7" t="s">
        <v>34</v>
      </c>
      <c r="R586" s="8"/>
      <c r="S586" s="8"/>
      <c r="T586" s="7" t="s">
        <v>61</v>
      </c>
      <c r="U586" s="36"/>
      <c r="V586" s="38"/>
      <c r="W586" s="36"/>
      <c r="X586" s="36"/>
      <c r="Y586" s="36"/>
      <c r="Z586" s="41"/>
      <c r="AA586" s="42" t="e">
        <f>_xlfn.XLOOKUP(C586,#REF!,#REF!,"",0,1)</f>
        <v>#REF!</v>
      </c>
      <c r="AB586" s="43">
        <f t="shared" si="26"/>
        <v>0</v>
      </c>
    </row>
    <row r="587" spans="1:28" ht="169.5" thickBot="1" x14ac:dyDescent="0.3">
      <c r="A587" s="36">
        <v>586</v>
      </c>
      <c r="B587" s="36" t="s">
        <v>24</v>
      </c>
      <c r="C587" s="36" t="s">
        <v>263</v>
      </c>
      <c r="D587" s="37">
        <v>44915</v>
      </c>
      <c r="E587" s="36" t="s">
        <v>1526</v>
      </c>
      <c r="F587" s="36" t="s">
        <v>1568</v>
      </c>
      <c r="G587" s="36" t="s">
        <v>65</v>
      </c>
      <c r="H587" s="36" t="s">
        <v>1230</v>
      </c>
      <c r="I587" s="36" t="s">
        <v>44</v>
      </c>
      <c r="J587" s="36" t="str">
        <f t="shared" si="25"/>
        <v>Law and JudiciaryOffice of Charity Commissioner, Maharashtra State, Mumbai EstablishmentB (Non Gazetted)Stenographer Lower GradeS15 (41800 - 132300)</v>
      </c>
      <c r="K587" s="36" t="s">
        <v>68</v>
      </c>
      <c r="L587" s="36" t="s">
        <v>1529</v>
      </c>
      <c r="M587" s="38" t="s">
        <v>1530</v>
      </c>
      <c r="N587" s="36" t="s">
        <v>70</v>
      </c>
      <c r="O587" s="6" t="s">
        <v>33</v>
      </c>
      <c r="P587" s="7">
        <v>18</v>
      </c>
      <c r="Q587" s="7" t="s">
        <v>100</v>
      </c>
      <c r="R587" s="7">
        <v>4</v>
      </c>
      <c r="S587" s="8"/>
      <c r="T587" s="7" t="s">
        <v>61</v>
      </c>
      <c r="U587" s="36" t="s">
        <v>35</v>
      </c>
      <c r="V587" s="38"/>
      <c r="W587" s="36"/>
      <c r="X587" s="36"/>
      <c r="Y587" s="36"/>
      <c r="Z587" s="41"/>
      <c r="AA587" s="42" t="e">
        <f>_xlfn.XLOOKUP(C587,#REF!,#REF!,"",0,1)</f>
        <v>#REF!</v>
      </c>
      <c r="AB587" s="43">
        <f t="shared" si="26"/>
        <v>0</v>
      </c>
    </row>
    <row r="588" spans="1:28" ht="156.5" thickBot="1" x14ac:dyDescent="0.3">
      <c r="A588" s="36">
        <v>587</v>
      </c>
      <c r="B588" s="36" t="s">
        <v>24</v>
      </c>
      <c r="C588" s="36" t="s">
        <v>263</v>
      </c>
      <c r="D588" s="37">
        <v>44915</v>
      </c>
      <c r="E588" s="36" t="s">
        <v>1526</v>
      </c>
      <c r="F588" s="36" t="s">
        <v>1568</v>
      </c>
      <c r="G588" s="36" t="s">
        <v>65</v>
      </c>
      <c r="H588" s="36" t="s">
        <v>1577</v>
      </c>
      <c r="I588" s="36" t="s">
        <v>44</v>
      </c>
      <c r="J588" s="36" t="str">
        <f t="shared" si="25"/>
        <v>Law and JudiciaryOffice of Charity Commissioner, Maharashtra State, Mumbai EstablishmentB (Non Gazetted)Legal AssistantS15 (41800 - 132300)</v>
      </c>
      <c r="K588" s="36"/>
      <c r="L588" s="36" t="s">
        <v>238</v>
      </c>
      <c r="M588" s="38" t="s">
        <v>1578</v>
      </c>
      <c r="N588" s="36" t="s">
        <v>283</v>
      </c>
      <c r="O588" s="6" t="s">
        <v>33</v>
      </c>
      <c r="P588" s="7">
        <v>0</v>
      </c>
      <c r="Q588" s="7" t="s">
        <v>34</v>
      </c>
      <c r="R588" s="8"/>
      <c r="S588" s="8"/>
      <c r="T588" s="7" t="s">
        <v>2395</v>
      </c>
      <c r="U588" s="36"/>
      <c r="V588" s="38"/>
      <c r="W588" s="36"/>
      <c r="X588" s="36"/>
      <c r="Y588" s="36"/>
      <c r="Z588" s="41"/>
      <c r="AA588" s="42" t="e">
        <f>_xlfn.XLOOKUP(C588,#REF!,#REF!,"",0,1)</f>
        <v>#REF!</v>
      </c>
      <c r="AB588" s="43">
        <f t="shared" si="26"/>
        <v>0</v>
      </c>
    </row>
    <row r="589" spans="1:28" ht="169.5" thickBot="1" x14ac:dyDescent="0.3">
      <c r="A589" s="36">
        <v>588</v>
      </c>
      <c r="B589" s="36" t="s">
        <v>24</v>
      </c>
      <c r="C589" s="36" t="s">
        <v>263</v>
      </c>
      <c r="D589" s="37">
        <v>44915</v>
      </c>
      <c r="E589" s="36" t="s">
        <v>1526</v>
      </c>
      <c r="F589" s="36" t="s">
        <v>1568</v>
      </c>
      <c r="G589" s="36" t="s">
        <v>65</v>
      </c>
      <c r="H589" s="36" t="s">
        <v>1232</v>
      </c>
      <c r="I589" s="36" t="s">
        <v>54</v>
      </c>
      <c r="J589" s="36" t="str">
        <f t="shared" si="25"/>
        <v>Law and JudiciaryOffice of Charity Commissioner, Maharashtra State, Mumbai EstablishmentB (Non Gazetted)Stenographer Higher GradeS16 (44900 - 142400)</v>
      </c>
      <c r="K589" s="36" t="s">
        <v>68</v>
      </c>
      <c r="L589" s="36" t="s">
        <v>1529</v>
      </c>
      <c r="M589" s="38" t="s">
        <v>1579</v>
      </c>
      <c r="N589" s="36" t="s">
        <v>70</v>
      </c>
      <c r="O589" s="6" t="s">
        <v>33</v>
      </c>
      <c r="P589" s="7">
        <v>0</v>
      </c>
      <c r="Q589" s="7" t="s">
        <v>34</v>
      </c>
      <c r="R589" s="8"/>
      <c r="S589" s="8"/>
      <c r="T589" s="7" t="s">
        <v>2395</v>
      </c>
      <c r="U589" s="36" t="s">
        <v>35</v>
      </c>
      <c r="V589" s="38"/>
      <c r="W589" s="36"/>
      <c r="X589" s="36"/>
      <c r="Y589" s="36"/>
      <c r="Z589" s="41"/>
      <c r="AA589" s="42" t="e">
        <f>_xlfn.XLOOKUP(C589,#REF!,#REF!,"",0,1)</f>
        <v>#REF!</v>
      </c>
      <c r="AB589" s="43">
        <f t="shared" si="26"/>
        <v>0</v>
      </c>
    </row>
    <row r="590" spans="1:28" ht="130.5" thickBot="1" x14ac:dyDescent="0.3">
      <c r="A590" s="36">
        <v>589</v>
      </c>
      <c r="B590" s="36" t="s">
        <v>24</v>
      </c>
      <c r="C590" s="36" t="s">
        <v>263</v>
      </c>
      <c r="D590" s="37">
        <v>44915</v>
      </c>
      <c r="E590" s="36" t="s">
        <v>1526</v>
      </c>
      <c r="F590" s="36" t="s">
        <v>1568</v>
      </c>
      <c r="G590" s="36" t="s">
        <v>55</v>
      </c>
      <c r="H590" s="36" t="s">
        <v>368</v>
      </c>
      <c r="I590" s="36" t="s">
        <v>57</v>
      </c>
      <c r="J590" s="36" t="str">
        <f t="shared" si="25"/>
        <v>Law and JudiciaryOffice of Charity Commissioner, Maharashtra State, Mumbai EstablishmentCInspectorS13 (35400 - 112400)</v>
      </c>
      <c r="K590" s="36" t="s">
        <v>1496</v>
      </c>
      <c r="L590" s="36" t="s">
        <v>228</v>
      </c>
      <c r="M590" s="38" t="s">
        <v>1576</v>
      </c>
      <c r="N590" s="36" t="s">
        <v>41</v>
      </c>
      <c r="O590" s="6" t="s">
        <v>33</v>
      </c>
      <c r="P590" s="7">
        <v>0</v>
      </c>
      <c r="Q590" s="7" t="s">
        <v>34</v>
      </c>
      <c r="R590" s="8"/>
      <c r="S590" s="8"/>
      <c r="T590" s="7" t="s">
        <v>2395</v>
      </c>
      <c r="U590" s="36"/>
      <c r="V590" s="38" t="s">
        <v>1580</v>
      </c>
      <c r="W590" s="36"/>
      <c r="X590" s="36" t="s">
        <v>1581</v>
      </c>
      <c r="Y590" s="36" t="s">
        <v>1582</v>
      </c>
      <c r="Z590" s="41"/>
      <c r="AA590" s="42" t="e">
        <f>_xlfn.XLOOKUP(C590,#REF!,#REF!,"",0,1)</f>
        <v>#REF!</v>
      </c>
      <c r="AB590" s="43">
        <f t="shared" si="26"/>
        <v>0</v>
      </c>
    </row>
    <row r="591" spans="1:28" ht="117.5" thickBot="1" x14ac:dyDescent="0.3">
      <c r="A591" s="36">
        <v>590</v>
      </c>
      <c r="B591" s="36" t="s">
        <v>24</v>
      </c>
      <c r="C591" s="36" t="s">
        <v>263</v>
      </c>
      <c r="D591" s="37">
        <v>44915</v>
      </c>
      <c r="E591" s="36" t="s">
        <v>1526</v>
      </c>
      <c r="F591" s="36" t="s">
        <v>1568</v>
      </c>
      <c r="G591" s="36" t="s">
        <v>55</v>
      </c>
      <c r="H591" s="36" t="s">
        <v>73</v>
      </c>
      <c r="I591" s="36" t="s">
        <v>74</v>
      </c>
      <c r="J591" s="36" t="str">
        <f t="shared" si="25"/>
        <v>Law and JudiciaryOffice of Charity Commissioner, Maharashtra State, Mumbai EstablishmentCClerk TypistS6 (19900 - 63200)</v>
      </c>
      <c r="K591" s="36" t="s">
        <v>75</v>
      </c>
      <c r="L591" s="36" t="s">
        <v>228</v>
      </c>
      <c r="M591" s="38" t="s">
        <v>1531</v>
      </c>
      <c r="N591" s="36" t="s">
        <v>70</v>
      </c>
      <c r="O591" s="6" t="s">
        <v>33</v>
      </c>
      <c r="P591" s="7">
        <v>20</v>
      </c>
      <c r="Q591" s="7" t="s">
        <v>34</v>
      </c>
      <c r="R591" s="8"/>
      <c r="S591" s="8"/>
      <c r="T591" s="7" t="s">
        <v>35</v>
      </c>
      <c r="U591" s="36"/>
      <c r="V591" s="38" t="s">
        <v>125</v>
      </c>
      <c r="W591" s="36"/>
      <c r="X591" s="36" t="s">
        <v>77</v>
      </c>
      <c r="Y591" s="36" t="s">
        <v>78</v>
      </c>
      <c r="Z591" s="41"/>
      <c r="AA591" s="42" t="e">
        <f>_xlfn.XLOOKUP(C591,#REF!,#REF!,"",0,1)</f>
        <v>#REF!</v>
      </c>
      <c r="AB591" s="43">
        <f t="shared" si="26"/>
        <v>0</v>
      </c>
    </row>
    <row r="592" spans="1:28" ht="117.5" thickBot="1" x14ac:dyDescent="0.3">
      <c r="A592" s="36">
        <v>591</v>
      </c>
      <c r="B592" s="36" t="s">
        <v>24</v>
      </c>
      <c r="C592" s="36" t="s">
        <v>263</v>
      </c>
      <c r="D592" s="37">
        <v>44915</v>
      </c>
      <c r="E592" s="36" t="s">
        <v>1526</v>
      </c>
      <c r="F592" s="36" t="s">
        <v>1568</v>
      </c>
      <c r="G592" s="36" t="s">
        <v>55</v>
      </c>
      <c r="H592" s="36" t="s">
        <v>87</v>
      </c>
      <c r="I592" s="36" t="s">
        <v>80</v>
      </c>
      <c r="J592" s="36" t="str">
        <f t="shared" si="25"/>
        <v>Law and JudiciaryOffice of Charity Commissioner, Maharashtra State, Mumbai EstablishmentCSenior ClerkS8 (25500 - 81100)</v>
      </c>
      <c r="K592" s="36" t="s">
        <v>75</v>
      </c>
      <c r="L592" s="36" t="s">
        <v>228</v>
      </c>
      <c r="M592" s="38" t="s">
        <v>1531</v>
      </c>
      <c r="N592" s="36" t="s">
        <v>70</v>
      </c>
      <c r="O592" s="6" t="s">
        <v>33</v>
      </c>
      <c r="P592" s="7">
        <v>0</v>
      </c>
      <c r="Q592" s="7" t="s">
        <v>34</v>
      </c>
      <c r="R592" s="8"/>
      <c r="S592" s="8"/>
      <c r="T592" s="7" t="s">
        <v>2395</v>
      </c>
      <c r="U592" s="36"/>
      <c r="V592" s="38" t="s">
        <v>1583</v>
      </c>
      <c r="W592" s="36"/>
      <c r="X592" s="36" t="s">
        <v>1584</v>
      </c>
      <c r="Y592" s="36" t="s">
        <v>1582</v>
      </c>
      <c r="Z592" s="41"/>
      <c r="AA592" s="42" t="e">
        <f>_xlfn.XLOOKUP(C592,#REF!,#REF!,"",0,1)</f>
        <v>#REF!</v>
      </c>
      <c r="AB592" s="43">
        <f t="shared" si="26"/>
        <v>0</v>
      </c>
    </row>
    <row r="593" spans="1:28" ht="156.5" thickBot="1" x14ac:dyDescent="0.3">
      <c r="A593" s="36">
        <v>592</v>
      </c>
      <c r="B593" s="36" t="s">
        <v>24</v>
      </c>
      <c r="C593" s="36" t="s">
        <v>263</v>
      </c>
      <c r="D593" s="37">
        <v>43812</v>
      </c>
      <c r="E593" s="36" t="s">
        <v>1526</v>
      </c>
      <c r="F593" s="36" t="s">
        <v>1585</v>
      </c>
      <c r="G593" s="36" t="s">
        <v>65</v>
      </c>
      <c r="H593" s="36" t="s">
        <v>1586</v>
      </c>
      <c r="I593" s="36" t="s">
        <v>44</v>
      </c>
      <c r="J593" s="36" t="str">
        <f t="shared" si="25"/>
        <v>Law and JudiciaryRegistrar of Firms, Maharashtra State, Mumbai EstablishmentB (Non Gazetted)Assistant Registrar of FirmsS15 (41800 - 132300)</v>
      </c>
      <c r="K593" s="36" t="s">
        <v>408</v>
      </c>
      <c r="L593" s="36" t="s">
        <v>247</v>
      </c>
      <c r="M593" s="38" t="s">
        <v>1587</v>
      </c>
      <c r="N593" s="36"/>
      <c r="O593" s="6" t="s">
        <v>33</v>
      </c>
      <c r="P593" s="7">
        <v>3</v>
      </c>
      <c r="Q593" s="7" t="s">
        <v>34</v>
      </c>
      <c r="R593" s="8"/>
      <c r="S593" s="8"/>
      <c r="T593" s="7" t="s">
        <v>35</v>
      </c>
      <c r="U593" s="36"/>
      <c r="V593" s="38"/>
      <c r="W593" s="36"/>
      <c r="X593" s="36"/>
      <c r="Y593" s="36"/>
      <c r="Z593" s="41"/>
      <c r="AA593" s="42" t="e">
        <f>_xlfn.XLOOKUP(C593,#REF!,#REF!,"",0,1)</f>
        <v>#REF!</v>
      </c>
      <c r="AB593" s="43">
        <f t="shared" si="26"/>
        <v>0</v>
      </c>
    </row>
    <row r="594" spans="1:28" ht="156.5" thickBot="1" x14ac:dyDescent="0.3">
      <c r="A594" s="36">
        <v>593</v>
      </c>
      <c r="B594" s="36" t="s">
        <v>24</v>
      </c>
      <c r="C594" s="36" t="s">
        <v>263</v>
      </c>
      <c r="D594" s="37">
        <v>43812</v>
      </c>
      <c r="E594" s="36" t="s">
        <v>1526</v>
      </c>
      <c r="F594" s="36" t="s">
        <v>1585</v>
      </c>
      <c r="G594" s="36" t="s">
        <v>65</v>
      </c>
      <c r="H594" s="36" t="s">
        <v>1230</v>
      </c>
      <c r="I594" s="36" t="s">
        <v>67</v>
      </c>
      <c r="J594" s="36" t="str">
        <f t="shared" si="25"/>
        <v>Law and JudiciaryRegistrar of Firms, Maharashtra State, Mumbai EstablishmentB (Non Gazetted)Stenographer Lower GradeS14 (38600 - 122800)</v>
      </c>
      <c r="K594" s="36" t="s">
        <v>68</v>
      </c>
      <c r="L594" s="36" t="s">
        <v>1529</v>
      </c>
      <c r="M594" s="38" t="s">
        <v>1588</v>
      </c>
      <c r="N594" s="36" t="s">
        <v>70</v>
      </c>
      <c r="O594" s="6" t="s">
        <v>33</v>
      </c>
      <c r="P594" s="7">
        <v>0</v>
      </c>
      <c r="Q594" s="7" t="s">
        <v>34</v>
      </c>
      <c r="R594" s="8"/>
      <c r="S594" s="8"/>
      <c r="T594" s="7" t="s">
        <v>2395</v>
      </c>
      <c r="U594" s="36" t="s">
        <v>35</v>
      </c>
      <c r="V594" s="38"/>
      <c r="W594" s="36"/>
      <c r="X594" s="36"/>
      <c r="Y594" s="36"/>
      <c r="Z594" s="41"/>
      <c r="AA594" s="42" t="e">
        <f>_xlfn.XLOOKUP(C594,#REF!,#REF!,"",0,1)</f>
        <v>#REF!</v>
      </c>
      <c r="AB594" s="43">
        <f t="shared" si="26"/>
        <v>0</v>
      </c>
    </row>
    <row r="595" spans="1:28" ht="104.5" thickBot="1" x14ac:dyDescent="0.3">
      <c r="A595" s="36">
        <v>594</v>
      </c>
      <c r="B595" s="36" t="s">
        <v>24</v>
      </c>
      <c r="C595" s="36" t="s">
        <v>263</v>
      </c>
      <c r="D595" s="37">
        <v>43812</v>
      </c>
      <c r="E595" s="36" t="s">
        <v>1526</v>
      </c>
      <c r="F595" s="36" t="s">
        <v>1585</v>
      </c>
      <c r="G595" s="36" t="s">
        <v>55</v>
      </c>
      <c r="H595" s="36" t="s">
        <v>73</v>
      </c>
      <c r="I595" s="36" t="s">
        <v>74</v>
      </c>
      <c r="J595" s="36" t="str">
        <f t="shared" si="25"/>
        <v>Law and JudiciaryRegistrar of Firms, Maharashtra State, Mumbai EstablishmentCClerk TypistS6 (19900 - 63200)</v>
      </c>
      <c r="K595" s="36" t="s">
        <v>75</v>
      </c>
      <c r="L595" s="36" t="s">
        <v>228</v>
      </c>
      <c r="M595" s="38" t="s">
        <v>1589</v>
      </c>
      <c r="N595" s="36" t="s">
        <v>70</v>
      </c>
      <c r="O595" s="6" t="s">
        <v>33</v>
      </c>
      <c r="P595" s="7">
        <v>7</v>
      </c>
      <c r="Q595" s="7" t="s">
        <v>34</v>
      </c>
      <c r="R595" s="7">
        <v>7</v>
      </c>
      <c r="S595" s="8"/>
      <c r="T595" s="7" t="s">
        <v>61</v>
      </c>
      <c r="U595" s="36"/>
      <c r="V595" s="38" t="s">
        <v>125</v>
      </c>
      <c r="W595" s="36"/>
      <c r="X595" s="36" t="s">
        <v>77</v>
      </c>
      <c r="Y595" s="36" t="s">
        <v>78</v>
      </c>
      <c r="Z595" s="41"/>
      <c r="AA595" s="42" t="e">
        <f>_xlfn.XLOOKUP(C595,#REF!,#REF!,"",0,1)</f>
        <v>#REF!</v>
      </c>
      <c r="AB595" s="43">
        <f t="shared" si="26"/>
        <v>0</v>
      </c>
    </row>
    <row r="596" spans="1:28" ht="104.5" thickBot="1" x14ac:dyDescent="0.3">
      <c r="A596" s="36">
        <v>595</v>
      </c>
      <c r="B596" s="36" t="s">
        <v>24</v>
      </c>
      <c r="C596" s="36" t="s">
        <v>263</v>
      </c>
      <c r="D596" s="37">
        <v>43783</v>
      </c>
      <c r="E596" s="36" t="s">
        <v>1590</v>
      </c>
      <c r="F596" s="36" t="s">
        <v>1591</v>
      </c>
      <c r="G596" s="36" t="s">
        <v>28</v>
      </c>
      <c r="H596" s="36" t="s">
        <v>1465</v>
      </c>
      <c r="I596" s="36" t="s">
        <v>242</v>
      </c>
      <c r="J596" s="36" t="str">
        <f t="shared" si="25"/>
        <v>Marathi LanguageBoard of Literature and Culture EstablishmentASecretaryS23 (67700 - 208700)</v>
      </c>
      <c r="K596" s="36"/>
      <c r="L596" s="36" t="s">
        <v>238</v>
      </c>
      <c r="M596" s="38" t="s">
        <v>1592</v>
      </c>
      <c r="N596" s="36" t="s">
        <v>744</v>
      </c>
      <c r="O596" s="6" t="s">
        <v>33</v>
      </c>
      <c r="P596" s="7">
        <v>0</v>
      </c>
      <c r="Q596" s="7" t="s">
        <v>34</v>
      </c>
      <c r="R596" s="8"/>
      <c r="S596" s="8"/>
      <c r="T596" s="7" t="s">
        <v>2395</v>
      </c>
      <c r="U596" s="36"/>
      <c r="V596" s="38"/>
      <c r="W596" s="36"/>
      <c r="X596" s="36"/>
      <c r="Y596" s="36"/>
      <c r="Z596" s="41"/>
      <c r="AA596" s="42" t="e">
        <f>_xlfn.XLOOKUP(C596,#REF!,#REF!,"",0,1)</f>
        <v>#REF!</v>
      </c>
      <c r="AB596" s="43">
        <f t="shared" si="26"/>
        <v>0</v>
      </c>
    </row>
    <row r="597" spans="1:28" ht="117.5" thickBot="1" x14ac:dyDescent="0.3">
      <c r="A597" s="36">
        <v>596</v>
      </c>
      <c r="B597" s="36" t="s">
        <v>24</v>
      </c>
      <c r="C597" s="36" t="s">
        <v>263</v>
      </c>
      <c r="D597" s="37">
        <v>43783</v>
      </c>
      <c r="E597" s="36" t="s">
        <v>1590</v>
      </c>
      <c r="F597" s="36" t="s">
        <v>1591</v>
      </c>
      <c r="G597" s="36" t="s">
        <v>65</v>
      </c>
      <c r="H597" s="36" t="s">
        <v>1409</v>
      </c>
      <c r="I597" s="36" t="s">
        <v>67</v>
      </c>
      <c r="J597" s="36" t="str">
        <f t="shared" si="25"/>
        <v>Marathi LanguageBoard of Literature and Culture EstablishmentB (Non Gazetted)ReaderS14 (38600 - 122800)</v>
      </c>
      <c r="K597" s="36"/>
      <c r="L597" s="36" t="s">
        <v>238</v>
      </c>
      <c r="M597" s="38" t="s">
        <v>1593</v>
      </c>
      <c r="N597" s="36" t="s">
        <v>283</v>
      </c>
      <c r="O597" s="6" t="s">
        <v>33</v>
      </c>
      <c r="P597" s="7">
        <v>0</v>
      </c>
      <c r="Q597" s="7" t="s">
        <v>34</v>
      </c>
      <c r="R597" s="8"/>
      <c r="S597" s="8"/>
      <c r="T597" s="7" t="s">
        <v>2395</v>
      </c>
      <c r="U597" s="36"/>
      <c r="V597" s="38"/>
      <c r="W597" s="36"/>
      <c r="X597" s="36"/>
      <c r="Y597" s="36"/>
      <c r="Z597" s="41"/>
      <c r="AA597" s="42" t="e">
        <f>_xlfn.XLOOKUP(C597,#REF!,#REF!,"",0,1)</f>
        <v>#REF!</v>
      </c>
      <c r="AB597" s="43">
        <f t="shared" si="26"/>
        <v>0</v>
      </c>
    </row>
    <row r="598" spans="1:28" ht="130.5" thickBot="1" x14ac:dyDescent="0.3">
      <c r="A598" s="36">
        <v>597</v>
      </c>
      <c r="B598" s="36" t="s">
        <v>24</v>
      </c>
      <c r="C598" s="36" t="s">
        <v>263</v>
      </c>
      <c r="D598" s="37">
        <v>43783</v>
      </c>
      <c r="E598" s="36" t="s">
        <v>1590</v>
      </c>
      <c r="F598" s="36" t="s">
        <v>1591</v>
      </c>
      <c r="G598" s="36" t="s">
        <v>65</v>
      </c>
      <c r="H598" s="36" t="s">
        <v>803</v>
      </c>
      <c r="I598" s="36" t="s">
        <v>67</v>
      </c>
      <c r="J598" s="36" t="str">
        <f t="shared" si="25"/>
        <v>Marathi LanguageBoard of Literature and Culture EstablishmentB (Non Gazetted)SuperintendentS14 (38600 - 122800)</v>
      </c>
      <c r="K598" s="36"/>
      <c r="L598" s="36" t="s">
        <v>238</v>
      </c>
      <c r="M598" s="38" t="s">
        <v>1594</v>
      </c>
      <c r="N598" s="36"/>
      <c r="O598" s="6" t="s">
        <v>33</v>
      </c>
      <c r="P598" s="7">
        <v>0</v>
      </c>
      <c r="Q598" s="7" t="s">
        <v>34</v>
      </c>
      <c r="R598" s="8"/>
      <c r="S598" s="8"/>
      <c r="T598" s="7" t="s">
        <v>2395</v>
      </c>
      <c r="U598" s="36"/>
      <c r="V598" s="38"/>
      <c r="W598" s="36"/>
      <c r="X598" s="36"/>
      <c r="Y598" s="36"/>
      <c r="Z598" s="41"/>
      <c r="AA598" s="42" t="e">
        <f>_xlfn.XLOOKUP(C598,#REF!,#REF!,"",0,1)</f>
        <v>#REF!</v>
      </c>
      <c r="AB598" s="43">
        <f t="shared" si="26"/>
        <v>0</v>
      </c>
    </row>
    <row r="599" spans="1:28" ht="143.5" thickBot="1" x14ac:dyDescent="0.3">
      <c r="A599" s="36">
        <v>598</v>
      </c>
      <c r="B599" s="36" t="s">
        <v>24</v>
      </c>
      <c r="C599" s="36" t="s">
        <v>263</v>
      </c>
      <c r="D599" s="37">
        <v>43783</v>
      </c>
      <c r="E599" s="36" t="s">
        <v>1590</v>
      </c>
      <c r="F599" s="36" t="s">
        <v>1591</v>
      </c>
      <c r="G599" s="36" t="s">
        <v>65</v>
      </c>
      <c r="H599" s="36" t="s">
        <v>212</v>
      </c>
      <c r="I599" s="36" t="s">
        <v>44</v>
      </c>
      <c r="J599" s="36" t="str">
        <f t="shared" si="25"/>
        <v>Marathi LanguageBoard of Literature and Culture EstablishmentB (Non Gazetted)Lower Grade StenographerS15 (41800 - 132300)</v>
      </c>
      <c r="K599" s="36" t="s">
        <v>68</v>
      </c>
      <c r="L599" s="36" t="s">
        <v>231</v>
      </c>
      <c r="M599" s="38" t="s">
        <v>1595</v>
      </c>
      <c r="N599" s="36" t="s">
        <v>70</v>
      </c>
      <c r="O599" s="6" t="s">
        <v>33</v>
      </c>
      <c r="P599" s="7">
        <v>1</v>
      </c>
      <c r="Q599" s="7" t="s">
        <v>34</v>
      </c>
      <c r="R599" s="8"/>
      <c r="S599" s="8"/>
      <c r="T599" s="4" t="s">
        <v>3276</v>
      </c>
      <c r="U599" s="36" t="s">
        <v>35</v>
      </c>
      <c r="V599" s="38"/>
      <c r="W599" s="36"/>
      <c r="X599" s="36"/>
      <c r="Y599" s="36"/>
      <c r="Z599" s="41"/>
      <c r="AA599" s="42" t="e">
        <f>_xlfn.XLOOKUP(C599,#REF!,#REF!,"",0,1)</f>
        <v>#REF!</v>
      </c>
      <c r="AB599" s="43">
        <f t="shared" si="26"/>
        <v>0</v>
      </c>
    </row>
    <row r="600" spans="1:28" ht="143.5" thickBot="1" x14ac:dyDescent="0.3">
      <c r="A600" s="36">
        <v>599</v>
      </c>
      <c r="B600" s="36" t="s">
        <v>24</v>
      </c>
      <c r="C600" s="36" t="s">
        <v>263</v>
      </c>
      <c r="D600" s="37">
        <v>43783</v>
      </c>
      <c r="E600" s="36" t="s">
        <v>1590</v>
      </c>
      <c r="F600" s="36" t="s">
        <v>1591</v>
      </c>
      <c r="G600" s="36" t="s">
        <v>65</v>
      </c>
      <c r="H600" s="36" t="s">
        <v>214</v>
      </c>
      <c r="I600" s="36" t="s">
        <v>54</v>
      </c>
      <c r="J600" s="36" t="str">
        <f t="shared" si="25"/>
        <v>Marathi LanguageBoard of Literature and Culture EstablishmentB (Non Gazetted)Higher Grade StenographerS16 (44900 - 142400)</v>
      </c>
      <c r="K600" s="36" t="s">
        <v>68</v>
      </c>
      <c r="L600" s="36" t="s">
        <v>231</v>
      </c>
      <c r="M600" s="38" t="s">
        <v>1596</v>
      </c>
      <c r="N600" s="36" t="s">
        <v>70</v>
      </c>
      <c r="O600" s="6" t="s">
        <v>33</v>
      </c>
      <c r="P600" s="7">
        <v>1</v>
      </c>
      <c r="Q600" s="7" t="s">
        <v>100</v>
      </c>
      <c r="R600" s="7">
        <v>1</v>
      </c>
      <c r="S600" s="18">
        <v>45994</v>
      </c>
      <c r="T600" s="4" t="s">
        <v>3276</v>
      </c>
      <c r="U600" s="36" t="s">
        <v>35</v>
      </c>
      <c r="V600" s="38"/>
      <c r="W600" s="36"/>
      <c r="X600" s="36"/>
      <c r="Y600" s="36"/>
      <c r="Z600" s="41"/>
      <c r="AA600" s="42" t="e">
        <f>_xlfn.XLOOKUP(C600,#REF!,#REF!,"",0,1)</f>
        <v>#REF!</v>
      </c>
      <c r="AB600" s="43">
        <f t="shared" si="26"/>
        <v>0</v>
      </c>
    </row>
    <row r="601" spans="1:28" ht="104.5" thickBot="1" x14ac:dyDescent="0.3">
      <c r="A601" s="36">
        <v>600</v>
      </c>
      <c r="B601" s="36" t="s">
        <v>24</v>
      </c>
      <c r="C601" s="36" t="s">
        <v>263</v>
      </c>
      <c r="D601" s="37">
        <v>43783</v>
      </c>
      <c r="E601" s="36" t="s">
        <v>1590</v>
      </c>
      <c r="F601" s="36" t="s">
        <v>1591</v>
      </c>
      <c r="G601" s="36" t="s">
        <v>55</v>
      </c>
      <c r="H601" s="36" t="s">
        <v>1597</v>
      </c>
      <c r="I601" s="36" t="s">
        <v>74</v>
      </c>
      <c r="J601" s="36" t="str">
        <f t="shared" si="25"/>
        <v>Marathi LanguageBoard of Literature and Culture EstablishmentCClerk cum TypistS6 (19900 - 63200)</v>
      </c>
      <c r="K601" s="36" t="s">
        <v>75</v>
      </c>
      <c r="L601" s="36" t="s">
        <v>228</v>
      </c>
      <c r="M601" s="38" t="s">
        <v>1598</v>
      </c>
      <c r="N601" s="36" t="s">
        <v>70</v>
      </c>
      <c r="O601" s="6" t="s">
        <v>33</v>
      </c>
      <c r="P601" s="7">
        <v>2</v>
      </c>
      <c r="Q601" s="7" t="s">
        <v>100</v>
      </c>
      <c r="R601" s="7" t="s">
        <v>3248</v>
      </c>
      <c r="S601" s="8"/>
      <c r="T601" s="7" t="s">
        <v>61</v>
      </c>
      <c r="U601" s="36"/>
      <c r="V601" s="38" t="s">
        <v>125</v>
      </c>
      <c r="W601" s="36"/>
      <c r="X601" s="36" t="s">
        <v>77</v>
      </c>
      <c r="Y601" s="36" t="s">
        <v>78</v>
      </c>
      <c r="Z601" s="41"/>
      <c r="AA601" s="42" t="e">
        <f>_xlfn.XLOOKUP(C601,#REF!,#REF!,"",0,1)</f>
        <v>#REF!</v>
      </c>
      <c r="AB601" s="43">
        <f t="shared" si="26"/>
        <v>0</v>
      </c>
    </row>
    <row r="602" spans="1:28" ht="104.5" thickBot="1" x14ac:dyDescent="0.3">
      <c r="A602" s="36">
        <v>601</v>
      </c>
      <c r="B602" s="36" t="s">
        <v>24</v>
      </c>
      <c r="C602" s="36" t="s">
        <v>263</v>
      </c>
      <c r="D602" s="37">
        <v>43783</v>
      </c>
      <c r="E602" s="36" t="s">
        <v>1590</v>
      </c>
      <c r="F602" s="36" t="s">
        <v>1591</v>
      </c>
      <c r="G602" s="36" t="s">
        <v>55</v>
      </c>
      <c r="H602" s="36" t="s">
        <v>1599</v>
      </c>
      <c r="I602" s="36" t="s">
        <v>169</v>
      </c>
      <c r="J602" s="36" t="str">
        <f t="shared" si="25"/>
        <v>Marathi LanguageBoard of Literature and Culture EstablishmentCLibrary AssistantS7 (21700 - 69100)</v>
      </c>
      <c r="K602" s="36" t="s">
        <v>170</v>
      </c>
      <c r="L602" s="36" t="s">
        <v>228</v>
      </c>
      <c r="M602" s="38" t="s">
        <v>1600</v>
      </c>
      <c r="N602" s="36" t="s">
        <v>172</v>
      </c>
      <c r="O602" s="6" t="s">
        <v>33</v>
      </c>
      <c r="P602" s="7">
        <v>0</v>
      </c>
      <c r="Q602" s="7" t="s">
        <v>34</v>
      </c>
      <c r="R602" s="8"/>
      <c r="S602" s="8"/>
      <c r="T602" s="7" t="s">
        <v>2395</v>
      </c>
      <c r="U602" s="36"/>
      <c r="V602" s="38" t="s">
        <v>1601</v>
      </c>
      <c r="W602" s="36"/>
      <c r="X602" s="36" t="s">
        <v>1602</v>
      </c>
      <c r="Y602" s="46">
        <v>42679</v>
      </c>
      <c r="Z602" s="41"/>
      <c r="AA602" s="42" t="e">
        <f>_xlfn.XLOOKUP(C602,#REF!,#REF!,"",0,1)</f>
        <v>#REF!</v>
      </c>
      <c r="AB602" s="43">
        <f t="shared" si="26"/>
        <v>0</v>
      </c>
    </row>
    <row r="603" spans="1:28" ht="91.5" thickBot="1" x14ac:dyDescent="0.3">
      <c r="A603" s="36">
        <v>602</v>
      </c>
      <c r="B603" s="36" t="s">
        <v>24</v>
      </c>
      <c r="C603" s="36" t="s">
        <v>263</v>
      </c>
      <c r="D603" s="37">
        <v>43783</v>
      </c>
      <c r="E603" s="36" t="s">
        <v>1590</v>
      </c>
      <c r="F603" s="36" t="s">
        <v>1591</v>
      </c>
      <c r="G603" s="36" t="s">
        <v>55</v>
      </c>
      <c r="H603" s="36" t="s">
        <v>1603</v>
      </c>
      <c r="I603" s="36" t="s">
        <v>80</v>
      </c>
      <c r="J603" s="36" t="str">
        <f t="shared" si="25"/>
        <v>Marathi LanguageBoard of Literature and Culture EstablishmentCSenior clerkS8 (25500 - 81100)</v>
      </c>
      <c r="K603" s="36" t="s">
        <v>75</v>
      </c>
      <c r="L603" s="36" t="s">
        <v>228</v>
      </c>
      <c r="M603" s="38" t="s">
        <v>1604</v>
      </c>
      <c r="N603" s="36"/>
      <c r="O603" s="6" t="s">
        <v>33</v>
      </c>
      <c r="P603" s="7">
        <v>0</v>
      </c>
      <c r="Q603" s="7" t="s">
        <v>34</v>
      </c>
      <c r="R603" s="8"/>
      <c r="S603" s="8"/>
      <c r="T603" s="7" t="s">
        <v>2395</v>
      </c>
      <c r="U603" s="36"/>
      <c r="V603" s="38" t="s">
        <v>1604</v>
      </c>
      <c r="W603" s="36"/>
      <c r="X603" s="36" t="s">
        <v>150</v>
      </c>
      <c r="Y603" s="36" t="s">
        <v>150</v>
      </c>
      <c r="Z603" s="41"/>
      <c r="AA603" s="42" t="e">
        <f>_xlfn.XLOOKUP(C603,#REF!,#REF!,"",0,1)</f>
        <v>#REF!</v>
      </c>
      <c r="AB603" s="43">
        <f t="shared" si="26"/>
        <v>0</v>
      </c>
    </row>
    <row r="604" spans="1:28" ht="221.5" thickBot="1" x14ac:dyDescent="0.3">
      <c r="A604" s="36">
        <v>603</v>
      </c>
      <c r="B604" s="36" t="s">
        <v>24</v>
      </c>
      <c r="C604" s="36" t="s">
        <v>263</v>
      </c>
      <c r="D604" s="37" t="s">
        <v>1605</v>
      </c>
      <c r="E604" s="36" t="s">
        <v>1590</v>
      </c>
      <c r="F604" s="36" t="s">
        <v>1606</v>
      </c>
      <c r="G604" s="36" t="s">
        <v>28</v>
      </c>
      <c r="H604" s="36" t="s">
        <v>1607</v>
      </c>
      <c r="I604" s="36" t="s">
        <v>38</v>
      </c>
      <c r="J604" s="36" t="str">
        <f t="shared" si="25"/>
        <v>Marathi LanguageDirectorate of Languages EstablishmentADeputy Director of Languages (Translation &amp; Terminology)S20 (56100 - 177500)</v>
      </c>
      <c r="K604" s="36"/>
      <c r="L604" s="36" t="s">
        <v>243</v>
      </c>
      <c r="M604" s="38" t="s">
        <v>1608</v>
      </c>
      <c r="N604" s="36" t="s">
        <v>32</v>
      </c>
      <c r="O604" s="6" t="s">
        <v>33</v>
      </c>
      <c r="P604" s="7">
        <v>0</v>
      </c>
      <c r="Q604" s="7" t="s">
        <v>34</v>
      </c>
      <c r="R604" s="8"/>
      <c r="S604" s="8"/>
      <c r="T604" s="4" t="s">
        <v>3276</v>
      </c>
      <c r="U604" s="36"/>
      <c r="V604" s="38"/>
      <c r="W604" s="36"/>
      <c r="X604" s="36"/>
      <c r="Y604" s="36"/>
      <c r="Z604" s="41"/>
      <c r="AA604" s="42" t="e">
        <f>_xlfn.XLOOKUP(C604,#REF!,#REF!,"",0,1)</f>
        <v>#REF!</v>
      </c>
      <c r="AB604" s="43">
        <f t="shared" si="26"/>
        <v>0</v>
      </c>
    </row>
    <row r="605" spans="1:28" ht="234.5" thickBot="1" x14ac:dyDescent="0.3">
      <c r="A605" s="36">
        <v>604</v>
      </c>
      <c r="B605" s="36" t="s">
        <v>24</v>
      </c>
      <c r="C605" s="36" t="s">
        <v>263</v>
      </c>
      <c r="D605" s="37" t="s">
        <v>1605</v>
      </c>
      <c r="E605" s="36" t="s">
        <v>1590</v>
      </c>
      <c r="F605" s="36" t="s">
        <v>1606</v>
      </c>
      <c r="G605" s="36" t="s">
        <v>28</v>
      </c>
      <c r="H605" s="36" t="s">
        <v>1609</v>
      </c>
      <c r="I605" s="36" t="s">
        <v>38</v>
      </c>
      <c r="J605" s="36" t="str">
        <f t="shared" si="25"/>
        <v>Marathi LanguageDirectorate of Languages EstablishmentADeputy Director of Languages (Legal)S20 (56100 - 177500)</v>
      </c>
      <c r="K605" s="36"/>
      <c r="L605" s="36" t="s">
        <v>238</v>
      </c>
      <c r="M605" s="38" t="s">
        <v>1610</v>
      </c>
      <c r="N605" s="36"/>
      <c r="O605" s="9"/>
      <c r="P605" s="7">
        <v>0</v>
      </c>
      <c r="Q605" s="7" t="s">
        <v>34</v>
      </c>
      <c r="R605" s="8"/>
      <c r="S605" s="8"/>
      <c r="T605" s="7" t="s">
        <v>2395</v>
      </c>
      <c r="U605" s="36"/>
      <c r="V605" s="38"/>
      <c r="W605" s="36"/>
      <c r="X605" s="36"/>
      <c r="Y605" s="36"/>
      <c r="Z605" s="41"/>
      <c r="AA605" s="42" t="e">
        <f>_xlfn.XLOOKUP(C605,#REF!,#REF!,"",0,1)</f>
        <v>#REF!</v>
      </c>
      <c r="AB605" s="43">
        <f t="shared" si="26"/>
        <v>0</v>
      </c>
    </row>
    <row r="606" spans="1:28" ht="169.5" thickBot="1" x14ac:dyDescent="0.3">
      <c r="A606" s="36">
        <v>605</v>
      </c>
      <c r="B606" s="36" t="s">
        <v>24</v>
      </c>
      <c r="C606" s="36" t="s">
        <v>263</v>
      </c>
      <c r="D606" s="37" t="s">
        <v>1605</v>
      </c>
      <c r="E606" s="36" t="s">
        <v>1590</v>
      </c>
      <c r="F606" s="36" t="s">
        <v>1606</v>
      </c>
      <c r="G606" s="36" t="s">
        <v>28</v>
      </c>
      <c r="H606" s="36" t="s">
        <v>1611</v>
      </c>
      <c r="I606" s="36" t="s">
        <v>513</v>
      </c>
      <c r="J606" s="36" t="str">
        <f t="shared" si="25"/>
        <v>Marathi LanguageDirectorate of Languages EstablishmentADirector of LanguagesS25 (78800 - 209200)</v>
      </c>
      <c r="K606" s="36"/>
      <c r="L606" s="36" t="s">
        <v>243</v>
      </c>
      <c r="M606" s="38" t="s">
        <v>1612</v>
      </c>
      <c r="N606" s="36" t="s">
        <v>32</v>
      </c>
      <c r="O606" s="6" t="s">
        <v>33</v>
      </c>
      <c r="P606" s="7">
        <v>0</v>
      </c>
      <c r="Q606" s="7" t="s">
        <v>34</v>
      </c>
      <c r="R606" s="8"/>
      <c r="S606" s="8"/>
      <c r="T606" s="4" t="s">
        <v>3276</v>
      </c>
      <c r="U606" s="36"/>
      <c r="V606" s="38"/>
      <c r="W606" s="36"/>
      <c r="X606" s="36"/>
      <c r="Y606" s="36"/>
      <c r="Z606" s="41"/>
      <c r="AA606" s="42" t="e">
        <f>_xlfn.XLOOKUP(C606,#REF!,#REF!,"",0,1)</f>
        <v>#REF!</v>
      </c>
      <c r="AB606" s="43">
        <f t="shared" si="26"/>
        <v>0</v>
      </c>
    </row>
    <row r="607" spans="1:28" ht="143.5" thickBot="1" x14ac:dyDescent="0.3">
      <c r="A607" s="36">
        <v>606</v>
      </c>
      <c r="B607" s="36" t="s">
        <v>24</v>
      </c>
      <c r="C607" s="36" t="s">
        <v>263</v>
      </c>
      <c r="D607" s="37" t="s">
        <v>1605</v>
      </c>
      <c r="E607" s="36" t="s">
        <v>1590</v>
      </c>
      <c r="F607" s="36" t="s">
        <v>1606</v>
      </c>
      <c r="G607" s="36" t="s">
        <v>42</v>
      </c>
      <c r="H607" s="36" t="s">
        <v>1613</v>
      </c>
      <c r="I607" s="36" t="s">
        <v>44</v>
      </c>
      <c r="J607" s="36" t="str">
        <f t="shared" si="25"/>
        <v>Marathi LanguageDirectorate of Languages EstablishmentB (Gazetted)Language Officer (Hindi)S15 (41800 - 132300)</v>
      </c>
      <c r="K607" s="36"/>
      <c r="L607" s="36" t="s">
        <v>243</v>
      </c>
      <c r="M607" s="38" t="s">
        <v>1614</v>
      </c>
      <c r="N607" s="36" t="s">
        <v>32</v>
      </c>
      <c r="O607" s="6" t="s">
        <v>33</v>
      </c>
      <c r="P607" s="7">
        <v>0</v>
      </c>
      <c r="Q607" s="7" t="s">
        <v>34</v>
      </c>
      <c r="R607" s="8"/>
      <c r="S607" s="8"/>
      <c r="T607" s="4" t="s">
        <v>3276</v>
      </c>
      <c r="U607" s="36"/>
      <c r="V607" s="38"/>
      <c r="W607" s="36"/>
      <c r="X607" s="36"/>
      <c r="Y607" s="36"/>
      <c r="Z607" s="41"/>
      <c r="AA607" s="42" t="e">
        <f>_xlfn.XLOOKUP(C607,#REF!,#REF!,"",0,1)</f>
        <v>#REF!</v>
      </c>
      <c r="AB607" s="43">
        <f t="shared" si="26"/>
        <v>0</v>
      </c>
    </row>
    <row r="608" spans="1:28" ht="143.5" thickBot="1" x14ac:dyDescent="0.3">
      <c r="A608" s="36">
        <v>607</v>
      </c>
      <c r="B608" s="36" t="s">
        <v>24</v>
      </c>
      <c r="C608" s="36" t="s">
        <v>263</v>
      </c>
      <c r="D608" s="37" t="s">
        <v>1605</v>
      </c>
      <c r="E608" s="36" t="s">
        <v>1590</v>
      </c>
      <c r="F608" s="36" t="s">
        <v>1606</v>
      </c>
      <c r="G608" s="36" t="s">
        <v>42</v>
      </c>
      <c r="H608" s="36" t="s">
        <v>1615</v>
      </c>
      <c r="I608" s="36" t="s">
        <v>44</v>
      </c>
      <c r="J608" s="36" t="str">
        <f t="shared" si="25"/>
        <v>Marathi LanguageDirectorate of Languages EstablishmentB (Gazetted)Assistant Director of LanguagesS15 (41800 - 132300)</v>
      </c>
      <c r="K608" s="36"/>
      <c r="L608" s="36" t="s">
        <v>238</v>
      </c>
      <c r="M608" s="38" t="s">
        <v>1616</v>
      </c>
      <c r="N608" s="36" t="s">
        <v>744</v>
      </c>
      <c r="O608" s="6" t="s">
        <v>33</v>
      </c>
      <c r="P608" s="7">
        <v>1</v>
      </c>
      <c r="Q608" s="7" t="s">
        <v>100</v>
      </c>
      <c r="R608" s="7">
        <v>1</v>
      </c>
      <c r="S608" s="18">
        <v>45288</v>
      </c>
      <c r="T608" s="7" t="s">
        <v>2395</v>
      </c>
      <c r="U608" s="36"/>
      <c r="V608" s="38"/>
      <c r="W608" s="36"/>
      <c r="X608" s="36"/>
      <c r="Y608" s="36"/>
      <c r="Z608" s="41"/>
      <c r="AA608" s="42" t="e">
        <f>_xlfn.XLOOKUP(C608,#REF!,#REF!,"",0,1)</f>
        <v>#REF!</v>
      </c>
      <c r="AB608" s="43">
        <f t="shared" si="26"/>
        <v>0</v>
      </c>
    </row>
    <row r="609" spans="1:28" ht="169.5" thickBot="1" x14ac:dyDescent="0.3">
      <c r="A609" s="36">
        <v>608</v>
      </c>
      <c r="B609" s="36" t="s">
        <v>24</v>
      </c>
      <c r="C609" s="36" t="s">
        <v>263</v>
      </c>
      <c r="D609" s="37" t="s">
        <v>1605</v>
      </c>
      <c r="E609" s="36" t="s">
        <v>1590</v>
      </c>
      <c r="F609" s="36" t="s">
        <v>1606</v>
      </c>
      <c r="G609" s="36" t="s">
        <v>42</v>
      </c>
      <c r="H609" s="36" t="s">
        <v>1617</v>
      </c>
      <c r="I609" s="36" t="s">
        <v>44</v>
      </c>
      <c r="J609" s="36" t="str">
        <f t="shared" si="25"/>
        <v>Marathi LanguageDirectorate of Languages EstablishmentB (Gazetted)Assistant Director of Languages (Training &amp; Establishment)S15 (41800 - 132300)</v>
      </c>
      <c r="K609" s="36"/>
      <c r="L609" s="36" t="s">
        <v>243</v>
      </c>
      <c r="M609" s="38" t="s">
        <v>1618</v>
      </c>
      <c r="N609" s="36" t="s">
        <v>32</v>
      </c>
      <c r="O609" s="6" t="s">
        <v>33</v>
      </c>
      <c r="P609" s="7">
        <v>0</v>
      </c>
      <c r="Q609" s="7" t="s">
        <v>34</v>
      </c>
      <c r="R609" s="8"/>
      <c r="S609" s="8"/>
      <c r="T609" s="4" t="s">
        <v>3276</v>
      </c>
      <c r="U609" s="36"/>
      <c r="V609" s="38"/>
      <c r="W609" s="36"/>
      <c r="X609" s="36"/>
      <c r="Y609" s="36"/>
      <c r="Z609" s="41"/>
      <c r="AA609" s="42" t="e">
        <f>_xlfn.XLOOKUP(C609,#REF!,#REF!,"",0,1)</f>
        <v>#REF!</v>
      </c>
      <c r="AB609" s="43">
        <f t="shared" si="26"/>
        <v>0</v>
      </c>
    </row>
    <row r="610" spans="1:28" ht="117.5" thickBot="1" x14ac:dyDescent="0.3">
      <c r="A610" s="36">
        <v>609</v>
      </c>
      <c r="B610" s="36" t="s">
        <v>24</v>
      </c>
      <c r="C610" s="36" t="s">
        <v>263</v>
      </c>
      <c r="D610" s="37" t="s">
        <v>1605</v>
      </c>
      <c r="E610" s="36" t="s">
        <v>1590</v>
      </c>
      <c r="F610" s="36" t="s">
        <v>1606</v>
      </c>
      <c r="G610" s="36" t="s">
        <v>55</v>
      </c>
      <c r="H610" s="36" t="s">
        <v>1619</v>
      </c>
      <c r="I610" s="36" t="s">
        <v>57</v>
      </c>
      <c r="J610" s="36" t="str">
        <f t="shared" si="25"/>
        <v>Marathi LanguageDirectorate of Languages EstablishmentCTranslator (Marathi)S13 (35400 - 112400)</v>
      </c>
      <c r="K610" s="36"/>
      <c r="L610" s="36" t="s">
        <v>238</v>
      </c>
      <c r="M610" s="38" t="s">
        <v>1620</v>
      </c>
      <c r="N610" s="36" t="s">
        <v>283</v>
      </c>
      <c r="O610" s="6" t="s">
        <v>33</v>
      </c>
      <c r="P610" s="7">
        <v>16</v>
      </c>
      <c r="Q610" s="7" t="s">
        <v>100</v>
      </c>
      <c r="R610" s="7">
        <v>10</v>
      </c>
      <c r="S610" s="7" t="s">
        <v>3249</v>
      </c>
      <c r="T610" s="7" t="s">
        <v>35</v>
      </c>
      <c r="U610" s="36"/>
      <c r="V610" s="38"/>
      <c r="W610" s="36"/>
      <c r="X610" s="36"/>
      <c r="Y610" s="36"/>
      <c r="Z610" s="41"/>
      <c r="AA610" s="42" t="e">
        <f>_xlfn.XLOOKUP(C610,#REF!,#REF!,"",0,1)</f>
        <v>#REF!</v>
      </c>
      <c r="AB610" s="43">
        <f t="shared" si="26"/>
        <v>0</v>
      </c>
    </row>
    <row r="611" spans="1:28" ht="117.5" thickBot="1" x14ac:dyDescent="0.3">
      <c r="A611" s="36">
        <v>610</v>
      </c>
      <c r="B611" s="36" t="s">
        <v>24</v>
      </c>
      <c r="C611" s="36" t="s">
        <v>263</v>
      </c>
      <c r="D611" s="37" t="s">
        <v>1605</v>
      </c>
      <c r="E611" s="36" t="s">
        <v>1590</v>
      </c>
      <c r="F611" s="36" t="s">
        <v>1606</v>
      </c>
      <c r="G611" s="36" t="s">
        <v>55</v>
      </c>
      <c r="H611" s="36" t="s">
        <v>1621</v>
      </c>
      <c r="I611" s="36" t="s">
        <v>57</v>
      </c>
      <c r="J611" s="36" t="str">
        <f t="shared" si="25"/>
        <v>Marathi LanguageDirectorate of Languages EstablishmentCTranslator (Hindi)S13 (35400 - 112400)</v>
      </c>
      <c r="K611" s="36"/>
      <c r="L611" s="36" t="s">
        <v>238</v>
      </c>
      <c r="M611" s="38" t="s">
        <v>1622</v>
      </c>
      <c r="N611" s="36" t="s">
        <v>283</v>
      </c>
      <c r="O611" s="6" t="s">
        <v>33</v>
      </c>
      <c r="P611" s="7">
        <v>0</v>
      </c>
      <c r="Q611" s="7" t="s">
        <v>34</v>
      </c>
      <c r="R611" s="8"/>
      <c r="S611" s="8"/>
      <c r="T611" s="7" t="s">
        <v>2395</v>
      </c>
      <c r="U611" s="36"/>
      <c r="V611" s="38"/>
      <c r="W611" s="36"/>
      <c r="X611" s="36"/>
      <c r="Y611" s="36"/>
      <c r="Z611" s="41"/>
      <c r="AA611" s="42" t="e">
        <f>_xlfn.XLOOKUP(C611,#REF!,#REF!,"",0,1)</f>
        <v>#REF!</v>
      </c>
      <c r="AB611" s="43">
        <f t="shared" si="26"/>
        <v>0</v>
      </c>
    </row>
    <row r="612" spans="1:28" ht="91.5" thickBot="1" x14ac:dyDescent="0.3">
      <c r="A612" s="36">
        <v>611</v>
      </c>
      <c r="B612" s="36" t="s">
        <v>24</v>
      </c>
      <c r="C612" s="36" t="s">
        <v>263</v>
      </c>
      <c r="D612" s="37" t="s">
        <v>1605</v>
      </c>
      <c r="E612" s="36" t="s">
        <v>1590</v>
      </c>
      <c r="F612" s="36" t="s">
        <v>1606</v>
      </c>
      <c r="G612" s="36" t="s">
        <v>55</v>
      </c>
      <c r="H612" s="36" t="s">
        <v>630</v>
      </c>
      <c r="I612" s="36" t="s">
        <v>74</v>
      </c>
      <c r="J612" s="36" t="str">
        <f t="shared" si="25"/>
        <v>Marathi LanguageDirectorate of Languages EstablishmentCClerkTypistS6 (19900 - 63200)</v>
      </c>
      <c r="K612" s="36" t="s">
        <v>75</v>
      </c>
      <c r="L612" s="36" t="s">
        <v>228</v>
      </c>
      <c r="M612" s="38" t="s">
        <v>1623</v>
      </c>
      <c r="N612" s="36" t="s">
        <v>70</v>
      </c>
      <c r="O612" s="6" t="s">
        <v>33</v>
      </c>
      <c r="P612" s="7">
        <v>10</v>
      </c>
      <c r="Q612" s="7" t="s">
        <v>100</v>
      </c>
      <c r="R612" s="7">
        <v>10</v>
      </c>
      <c r="S612" s="7" t="s">
        <v>3250</v>
      </c>
      <c r="T612" s="7" t="s">
        <v>61</v>
      </c>
      <c r="U612" s="36"/>
      <c r="V612" s="38" t="s">
        <v>125</v>
      </c>
      <c r="W612" s="36"/>
      <c r="X612" s="36" t="s">
        <v>77</v>
      </c>
      <c r="Y612" s="36" t="s">
        <v>78</v>
      </c>
      <c r="Z612" s="41"/>
      <c r="AA612" s="42" t="e">
        <f>_xlfn.XLOOKUP(C612,#REF!,#REF!,"",0,1)</f>
        <v>#REF!</v>
      </c>
      <c r="AB612" s="43">
        <f t="shared" si="26"/>
        <v>0</v>
      </c>
    </row>
    <row r="613" spans="1:28" ht="104.5" thickBot="1" x14ac:dyDescent="0.3">
      <c r="A613" s="36">
        <v>612</v>
      </c>
      <c r="B613" s="36" t="s">
        <v>24</v>
      </c>
      <c r="C613" s="36" t="s">
        <v>263</v>
      </c>
      <c r="D613" s="37" t="s">
        <v>1605</v>
      </c>
      <c r="E613" s="36" t="s">
        <v>1590</v>
      </c>
      <c r="F613" s="36" t="s">
        <v>1606</v>
      </c>
      <c r="G613" s="36" t="s">
        <v>55</v>
      </c>
      <c r="H613" s="36" t="s">
        <v>1624</v>
      </c>
      <c r="I613" s="36" t="s">
        <v>169</v>
      </c>
      <c r="J613" s="36" t="str">
        <f t="shared" si="25"/>
        <v>Marathi LanguageDirectorate of Languages EstablishmentCJunior LibrarianS7 (21700 - 69100)</v>
      </c>
      <c r="K613" s="36" t="s">
        <v>170</v>
      </c>
      <c r="L613" s="36" t="s">
        <v>228</v>
      </c>
      <c r="M613" s="38" t="s">
        <v>1625</v>
      </c>
      <c r="N613" s="36" t="s">
        <v>172</v>
      </c>
      <c r="O613" s="6" t="s">
        <v>33</v>
      </c>
      <c r="P613" s="7">
        <v>0</v>
      </c>
      <c r="Q613" s="7" t="s">
        <v>34</v>
      </c>
      <c r="R613" s="8"/>
      <c r="S613" s="8"/>
      <c r="T613" s="7" t="s">
        <v>2395</v>
      </c>
      <c r="U613" s="36"/>
      <c r="V613" s="38" t="s">
        <v>1626</v>
      </c>
      <c r="W613" s="36"/>
      <c r="X613" s="36" t="s">
        <v>1627</v>
      </c>
      <c r="Y613" s="36" t="s">
        <v>1628</v>
      </c>
      <c r="Z613" s="41"/>
      <c r="AA613" s="42" t="e">
        <f>_xlfn.XLOOKUP(C613,#REF!,#REF!,"",0,1)</f>
        <v>#REF!</v>
      </c>
      <c r="AB613" s="43">
        <f t="shared" si="26"/>
        <v>0</v>
      </c>
    </row>
    <row r="614" spans="1:28" ht="104.5" thickBot="1" x14ac:dyDescent="0.3">
      <c r="A614" s="36">
        <v>613</v>
      </c>
      <c r="B614" s="36" t="s">
        <v>24</v>
      </c>
      <c r="C614" s="36" t="s">
        <v>263</v>
      </c>
      <c r="D614" s="37" t="s">
        <v>1605</v>
      </c>
      <c r="E614" s="36" t="s">
        <v>1590</v>
      </c>
      <c r="F614" s="36" t="s">
        <v>1606</v>
      </c>
      <c r="G614" s="36" t="s">
        <v>55</v>
      </c>
      <c r="H614" s="36" t="s">
        <v>1629</v>
      </c>
      <c r="I614" s="36" t="s">
        <v>80</v>
      </c>
      <c r="J614" s="36" t="str">
        <f t="shared" si="25"/>
        <v>Marathi LanguageDirectorate of Languages EstablishmentCStenoTypist (Marathi)S8 (25500 - 81100)</v>
      </c>
      <c r="K614" s="36" t="s">
        <v>68</v>
      </c>
      <c r="L614" s="36" t="s">
        <v>231</v>
      </c>
      <c r="M614" s="38" t="s">
        <v>1630</v>
      </c>
      <c r="N614" s="36" t="s">
        <v>70</v>
      </c>
      <c r="O614" s="6" t="s">
        <v>33</v>
      </c>
      <c r="P614" s="7">
        <v>1</v>
      </c>
      <c r="Q614" s="7" t="s">
        <v>100</v>
      </c>
      <c r="R614" s="7">
        <v>1</v>
      </c>
      <c r="S614" s="18">
        <v>46035</v>
      </c>
      <c r="T614" s="4" t="s">
        <v>3276</v>
      </c>
      <c r="U614" s="36" t="s">
        <v>35</v>
      </c>
      <c r="V614" s="38"/>
      <c r="W614" s="36"/>
      <c r="X614" s="36"/>
      <c r="Y614" s="36"/>
      <c r="Z614" s="41"/>
      <c r="AA614" s="42" t="e">
        <f>_xlfn.XLOOKUP(C614,#REF!,#REF!,"",0,1)</f>
        <v>#REF!</v>
      </c>
      <c r="AB614" s="43">
        <f t="shared" si="26"/>
        <v>0</v>
      </c>
    </row>
    <row r="615" spans="1:28" ht="130.5" thickBot="1" x14ac:dyDescent="0.3">
      <c r="A615" s="36">
        <v>614</v>
      </c>
      <c r="B615" s="36" t="s">
        <v>24</v>
      </c>
      <c r="C615" s="36" t="s">
        <v>263</v>
      </c>
      <c r="D615" s="37">
        <v>43783</v>
      </c>
      <c r="E615" s="36" t="s">
        <v>1590</v>
      </c>
      <c r="F615" s="36" t="s">
        <v>1631</v>
      </c>
      <c r="G615" s="36" t="s">
        <v>28</v>
      </c>
      <c r="H615" s="36" t="s">
        <v>1465</v>
      </c>
      <c r="I615" s="36" t="s">
        <v>242</v>
      </c>
      <c r="J615" s="36" t="str">
        <f t="shared" si="25"/>
        <v>Marathi LanguageMarathi Encyclopedia Production Board EstablishmentASecretaryS23 (67700 - 208700)</v>
      </c>
      <c r="K615" s="36"/>
      <c r="L615" s="36" t="s">
        <v>243</v>
      </c>
      <c r="M615" s="38" t="s">
        <v>1632</v>
      </c>
      <c r="N615" s="36" t="s">
        <v>32</v>
      </c>
      <c r="O615" s="6" t="s">
        <v>33</v>
      </c>
      <c r="P615" s="7">
        <v>0</v>
      </c>
      <c r="Q615" s="7" t="s">
        <v>34</v>
      </c>
      <c r="R615" s="8"/>
      <c r="S615" s="8"/>
      <c r="T615" s="4" t="s">
        <v>3276</v>
      </c>
      <c r="U615" s="36"/>
      <c r="V615" s="38"/>
      <c r="W615" s="36"/>
      <c r="X615" s="36"/>
      <c r="Y615" s="36"/>
      <c r="Z615" s="41"/>
      <c r="AA615" s="42" t="e">
        <f>_xlfn.XLOOKUP(C615,#REF!,#REF!,"",0,1)</f>
        <v>#REF!</v>
      </c>
      <c r="AB615" s="43">
        <f t="shared" si="26"/>
        <v>0</v>
      </c>
    </row>
    <row r="616" spans="1:28" ht="169.5" thickBot="1" x14ac:dyDescent="0.3">
      <c r="A616" s="36">
        <v>615</v>
      </c>
      <c r="B616" s="36" t="s">
        <v>24</v>
      </c>
      <c r="C616" s="36" t="s">
        <v>263</v>
      </c>
      <c r="D616" s="37">
        <v>43783</v>
      </c>
      <c r="E616" s="36" t="s">
        <v>1590</v>
      </c>
      <c r="F616" s="36" t="s">
        <v>1631</v>
      </c>
      <c r="G616" s="36" t="s">
        <v>42</v>
      </c>
      <c r="H616" s="36" t="s">
        <v>1633</v>
      </c>
      <c r="I616" s="36" t="s">
        <v>44</v>
      </c>
      <c r="J616" s="36" t="str">
        <f t="shared" si="25"/>
        <v>Marathi LanguageMarathi Encyclopedia Production Board EstablishmentB (Gazetted)Assistant SecretaryS15 (41800 - 132300)</v>
      </c>
      <c r="K616" s="36"/>
      <c r="L616" s="36" t="s">
        <v>238</v>
      </c>
      <c r="M616" s="38" t="s">
        <v>1634</v>
      </c>
      <c r="N616" s="36"/>
      <c r="O616" s="6" t="s">
        <v>33</v>
      </c>
      <c r="P616" s="7">
        <v>0</v>
      </c>
      <c r="Q616" s="7" t="s">
        <v>34</v>
      </c>
      <c r="R616" s="8"/>
      <c r="S616" s="8"/>
      <c r="T616" s="7" t="s">
        <v>2395</v>
      </c>
      <c r="U616" s="36"/>
      <c r="V616" s="38"/>
      <c r="W616" s="36"/>
      <c r="X616" s="36"/>
      <c r="Y616" s="36"/>
      <c r="Z616" s="41"/>
      <c r="AA616" s="42" t="e">
        <f>_xlfn.XLOOKUP(C616,#REF!,#REF!,"",0,1)</f>
        <v>#REF!</v>
      </c>
      <c r="AB616" s="43">
        <f t="shared" si="26"/>
        <v>0</v>
      </c>
    </row>
    <row r="617" spans="1:28" ht="169.5" thickBot="1" x14ac:dyDescent="0.3">
      <c r="A617" s="36">
        <v>616</v>
      </c>
      <c r="B617" s="36" t="s">
        <v>24</v>
      </c>
      <c r="C617" s="36" t="s">
        <v>263</v>
      </c>
      <c r="D617" s="37">
        <v>43783</v>
      </c>
      <c r="E617" s="36" t="s">
        <v>1590</v>
      </c>
      <c r="F617" s="36" t="s">
        <v>1631</v>
      </c>
      <c r="G617" s="36" t="s">
        <v>65</v>
      </c>
      <c r="H617" s="36" t="s">
        <v>212</v>
      </c>
      <c r="I617" s="36" t="s">
        <v>44</v>
      </c>
      <c r="J617" s="36" t="str">
        <f t="shared" si="25"/>
        <v>Marathi LanguageMarathi Encyclopedia Production Board EstablishmentB (Non Gazetted)Lower Grade StenographerS15 (41800 - 132300)</v>
      </c>
      <c r="K617" s="36" t="s">
        <v>68</v>
      </c>
      <c r="L617" s="36" t="s">
        <v>231</v>
      </c>
      <c r="M617" s="38" t="s">
        <v>1635</v>
      </c>
      <c r="N617" s="36" t="s">
        <v>70</v>
      </c>
      <c r="O617" s="6" t="s">
        <v>33</v>
      </c>
      <c r="P617" s="7">
        <v>0</v>
      </c>
      <c r="Q617" s="7" t="s">
        <v>34</v>
      </c>
      <c r="R617" s="8"/>
      <c r="S617" s="8"/>
      <c r="T617" s="4" t="s">
        <v>3276</v>
      </c>
      <c r="U617" s="36" t="s">
        <v>35</v>
      </c>
      <c r="V617" s="38"/>
      <c r="W617" s="36"/>
      <c r="X617" s="36"/>
      <c r="Y617" s="36"/>
      <c r="Z617" s="41"/>
      <c r="AA617" s="42" t="e">
        <f>_xlfn.XLOOKUP(C617,#REF!,#REF!,"",0,1)</f>
        <v>#REF!</v>
      </c>
      <c r="AB617" s="43">
        <f t="shared" si="26"/>
        <v>0</v>
      </c>
    </row>
    <row r="618" spans="1:28" ht="156.5" thickBot="1" x14ac:dyDescent="0.3">
      <c r="A618" s="36">
        <v>617</v>
      </c>
      <c r="B618" s="36" t="s">
        <v>24</v>
      </c>
      <c r="C618" s="36" t="s">
        <v>263</v>
      </c>
      <c r="D618" s="37">
        <v>43783</v>
      </c>
      <c r="E618" s="36" t="s">
        <v>1590</v>
      </c>
      <c r="F618" s="36" t="s">
        <v>1631</v>
      </c>
      <c r="G618" s="36" t="s">
        <v>65</v>
      </c>
      <c r="H618" s="36" t="s">
        <v>1636</v>
      </c>
      <c r="I618" s="36" t="s">
        <v>44</v>
      </c>
      <c r="J618" s="36" t="str">
        <f t="shared" si="25"/>
        <v>Marathi LanguageMarathi Encyclopedia Production Board EstablishmentB (Non Gazetted)Scholar AssistantS15 (41800 - 132300)</v>
      </c>
      <c r="K618" s="36"/>
      <c r="L618" s="36" t="s">
        <v>238</v>
      </c>
      <c r="M618" s="38" t="s">
        <v>1637</v>
      </c>
      <c r="N618" s="36" t="s">
        <v>283</v>
      </c>
      <c r="O618" s="6" t="s">
        <v>33</v>
      </c>
      <c r="P618" s="7">
        <v>1</v>
      </c>
      <c r="Q618" s="7" t="s">
        <v>34</v>
      </c>
      <c r="R618" s="8"/>
      <c r="S618" s="8"/>
      <c r="T618" s="7" t="s">
        <v>2395</v>
      </c>
      <c r="U618" s="36"/>
      <c r="V618" s="38"/>
      <c r="W618" s="36"/>
      <c r="X618" s="36"/>
      <c r="Y618" s="36"/>
      <c r="Z618" s="41"/>
      <c r="AA618" s="42" t="e">
        <f>_xlfn.XLOOKUP(C618,#REF!,#REF!,"",0,1)</f>
        <v>#REF!</v>
      </c>
      <c r="AB618" s="43">
        <f t="shared" si="26"/>
        <v>0</v>
      </c>
    </row>
    <row r="619" spans="1:28" ht="130.5" thickBot="1" x14ac:dyDescent="0.3">
      <c r="A619" s="36">
        <v>618</v>
      </c>
      <c r="B619" s="36" t="s">
        <v>24</v>
      </c>
      <c r="C619" s="36" t="s">
        <v>263</v>
      </c>
      <c r="D619" s="37">
        <v>43783</v>
      </c>
      <c r="E619" s="36" t="s">
        <v>1590</v>
      </c>
      <c r="F619" s="36" t="s">
        <v>1631</v>
      </c>
      <c r="G619" s="36" t="s">
        <v>55</v>
      </c>
      <c r="H619" s="36" t="s">
        <v>1638</v>
      </c>
      <c r="I619" s="36" t="s">
        <v>276</v>
      </c>
      <c r="J619" s="36" t="str">
        <f t="shared" si="25"/>
        <v>Marathi LanguageMarathi Encyclopedia Production Board EstablishmentCEditorial AssistantS10 (29200 - 92300)</v>
      </c>
      <c r="K619" s="36"/>
      <c r="L619" s="36" t="s">
        <v>238</v>
      </c>
      <c r="M619" s="38" t="s">
        <v>1639</v>
      </c>
      <c r="N619" s="36" t="s">
        <v>283</v>
      </c>
      <c r="O619" s="6" t="s">
        <v>33</v>
      </c>
      <c r="P619" s="7">
        <v>0</v>
      </c>
      <c r="Q619" s="7" t="s">
        <v>34</v>
      </c>
      <c r="R619" s="8"/>
      <c r="S619" s="8"/>
      <c r="T619" s="7" t="s">
        <v>2395</v>
      </c>
      <c r="U619" s="36"/>
      <c r="V619" s="38"/>
      <c r="W619" s="36"/>
      <c r="X619" s="36"/>
      <c r="Y619" s="36"/>
      <c r="Z619" s="41"/>
      <c r="AA619" s="42" t="e">
        <f>_xlfn.XLOOKUP(C619,#REF!,#REF!,"",0,1)</f>
        <v>#REF!</v>
      </c>
      <c r="AB619" s="43">
        <f t="shared" si="26"/>
        <v>0</v>
      </c>
    </row>
    <row r="620" spans="1:28" ht="130.5" thickBot="1" x14ac:dyDescent="0.3">
      <c r="A620" s="36">
        <v>619</v>
      </c>
      <c r="B620" s="36" t="s">
        <v>24</v>
      </c>
      <c r="C620" s="36" t="s">
        <v>263</v>
      </c>
      <c r="D620" s="37">
        <v>43783</v>
      </c>
      <c r="E620" s="36" t="s">
        <v>1590</v>
      </c>
      <c r="F620" s="36" t="s">
        <v>1631</v>
      </c>
      <c r="G620" s="36" t="s">
        <v>55</v>
      </c>
      <c r="H620" s="36" t="s">
        <v>331</v>
      </c>
      <c r="I620" s="36" t="s">
        <v>74</v>
      </c>
      <c r="J620" s="36" t="str">
        <f t="shared" si="25"/>
        <v>Marathi LanguageMarathi Encyclopedia Production Board EstablishmentCClerkcumTypistS6 (19900 - 63200)</v>
      </c>
      <c r="K620" s="36" t="s">
        <v>75</v>
      </c>
      <c r="L620" s="36" t="s">
        <v>228</v>
      </c>
      <c r="M620" s="38" t="s">
        <v>1640</v>
      </c>
      <c r="N620" s="36" t="s">
        <v>70</v>
      </c>
      <c r="O620" s="6" t="s">
        <v>33</v>
      </c>
      <c r="P620" s="7">
        <v>1</v>
      </c>
      <c r="Q620" s="7" t="s">
        <v>100</v>
      </c>
      <c r="R620" s="7">
        <v>1</v>
      </c>
      <c r="S620" s="7" t="s">
        <v>3251</v>
      </c>
      <c r="T620" s="7" t="s">
        <v>2395</v>
      </c>
      <c r="U620" s="36"/>
      <c r="V620" s="38" t="s">
        <v>125</v>
      </c>
      <c r="W620" s="36"/>
      <c r="X620" s="36" t="s">
        <v>77</v>
      </c>
      <c r="Y620" s="36" t="s">
        <v>78</v>
      </c>
      <c r="Z620" s="41"/>
      <c r="AA620" s="42" t="e">
        <f>_xlfn.XLOOKUP(C620,#REF!,#REF!,"",0,1)</f>
        <v>#REF!</v>
      </c>
      <c r="AB620" s="43">
        <f t="shared" si="26"/>
        <v>0</v>
      </c>
    </row>
    <row r="621" spans="1:28" ht="130.5" thickBot="1" x14ac:dyDescent="0.3">
      <c r="A621" s="36">
        <v>620</v>
      </c>
      <c r="B621" s="36" t="s">
        <v>24</v>
      </c>
      <c r="C621" s="36" t="s">
        <v>263</v>
      </c>
      <c r="D621" s="37">
        <v>43783</v>
      </c>
      <c r="E621" s="36" t="s">
        <v>1590</v>
      </c>
      <c r="F621" s="36" t="s">
        <v>1631</v>
      </c>
      <c r="G621" s="36" t="s">
        <v>55</v>
      </c>
      <c r="H621" s="36" t="s">
        <v>1599</v>
      </c>
      <c r="I621" s="36" t="s">
        <v>169</v>
      </c>
      <c r="J621" s="36" t="str">
        <f t="shared" si="25"/>
        <v>Marathi LanguageMarathi Encyclopedia Production Board EstablishmentCLibrary AssistantS7 (21700 - 69100)</v>
      </c>
      <c r="K621" s="36" t="s">
        <v>170</v>
      </c>
      <c r="L621" s="36" t="s">
        <v>228</v>
      </c>
      <c r="M621" s="38" t="s">
        <v>1641</v>
      </c>
      <c r="N621" s="36" t="s">
        <v>172</v>
      </c>
      <c r="O621" s="6" t="s">
        <v>33</v>
      </c>
      <c r="P621" s="7">
        <v>0</v>
      </c>
      <c r="Q621" s="7" t="s">
        <v>34</v>
      </c>
      <c r="R621" s="8"/>
      <c r="S621" s="8"/>
      <c r="T621" s="7" t="s">
        <v>2395</v>
      </c>
      <c r="U621" s="36"/>
      <c r="V621" s="38" t="s">
        <v>1642</v>
      </c>
      <c r="W621" s="36"/>
      <c r="X621" s="36" t="s">
        <v>1643</v>
      </c>
      <c r="Y621" s="36" t="s">
        <v>1644</v>
      </c>
      <c r="Z621" s="41"/>
      <c r="AA621" s="42" t="e">
        <f>_xlfn.XLOOKUP(C621,#REF!,#REF!,"",0,1)</f>
        <v>#REF!</v>
      </c>
      <c r="AB621" s="43">
        <f t="shared" si="26"/>
        <v>0</v>
      </c>
    </row>
    <row r="622" spans="1:28" ht="130.5" thickBot="1" x14ac:dyDescent="0.3">
      <c r="A622" s="36">
        <v>621</v>
      </c>
      <c r="B622" s="36" t="s">
        <v>24</v>
      </c>
      <c r="C622" s="36" t="s">
        <v>1645</v>
      </c>
      <c r="D622" s="37">
        <v>39372</v>
      </c>
      <c r="E622" s="36" t="s">
        <v>1646</v>
      </c>
      <c r="F622" s="36" t="s">
        <v>1647</v>
      </c>
      <c r="G622" s="36" t="s">
        <v>28</v>
      </c>
      <c r="H622" s="36" t="s">
        <v>1648</v>
      </c>
      <c r="I622" s="36" t="s">
        <v>1649</v>
      </c>
      <c r="J622" s="36" t="str">
        <f t="shared" si="25"/>
        <v>Medical Education and DrugsAyush EstablishmentAAssociate Professor (Yoga Naturopathy)L-13 : 131400 - 217100</v>
      </c>
      <c r="K622" s="36" t="s">
        <v>1650</v>
      </c>
      <c r="L622" s="36" t="s">
        <v>247</v>
      </c>
      <c r="M622" s="38" t="s">
        <v>1651</v>
      </c>
      <c r="N622" s="36" t="s">
        <v>41</v>
      </c>
      <c r="O622" s="6" t="s">
        <v>83</v>
      </c>
      <c r="P622" s="7">
        <v>3</v>
      </c>
      <c r="Q622" s="7" t="s">
        <v>34</v>
      </c>
      <c r="R622" s="8"/>
      <c r="S622" s="8"/>
      <c r="T622" s="7" t="s">
        <v>35</v>
      </c>
      <c r="U622" s="36" t="s">
        <v>35</v>
      </c>
      <c r="V622" s="38"/>
      <c r="W622" s="36"/>
      <c r="X622" s="36"/>
      <c r="Y622" s="36"/>
      <c r="Z622" s="41"/>
      <c r="AA622" s="42" t="e">
        <f>_xlfn.XLOOKUP(C622,#REF!,#REF!,"",0,1)</f>
        <v>#REF!</v>
      </c>
      <c r="AB622" s="43">
        <f t="shared" si="26"/>
        <v>0</v>
      </c>
    </row>
    <row r="623" spans="1:28" ht="117.5" thickBot="1" x14ac:dyDescent="0.3">
      <c r="A623" s="36">
        <v>622</v>
      </c>
      <c r="B623" s="36" t="s">
        <v>24</v>
      </c>
      <c r="C623" s="36" t="s">
        <v>1645</v>
      </c>
      <c r="D623" s="37">
        <v>39372</v>
      </c>
      <c r="E623" s="36" t="s">
        <v>1646</v>
      </c>
      <c r="F623" s="36" t="s">
        <v>1647</v>
      </c>
      <c r="G623" s="36" t="s">
        <v>28</v>
      </c>
      <c r="H623" s="36" t="s">
        <v>1652</v>
      </c>
      <c r="I623" s="36" t="s">
        <v>1649</v>
      </c>
      <c r="J623" s="36" t="str">
        <f t="shared" si="25"/>
        <v>Medical Education and DrugsAyush EstablishmentAAssociate Professor (Unani)L-13 : 131400 - 217100</v>
      </c>
      <c r="K623" s="36" t="s">
        <v>1650</v>
      </c>
      <c r="L623" s="36" t="s">
        <v>247</v>
      </c>
      <c r="M623" s="38" t="s">
        <v>1653</v>
      </c>
      <c r="N623" s="36" t="s">
        <v>41</v>
      </c>
      <c r="O623" s="6" t="s">
        <v>83</v>
      </c>
      <c r="P623" s="7">
        <v>3</v>
      </c>
      <c r="Q623" s="7" t="s">
        <v>34</v>
      </c>
      <c r="R623" s="8"/>
      <c r="S623" s="8"/>
      <c r="T623" s="7" t="s">
        <v>35</v>
      </c>
      <c r="U623" s="36" t="s">
        <v>35</v>
      </c>
      <c r="V623" s="38"/>
      <c r="W623" s="36"/>
      <c r="X623" s="36"/>
      <c r="Y623" s="36"/>
      <c r="Z623" s="41"/>
      <c r="AA623" s="42" t="e">
        <f>_xlfn.XLOOKUP(C623,#REF!,#REF!,"",0,1)</f>
        <v>#REF!</v>
      </c>
      <c r="AB623" s="43">
        <f t="shared" si="26"/>
        <v>0</v>
      </c>
    </row>
    <row r="624" spans="1:28" ht="117.5" thickBot="1" x14ac:dyDescent="0.3">
      <c r="A624" s="36">
        <v>623</v>
      </c>
      <c r="B624" s="36" t="s">
        <v>24</v>
      </c>
      <c r="C624" s="36" t="s">
        <v>1645</v>
      </c>
      <c r="D624" s="37">
        <v>39372</v>
      </c>
      <c r="E624" s="36" t="s">
        <v>1646</v>
      </c>
      <c r="F624" s="36" t="s">
        <v>1647</v>
      </c>
      <c r="G624" s="36" t="s">
        <v>28</v>
      </c>
      <c r="H624" s="36" t="s">
        <v>1654</v>
      </c>
      <c r="I624" s="36" t="s">
        <v>1649</v>
      </c>
      <c r="J624" s="36" t="str">
        <f t="shared" si="25"/>
        <v>Medical Education and DrugsAyush EstablishmentAAssociate Professor (Ayurveda)L-13 : 131400 - 217100</v>
      </c>
      <c r="K624" s="36"/>
      <c r="L624" s="36" t="s">
        <v>243</v>
      </c>
      <c r="M624" s="38" t="s">
        <v>1655</v>
      </c>
      <c r="N624" s="36" t="s">
        <v>32</v>
      </c>
      <c r="O624" s="6" t="s">
        <v>83</v>
      </c>
      <c r="P624" s="7">
        <v>22</v>
      </c>
      <c r="Q624" s="7" t="s">
        <v>34</v>
      </c>
      <c r="R624" s="8"/>
      <c r="S624" s="8"/>
      <c r="T624" s="4" t="s">
        <v>3276</v>
      </c>
      <c r="U624" s="36" t="s">
        <v>35</v>
      </c>
      <c r="V624" s="38"/>
      <c r="W624" s="36"/>
      <c r="X624" s="36"/>
      <c r="Y624" s="36"/>
      <c r="Z624" s="41"/>
      <c r="AA624" s="42" t="e">
        <f>_xlfn.XLOOKUP(C624,#REF!,#REF!,"",0,1)</f>
        <v>#REF!</v>
      </c>
      <c r="AB624" s="43">
        <f t="shared" si="26"/>
        <v>0</v>
      </c>
    </row>
    <row r="625" spans="1:28" ht="117.5" thickBot="1" x14ac:dyDescent="0.3">
      <c r="A625" s="36">
        <v>624</v>
      </c>
      <c r="B625" s="36" t="s">
        <v>24</v>
      </c>
      <c r="C625" s="36" t="s">
        <v>1645</v>
      </c>
      <c r="D625" s="37">
        <v>39372</v>
      </c>
      <c r="E625" s="36" t="s">
        <v>1646</v>
      </c>
      <c r="F625" s="36" t="s">
        <v>1647</v>
      </c>
      <c r="G625" s="36" t="s">
        <v>28</v>
      </c>
      <c r="H625" s="36" t="s">
        <v>1656</v>
      </c>
      <c r="I625" s="36" t="s">
        <v>1649</v>
      </c>
      <c r="J625" s="36" t="str">
        <f t="shared" si="25"/>
        <v>Medical Education and DrugsAyush EstablishmentAAssociate Professor (Homeopathy)L-13 : 131400 - 217100</v>
      </c>
      <c r="K625" s="36"/>
      <c r="L625" s="36" t="s">
        <v>243</v>
      </c>
      <c r="M625" s="38" t="s">
        <v>1657</v>
      </c>
      <c r="N625" s="36" t="s">
        <v>32</v>
      </c>
      <c r="O625" s="6" t="s">
        <v>83</v>
      </c>
      <c r="P625" s="7">
        <v>11</v>
      </c>
      <c r="Q625" s="7" t="s">
        <v>34</v>
      </c>
      <c r="R625" s="8"/>
      <c r="S625" s="8"/>
      <c r="T625" s="4" t="s">
        <v>3276</v>
      </c>
      <c r="U625" s="36" t="s">
        <v>35</v>
      </c>
      <c r="V625" s="38"/>
      <c r="W625" s="36"/>
      <c r="X625" s="36"/>
      <c r="Y625" s="36"/>
      <c r="Z625" s="41"/>
      <c r="AA625" s="42" t="e">
        <f>_xlfn.XLOOKUP(C625,#REF!,#REF!,"",0,1)</f>
        <v>#REF!</v>
      </c>
      <c r="AB625" s="43">
        <f t="shared" si="26"/>
        <v>0</v>
      </c>
    </row>
    <row r="626" spans="1:28" ht="91.5" thickBot="1" x14ac:dyDescent="0.3">
      <c r="A626" s="36">
        <v>625</v>
      </c>
      <c r="B626" s="36" t="s">
        <v>24</v>
      </c>
      <c r="C626" s="36" t="s">
        <v>1645</v>
      </c>
      <c r="D626" s="37">
        <v>39372</v>
      </c>
      <c r="E626" s="36" t="s">
        <v>1646</v>
      </c>
      <c r="F626" s="36" t="s">
        <v>1647</v>
      </c>
      <c r="G626" s="36" t="s">
        <v>28</v>
      </c>
      <c r="H626" s="36" t="s">
        <v>512</v>
      </c>
      <c r="I626" s="36" t="s">
        <v>1658</v>
      </c>
      <c r="J626" s="36" t="str">
        <f t="shared" si="25"/>
        <v>Medical Education and DrugsAyush EstablishmentADirectorL-14 :144200 -218200</v>
      </c>
      <c r="K626" s="36"/>
      <c r="L626" s="36" t="s">
        <v>243</v>
      </c>
      <c r="M626" s="38" t="s">
        <v>1659</v>
      </c>
      <c r="N626" s="36" t="s">
        <v>32</v>
      </c>
      <c r="O626" s="6" t="s">
        <v>33</v>
      </c>
      <c r="P626" s="7">
        <v>0</v>
      </c>
      <c r="Q626" s="7" t="s">
        <v>34</v>
      </c>
      <c r="R626" s="8"/>
      <c r="S626" s="8"/>
      <c r="T626" s="4" t="s">
        <v>3276</v>
      </c>
      <c r="U626" s="36" t="s">
        <v>35</v>
      </c>
      <c r="V626" s="38"/>
      <c r="W626" s="36"/>
      <c r="X626" s="36"/>
      <c r="Y626" s="36"/>
      <c r="Z626" s="41"/>
      <c r="AA626" s="42" t="e">
        <f>_xlfn.XLOOKUP(C626,#REF!,#REF!,"",0,1)</f>
        <v>#REF!</v>
      </c>
      <c r="AB626" s="43">
        <f t="shared" si="26"/>
        <v>0</v>
      </c>
    </row>
    <row r="627" spans="1:28" ht="104.5" thickBot="1" x14ac:dyDescent="0.3">
      <c r="A627" s="36">
        <v>626</v>
      </c>
      <c r="B627" s="36" t="s">
        <v>24</v>
      </c>
      <c r="C627" s="36" t="s">
        <v>1645</v>
      </c>
      <c r="D627" s="37">
        <v>39372</v>
      </c>
      <c r="E627" s="36" t="s">
        <v>1646</v>
      </c>
      <c r="F627" s="36" t="s">
        <v>1647</v>
      </c>
      <c r="G627" s="36" t="s">
        <v>28</v>
      </c>
      <c r="H627" s="36" t="s">
        <v>1660</v>
      </c>
      <c r="I627" s="36" t="s">
        <v>1658</v>
      </c>
      <c r="J627" s="36" t="str">
        <f t="shared" si="25"/>
        <v>Medical Education and DrugsAyush EstablishmentAProfessor (Homeopathy)L-14 :144200 -218200</v>
      </c>
      <c r="K627" s="36"/>
      <c r="L627" s="36" t="s">
        <v>243</v>
      </c>
      <c r="M627" s="38" t="s">
        <v>1661</v>
      </c>
      <c r="N627" s="36" t="s">
        <v>1662</v>
      </c>
      <c r="O627" s="6" t="s">
        <v>83</v>
      </c>
      <c r="P627" s="7">
        <v>6</v>
      </c>
      <c r="Q627" s="7" t="s">
        <v>34</v>
      </c>
      <c r="R627" s="8"/>
      <c r="S627" s="8"/>
      <c r="T627" s="4" t="s">
        <v>3276</v>
      </c>
      <c r="U627" s="36" t="s">
        <v>35</v>
      </c>
      <c r="V627" s="38"/>
      <c r="W627" s="36"/>
      <c r="X627" s="36"/>
      <c r="Y627" s="36"/>
      <c r="Z627" s="41"/>
      <c r="AA627" s="42" t="e">
        <f>_xlfn.XLOOKUP(C627,#REF!,#REF!,"",0,1)</f>
        <v>#REF!</v>
      </c>
      <c r="AB627" s="43">
        <f t="shared" si="26"/>
        <v>0</v>
      </c>
    </row>
    <row r="628" spans="1:28" ht="117.5" thickBot="1" x14ac:dyDescent="0.3">
      <c r="A628" s="36">
        <v>627</v>
      </c>
      <c r="B628" s="36" t="s">
        <v>24</v>
      </c>
      <c r="C628" s="36" t="s">
        <v>1645</v>
      </c>
      <c r="D628" s="37">
        <v>39372</v>
      </c>
      <c r="E628" s="36" t="s">
        <v>1646</v>
      </c>
      <c r="F628" s="36" t="s">
        <v>1647</v>
      </c>
      <c r="G628" s="36" t="s">
        <v>28</v>
      </c>
      <c r="H628" s="36" t="s">
        <v>1663</v>
      </c>
      <c r="I628" s="36" t="s">
        <v>1658</v>
      </c>
      <c r="J628" s="36" t="str">
        <f t="shared" si="25"/>
        <v>Medical Education and DrugsAyush EstablishmentAProfessor (Yoga Naturopathy)L-14 :144200 -218200</v>
      </c>
      <c r="K628" s="36"/>
      <c r="L628" s="36" t="s">
        <v>243</v>
      </c>
      <c r="M628" s="38" t="s">
        <v>1664</v>
      </c>
      <c r="N628" s="36" t="s">
        <v>32</v>
      </c>
      <c r="O628" s="6" t="s">
        <v>83</v>
      </c>
      <c r="P628" s="7">
        <v>0</v>
      </c>
      <c r="Q628" s="7" t="s">
        <v>34</v>
      </c>
      <c r="R628" s="8"/>
      <c r="S628" s="8"/>
      <c r="T628" s="4" t="s">
        <v>3276</v>
      </c>
      <c r="U628" s="36" t="s">
        <v>35</v>
      </c>
      <c r="V628" s="38"/>
      <c r="W628" s="36"/>
      <c r="X628" s="36"/>
      <c r="Y628" s="36"/>
      <c r="Z628" s="41"/>
      <c r="AA628" s="42" t="e">
        <f>_xlfn.XLOOKUP(C628,#REF!,#REF!,"",0,1)</f>
        <v>#REF!</v>
      </c>
      <c r="AB628" s="43">
        <f t="shared" si="26"/>
        <v>0</v>
      </c>
    </row>
    <row r="629" spans="1:28" ht="104.5" thickBot="1" x14ac:dyDescent="0.3">
      <c r="A629" s="36">
        <v>628</v>
      </c>
      <c r="B629" s="36" t="s">
        <v>24</v>
      </c>
      <c r="C629" s="36" t="s">
        <v>1645</v>
      </c>
      <c r="D629" s="37">
        <v>39372</v>
      </c>
      <c r="E629" s="36" t="s">
        <v>1646</v>
      </c>
      <c r="F629" s="36" t="s">
        <v>1647</v>
      </c>
      <c r="G629" s="36" t="s">
        <v>28</v>
      </c>
      <c r="H629" s="36" t="s">
        <v>1665</v>
      </c>
      <c r="I629" s="36" t="s">
        <v>1658</v>
      </c>
      <c r="J629" s="36" t="str">
        <f t="shared" si="25"/>
        <v>Medical Education and DrugsAyush EstablishmentAProfessor (Ayurveda)L-14 :144200 -218200</v>
      </c>
      <c r="K629" s="36"/>
      <c r="L629" s="36" t="s">
        <v>243</v>
      </c>
      <c r="M629" s="38" t="s">
        <v>1666</v>
      </c>
      <c r="N629" s="36" t="s">
        <v>32</v>
      </c>
      <c r="O629" s="6" t="s">
        <v>33</v>
      </c>
      <c r="P629" s="7">
        <v>12</v>
      </c>
      <c r="Q629" s="7" t="s">
        <v>34</v>
      </c>
      <c r="R629" s="8"/>
      <c r="S629" s="8"/>
      <c r="T629" s="4" t="s">
        <v>3276</v>
      </c>
      <c r="U629" s="36" t="s">
        <v>35</v>
      </c>
      <c r="V629" s="38"/>
      <c r="W629" s="36"/>
      <c r="X629" s="36"/>
      <c r="Y629" s="36"/>
      <c r="Z629" s="41"/>
      <c r="AA629" s="42" t="e">
        <f>_xlfn.XLOOKUP(C629,#REF!,#REF!,"",0,1)</f>
        <v>#REF!</v>
      </c>
      <c r="AB629" s="43">
        <f t="shared" si="26"/>
        <v>0</v>
      </c>
    </row>
    <row r="630" spans="1:28" ht="104.5" thickBot="1" x14ac:dyDescent="0.3">
      <c r="A630" s="36">
        <v>629</v>
      </c>
      <c r="B630" s="36" t="s">
        <v>24</v>
      </c>
      <c r="C630" s="36" t="s">
        <v>1645</v>
      </c>
      <c r="D630" s="37">
        <v>39372</v>
      </c>
      <c r="E630" s="36" t="s">
        <v>1646</v>
      </c>
      <c r="F630" s="36" t="s">
        <v>1647</v>
      </c>
      <c r="G630" s="36" t="s">
        <v>28</v>
      </c>
      <c r="H630" s="36" t="s">
        <v>1667</v>
      </c>
      <c r="I630" s="36" t="s">
        <v>1658</v>
      </c>
      <c r="J630" s="36" t="str">
        <f t="shared" si="25"/>
        <v>Medical Education and DrugsAyush EstablishmentAProfessor (Unani)L-14 :144200 -218200</v>
      </c>
      <c r="K630" s="36"/>
      <c r="L630" s="36" t="s">
        <v>243</v>
      </c>
      <c r="M630" s="38" t="s">
        <v>1668</v>
      </c>
      <c r="N630" s="36" t="s">
        <v>1662</v>
      </c>
      <c r="O630" s="6" t="s">
        <v>83</v>
      </c>
      <c r="P630" s="7">
        <v>3</v>
      </c>
      <c r="Q630" s="7" t="s">
        <v>34</v>
      </c>
      <c r="R630" s="8"/>
      <c r="S630" s="8"/>
      <c r="T630" s="4" t="s">
        <v>3276</v>
      </c>
      <c r="U630" s="36" t="s">
        <v>35</v>
      </c>
      <c r="V630" s="38"/>
      <c r="W630" s="36"/>
      <c r="X630" s="36"/>
      <c r="Y630" s="36"/>
      <c r="Z630" s="41"/>
      <c r="AA630" s="42" t="e">
        <f>_xlfn.XLOOKUP(C630,#REF!,#REF!,"",0,1)</f>
        <v>#REF!</v>
      </c>
      <c r="AB630" s="43">
        <f t="shared" si="26"/>
        <v>0</v>
      </c>
    </row>
    <row r="631" spans="1:28" ht="117.5" thickBot="1" x14ac:dyDescent="0.3">
      <c r="A631" s="36">
        <v>630</v>
      </c>
      <c r="B631" s="36" t="s">
        <v>24</v>
      </c>
      <c r="C631" s="36" t="s">
        <v>1645</v>
      </c>
      <c r="D631" s="37">
        <v>39372</v>
      </c>
      <c r="E631" s="36" t="s">
        <v>1646</v>
      </c>
      <c r="F631" s="36" t="s">
        <v>1647</v>
      </c>
      <c r="G631" s="36" t="s">
        <v>28</v>
      </c>
      <c r="H631" s="36" t="s">
        <v>1669</v>
      </c>
      <c r="I631" s="36" t="s">
        <v>38</v>
      </c>
      <c r="J631" s="36" t="str">
        <f t="shared" si="25"/>
        <v>Medical Education and DrugsAyush EstablishmentAChief Administrative OfficerS20 (56100 - 177500)</v>
      </c>
      <c r="K631" s="36"/>
      <c r="L631" s="36" t="s">
        <v>243</v>
      </c>
      <c r="M631" s="38" t="s">
        <v>1670</v>
      </c>
      <c r="N631" s="36" t="s">
        <v>32</v>
      </c>
      <c r="O631" s="6" t="s">
        <v>33</v>
      </c>
      <c r="P631" s="7">
        <v>0</v>
      </c>
      <c r="Q631" s="7" t="s">
        <v>100</v>
      </c>
      <c r="R631" s="8"/>
      <c r="S631" s="7" t="s">
        <v>1671</v>
      </c>
      <c r="T631" s="4" t="s">
        <v>3276</v>
      </c>
      <c r="U631" s="36" t="s">
        <v>989</v>
      </c>
      <c r="V631" s="38"/>
      <c r="W631" s="36"/>
      <c r="X631" s="36"/>
      <c r="Y631" s="36"/>
      <c r="Z631" s="41"/>
      <c r="AA631" s="42" t="e">
        <f>_xlfn.XLOOKUP(C631,#REF!,#REF!,"",0,1)</f>
        <v>#REF!</v>
      </c>
      <c r="AB631" s="43">
        <f t="shared" si="26"/>
        <v>0</v>
      </c>
    </row>
    <row r="632" spans="1:28" ht="117.5" thickBot="1" x14ac:dyDescent="0.3">
      <c r="A632" s="44">
        <v>631</v>
      </c>
      <c r="B632" s="44" t="s">
        <v>24</v>
      </c>
      <c r="C632" s="36" t="s">
        <v>1645</v>
      </c>
      <c r="D632" s="37">
        <v>39372</v>
      </c>
      <c r="E632" s="44" t="s">
        <v>1646</v>
      </c>
      <c r="F632" s="44" t="s">
        <v>1647</v>
      </c>
      <c r="G632" s="44" t="s">
        <v>28</v>
      </c>
      <c r="H632" s="44" t="s">
        <v>1672</v>
      </c>
      <c r="I632" s="44" t="s">
        <v>38</v>
      </c>
      <c r="J632" s="44" t="str">
        <f t="shared" si="25"/>
        <v>Medical Education and DrugsAyush EstablishmentAAdministrative Medical OfficerS20 (56100 - 177500)</v>
      </c>
      <c r="K632" s="44"/>
      <c r="L632" s="44" t="s">
        <v>261</v>
      </c>
      <c r="M632" s="45" t="s">
        <v>1673</v>
      </c>
      <c r="N632" s="44" t="s">
        <v>113</v>
      </c>
      <c r="O632" s="11" t="s">
        <v>33</v>
      </c>
      <c r="P632" s="7">
        <v>0</v>
      </c>
      <c r="Q632" s="7" t="s">
        <v>34</v>
      </c>
      <c r="R632" s="8"/>
      <c r="S632" s="8"/>
      <c r="T632" s="4" t="s">
        <v>3276</v>
      </c>
      <c r="U632" s="36" t="s">
        <v>35</v>
      </c>
      <c r="V632" s="45"/>
      <c r="W632" s="44"/>
      <c r="X632" s="44"/>
      <c r="Y632" s="44"/>
      <c r="Z632" s="41"/>
      <c r="AA632" s="42" t="e">
        <f>_xlfn.XLOOKUP(C632,#REF!,#REF!,"",0,1)</f>
        <v>#REF!</v>
      </c>
      <c r="AB632" s="43">
        <f t="shared" si="26"/>
        <v>0</v>
      </c>
    </row>
    <row r="633" spans="1:28" ht="130.5" thickBot="1" x14ac:dyDescent="0.3">
      <c r="A633" s="36">
        <v>632</v>
      </c>
      <c r="B633" s="36" t="s">
        <v>24</v>
      </c>
      <c r="C633" s="36" t="s">
        <v>1645</v>
      </c>
      <c r="D633" s="37">
        <v>39372</v>
      </c>
      <c r="E633" s="36" t="s">
        <v>1646</v>
      </c>
      <c r="F633" s="36" t="s">
        <v>1647</v>
      </c>
      <c r="G633" s="36" t="s">
        <v>28</v>
      </c>
      <c r="H633" s="36" t="s">
        <v>1674</v>
      </c>
      <c r="I633" s="36" t="s">
        <v>38</v>
      </c>
      <c r="J633" s="36" t="str">
        <f t="shared" si="25"/>
        <v>Medical Education and DrugsAyush EstablishmentAResident Medical Officer (Yoga &amp; Naturopathy)S20 (56100 - 177500)</v>
      </c>
      <c r="K633" s="36"/>
      <c r="L633" s="48" t="s">
        <v>243</v>
      </c>
      <c r="M633" s="38" t="s">
        <v>1675</v>
      </c>
      <c r="N633" s="36" t="s">
        <v>32</v>
      </c>
      <c r="O633" s="6" t="s">
        <v>33</v>
      </c>
      <c r="P633" s="7">
        <v>1</v>
      </c>
      <c r="Q633" s="7" t="s">
        <v>34</v>
      </c>
      <c r="R633" s="8"/>
      <c r="S633" s="8"/>
      <c r="T633" s="4" t="s">
        <v>3276</v>
      </c>
      <c r="U633" s="36" t="s">
        <v>35</v>
      </c>
      <c r="V633" s="38"/>
      <c r="W633" s="36"/>
      <c r="X633" s="36"/>
      <c r="Y633" s="36"/>
      <c r="Z633" s="41"/>
      <c r="AA633" s="42" t="e">
        <f>_xlfn.XLOOKUP(C633,#REF!,#REF!,"",0,1)</f>
        <v>#REF!</v>
      </c>
      <c r="AB633" s="43">
        <f t="shared" si="26"/>
        <v>0</v>
      </c>
    </row>
    <row r="634" spans="1:28" ht="117.5" thickBot="1" x14ac:dyDescent="0.3">
      <c r="A634" s="36">
        <v>633</v>
      </c>
      <c r="B634" s="36" t="s">
        <v>24</v>
      </c>
      <c r="C634" s="36" t="s">
        <v>1645</v>
      </c>
      <c r="D634" s="37">
        <v>39372</v>
      </c>
      <c r="E634" s="36" t="s">
        <v>1646</v>
      </c>
      <c r="F634" s="36" t="s">
        <v>1647</v>
      </c>
      <c r="G634" s="36" t="s">
        <v>28</v>
      </c>
      <c r="H634" s="36" t="s">
        <v>1676</v>
      </c>
      <c r="I634" s="36" t="s">
        <v>38</v>
      </c>
      <c r="J634" s="36" t="str">
        <f t="shared" si="25"/>
        <v>Medical Education and DrugsAyush EstablishmentAMedical Superintendent (Unani)S20 (56100 - 177500)</v>
      </c>
      <c r="K634" s="36"/>
      <c r="L634" s="48" t="s">
        <v>243</v>
      </c>
      <c r="M634" s="38" t="s">
        <v>1677</v>
      </c>
      <c r="N634" s="36" t="s">
        <v>32</v>
      </c>
      <c r="O634" s="6" t="s">
        <v>83</v>
      </c>
      <c r="P634" s="7">
        <v>1</v>
      </c>
      <c r="Q634" s="7" t="s">
        <v>34</v>
      </c>
      <c r="R634" s="8"/>
      <c r="S634" s="8"/>
      <c r="T634" s="4" t="s">
        <v>3276</v>
      </c>
      <c r="U634" s="36" t="s">
        <v>35</v>
      </c>
      <c r="V634" s="38"/>
      <c r="W634" s="36"/>
      <c r="X634" s="36"/>
      <c r="Y634" s="36"/>
      <c r="Z634" s="41"/>
      <c r="AA634" s="42" t="e">
        <f>_xlfn.XLOOKUP(C634,#REF!,#REF!,"",0,1)</f>
        <v>#REF!</v>
      </c>
      <c r="AB634" s="43">
        <f t="shared" si="26"/>
        <v>0</v>
      </c>
    </row>
    <row r="635" spans="1:28" ht="104.5" thickBot="1" x14ac:dyDescent="0.3">
      <c r="A635" s="36">
        <v>634</v>
      </c>
      <c r="B635" s="36" t="s">
        <v>24</v>
      </c>
      <c r="C635" s="36" t="s">
        <v>1645</v>
      </c>
      <c r="D635" s="37">
        <v>39372</v>
      </c>
      <c r="E635" s="36" t="s">
        <v>1646</v>
      </c>
      <c r="F635" s="36" t="s">
        <v>1647</v>
      </c>
      <c r="G635" s="36" t="s">
        <v>28</v>
      </c>
      <c r="H635" s="36" t="s">
        <v>1678</v>
      </c>
      <c r="I635" s="36" t="s">
        <v>38</v>
      </c>
      <c r="J635" s="36" t="str">
        <f t="shared" si="25"/>
        <v>Medical Education and DrugsAyush EstablishmentASenior BiochemistS20 (56100 - 177500)</v>
      </c>
      <c r="K635" s="36" t="s">
        <v>1679</v>
      </c>
      <c r="L635" s="36" t="s">
        <v>247</v>
      </c>
      <c r="M635" s="38" t="s">
        <v>1680</v>
      </c>
      <c r="N635" s="36" t="s">
        <v>60</v>
      </c>
      <c r="O635" s="6" t="s">
        <v>33</v>
      </c>
      <c r="P635" s="7">
        <v>0</v>
      </c>
      <c r="Q635" s="7" t="s">
        <v>34</v>
      </c>
      <c r="R635" s="8"/>
      <c r="S635" s="8"/>
      <c r="T635" s="7" t="s">
        <v>2395</v>
      </c>
      <c r="U635" s="36" t="s">
        <v>35</v>
      </c>
      <c r="V635" s="38"/>
      <c r="W635" s="36"/>
      <c r="X635" s="36"/>
      <c r="Y635" s="36"/>
      <c r="Z635" s="41"/>
      <c r="AA635" s="42" t="e">
        <f>_xlfn.XLOOKUP(C635,#REF!,#REF!,"",0,1)</f>
        <v>#REF!</v>
      </c>
      <c r="AB635" s="43">
        <f t="shared" si="26"/>
        <v>0</v>
      </c>
    </row>
    <row r="636" spans="1:28" ht="117.5" thickBot="1" x14ac:dyDescent="0.3">
      <c r="A636" s="36">
        <v>635</v>
      </c>
      <c r="B636" s="36" t="s">
        <v>24</v>
      </c>
      <c r="C636" s="36" t="s">
        <v>1645</v>
      </c>
      <c r="D636" s="37">
        <v>39372</v>
      </c>
      <c r="E636" s="36" t="s">
        <v>1646</v>
      </c>
      <c r="F636" s="36" t="s">
        <v>1647</v>
      </c>
      <c r="G636" s="36" t="s">
        <v>28</v>
      </c>
      <c r="H636" s="36" t="s">
        <v>1681</v>
      </c>
      <c r="I636" s="36" t="s">
        <v>242</v>
      </c>
      <c r="J636" s="36" t="str">
        <f t="shared" si="25"/>
        <v>Medical Education and DrugsAyush EstablishmentADeputy Director HomeopathyS23 (67700 - 208700)</v>
      </c>
      <c r="K636" s="36"/>
      <c r="L636" s="36" t="s">
        <v>243</v>
      </c>
      <c r="M636" s="38" t="s">
        <v>1682</v>
      </c>
      <c r="N636" s="36" t="s">
        <v>32</v>
      </c>
      <c r="O636" s="6" t="s">
        <v>33</v>
      </c>
      <c r="P636" s="7">
        <v>0</v>
      </c>
      <c r="Q636" s="7" t="s">
        <v>34</v>
      </c>
      <c r="R636" s="8"/>
      <c r="S636" s="8"/>
      <c r="T636" s="4" t="s">
        <v>3276</v>
      </c>
      <c r="U636" s="36" t="s">
        <v>35</v>
      </c>
      <c r="V636" s="38"/>
      <c r="W636" s="36"/>
      <c r="X636" s="36"/>
      <c r="Y636" s="36"/>
      <c r="Z636" s="41"/>
      <c r="AA636" s="42" t="e">
        <f>_xlfn.XLOOKUP(C636,#REF!,#REF!,"",0,1)</f>
        <v>#REF!</v>
      </c>
      <c r="AB636" s="43">
        <f t="shared" si="26"/>
        <v>0</v>
      </c>
    </row>
    <row r="637" spans="1:28" ht="130.5" thickBot="1" x14ac:dyDescent="0.3">
      <c r="A637" s="36">
        <v>636</v>
      </c>
      <c r="B637" s="36" t="s">
        <v>24</v>
      </c>
      <c r="C637" s="36" t="s">
        <v>1645</v>
      </c>
      <c r="D637" s="37">
        <v>39372</v>
      </c>
      <c r="E637" s="36" t="s">
        <v>1646</v>
      </c>
      <c r="F637" s="36" t="s">
        <v>1647</v>
      </c>
      <c r="G637" s="36" t="s">
        <v>42</v>
      </c>
      <c r="H637" s="36" t="s">
        <v>1683</v>
      </c>
      <c r="I637" s="36" t="s">
        <v>737</v>
      </c>
      <c r="J637" s="36" t="str">
        <f t="shared" si="25"/>
        <v>Medical Education and DrugsAyush EstablishmentB (Gazetted)Assistant Professor (Ayurveda)AL 10 (57,700 - 1,82,400)</v>
      </c>
      <c r="K637" s="36" t="s">
        <v>1650</v>
      </c>
      <c r="L637" s="36" t="s">
        <v>247</v>
      </c>
      <c r="M637" s="38" t="s">
        <v>1684</v>
      </c>
      <c r="N637" s="36" t="s">
        <v>41</v>
      </c>
      <c r="O637" s="6" t="s">
        <v>33</v>
      </c>
      <c r="P637" s="7">
        <v>31</v>
      </c>
      <c r="Q637" s="7" t="s">
        <v>34</v>
      </c>
      <c r="R637" s="8"/>
      <c r="S637" s="8"/>
      <c r="T637" s="7" t="s">
        <v>35</v>
      </c>
      <c r="U637" s="36" t="s">
        <v>35</v>
      </c>
      <c r="V637" s="38"/>
      <c r="W637" s="36"/>
      <c r="X637" s="36"/>
      <c r="Y637" s="36"/>
      <c r="Z637" s="41"/>
      <c r="AA637" s="42" t="e">
        <f>_xlfn.XLOOKUP(C637,#REF!,#REF!,"",0,1)</f>
        <v>#REF!</v>
      </c>
      <c r="AB637" s="43">
        <f t="shared" si="26"/>
        <v>0</v>
      </c>
    </row>
    <row r="638" spans="1:28" ht="130.5" thickBot="1" x14ac:dyDescent="0.3">
      <c r="A638" s="36">
        <v>637</v>
      </c>
      <c r="B638" s="36" t="s">
        <v>24</v>
      </c>
      <c r="C638" s="36" t="s">
        <v>1645</v>
      </c>
      <c r="D638" s="37">
        <v>39372</v>
      </c>
      <c r="E638" s="36" t="s">
        <v>1646</v>
      </c>
      <c r="F638" s="36" t="s">
        <v>1647</v>
      </c>
      <c r="G638" s="36" t="s">
        <v>42</v>
      </c>
      <c r="H638" s="36" t="s">
        <v>1685</v>
      </c>
      <c r="I638" s="36" t="s">
        <v>737</v>
      </c>
      <c r="J638" s="36" t="str">
        <f t="shared" si="25"/>
        <v>Medical Education and DrugsAyush EstablishmentB (Gazetted)Assistant Professor (Homeopathy)AL 10 (57,700 - 1,82,400)</v>
      </c>
      <c r="K638" s="36" t="s">
        <v>1650</v>
      </c>
      <c r="L638" s="36" t="s">
        <v>247</v>
      </c>
      <c r="M638" s="38" t="s">
        <v>1686</v>
      </c>
      <c r="N638" s="36" t="s">
        <v>41</v>
      </c>
      <c r="O638" s="6" t="s">
        <v>33</v>
      </c>
      <c r="P638" s="7">
        <v>16</v>
      </c>
      <c r="Q638" s="7" t="s">
        <v>34</v>
      </c>
      <c r="R638" s="8"/>
      <c r="S638" s="8"/>
      <c r="T638" s="7" t="s">
        <v>35</v>
      </c>
      <c r="U638" s="36" t="s">
        <v>35</v>
      </c>
      <c r="V638" s="38"/>
      <c r="W638" s="36"/>
      <c r="X638" s="36"/>
      <c r="Y638" s="36"/>
      <c r="Z638" s="41"/>
      <c r="AA638" s="42" t="e">
        <f>_xlfn.XLOOKUP(C638,#REF!,#REF!,"",0,1)</f>
        <v>#REF!</v>
      </c>
      <c r="AB638" s="43">
        <f t="shared" si="26"/>
        <v>0</v>
      </c>
    </row>
    <row r="639" spans="1:28" ht="143.5" thickBot="1" x14ac:dyDescent="0.3">
      <c r="A639" s="36">
        <v>638</v>
      </c>
      <c r="B639" s="36" t="s">
        <v>24</v>
      </c>
      <c r="C639" s="36" t="s">
        <v>1645</v>
      </c>
      <c r="D639" s="37">
        <v>39372</v>
      </c>
      <c r="E639" s="36" t="s">
        <v>1646</v>
      </c>
      <c r="F639" s="36" t="s">
        <v>1647</v>
      </c>
      <c r="G639" s="36" t="s">
        <v>42</v>
      </c>
      <c r="H639" s="36" t="s">
        <v>1687</v>
      </c>
      <c r="I639" s="36" t="s">
        <v>737</v>
      </c>
      <c r="J639" s="36" t="str">
        <f t="shared" si="25"/>
        <v>Medical Education and DrugsAyush EstablishmentB (Gazetted)Assistant Professor Yoga Naturopathy)AL 10 (57,700 - 1,82,400)</v>
      </c>
      <c r="K639" s="36" t="s">
        <v>1650</v>
      </c>
      <c r="L639" s="36" t="s">
        <v>247</v>
      </c>
      <c r="M639" s="38" t="s">
        <v>1688</v>
      </c>
      <c r="N639" s="36" t="s">
        <v>41</v>
      </c>
      <c r="O639" s="6" t="s">
        <v>33</v>
      </c>
      <c r="P639" s="7">
        <v>3</v>
      </c>
      <c r="Q639" s="7" t="s">
        <v>34</v>
      </c>
      <c r="R639" s="8"/>
      <c r="S639" s="8"/>
      <c r="T639" s="7" t="s">
        <v>35</v>
      </c>
      <c r="U639" s="36" t="s">
        <v>35</v>
      </c>
      <c r="V639" s="38"/>
      <c r="W639" s="36"/>
      <c r="X639" s="36"/>
      <c r="Y639" s="36"/>
      <c r="Z639" s="41"/>
      <c r="AA639" s="42" t="e">
        <f>_xlfn.XLOOKUP(C639,#REF!,#REF!,"",0,1)</f>
        <v>#REF!</v>
      </c>
      <c r="AB639" s="43">
        <f t="shared" si="26"/>
        <v>0</v>
      </c>
    </row>
    <row r="640" spans="1:28" ht="130.5" thickBot="1" x14ac:dyDescent="0.3">
      <c r="A640" s="36">
        <v>639</v>
      </c>
      <c r="B640" s="36" t="s">
        <v>24</v>
      </c>
      <c r="C640" s="36" t="s">
        <v>1645</v>
      </c>
      <c r="D640" s="37">
        <v>39372</v>
      </c>
      <c r="E640" s="36" t="s">
        <v>1646</v>
      </c>
      <c r="F640" s="36" t="s">
        <v>1647</v>
      </c>
      <c r="G640" s="36" t="s">
        <v>42</v>
      </c>
      <c r="H640" s="36" t="s">
        <v>1689</v>
      </c>
      <c r="I640" s="36" t="s">
        <v>737</v>
      </c>
      <c r="J640" s="36" t="str">
        <f t="shared" si="25"/>
        <v>Medical Education and DrugsAyush EstablishmentB (Gazetted)Assistant Professor (Unani)AL 10 (57,700 - 1,82,400)</v>
      </c>
      <c r="K640" s="36" t="s">
        <v>1650</v>
      </c>
      <c r="L640" s="36" t="s">
        <v>247</v>
      </c>
      <c r="M640" s="38" t="s">
        <v>1690</v>
      </c>
      <c r="N640" s="36" t="s">
        <v>41</v>
      </c>
      <c r="O640" s="6" t="s">
        <v>33</v>
      </c>
      <c r="P640" s="7">
        <v>12</v>
      </c>
      <c r="Q640" s="7" t="s">
        <v>34</v>
      </c>
      <c r="R640" s="8"/>
      <c r="S640" s="8"/>
      <c r="T640" s="7" t="s">
        <v>35</v>
      </c>
      <c r="U640" s="36" t="s">
        <v>35</v>
      </c>
      <c r="V640" s="38"/>
      <c r="W640" s="36"/>
      <c r="X640" s="36"/>
      <c r="Y640" s="36"/>
      <c r="Z640" s="41"/>
      <c r="AA640" s="42" t="e">
        <f>_xlfn.XLOOKUP(C640,#REF!,#REF!,"",0,1)</f>
        <v>#REF!</v>
      </c>
      <c r="AB640" s="43">
        <f t="shared" si="26"/>
        <v>0</v>
      </c>
    </row>
    <row r="641" spans="1:28" ht="143.5" thickBot="1" x14ac:dyDescent="0.3">
      <c r="A641" s="44">
        <v>640</v>
      </c>
      <c r="B641" s="44" t="s">
        <v>24</v>
      </c>
      <c r="C641" s="36" t="s">
        <v>1645</v>
      </c>
      <c r="D641" s="37">
        <v>39372</v>
      </c>
      <c r="E641" s="44" t="s">
        <v>1646</v>
      </c>
      <c r="F641" s="44" t="s">
        <v>1647</v>
      </c>
      <c r="G641" s="44" t="s">
        <v>42</v>
      </c>
      <c r="H641" s="44" t="s">
        <v>1691</v>
      </c>
      <c r="I641" s="44" t="s">
        <v>38</v>
      </c>
      <c r="J641" s="44" t="str">
        <f t="shared" si="25"/>
        <v>Medical Education and DrugsAyush EstablishmentB (Gazetted)Senior Medical Officer (Homeopathy)S20 (56100 - 177500)</v>
      </c>
      <c r="K641" s="44"/>
      <c r="L641" s="44" t="s">
        <v>261</v>
      </c>
      <c r="M641" s="45" t="s">
        <v>1692</v>
      </c>
      <c r="N641" s="44" t="s">
        <v>113</v>
      </c>
      <c r="O641" s="11" t="s">
        <v>33</v>
      </c>
      <c r="P641" s="7">
        <v>1</v>
      </c>
      <c r="Q641" s="7" t="s">
        <v>34</v>
      </c>
      <c r="R641" s="8"/>
      <c r="S641" s="8"/>
      <c r="T641" s="4" t="s">
        <v>3276</v>
      </c>
      <c r="U641" s="36" t="s">
        <v>35</v>
      </c>
      <c r="V641" s="45"/>
      <c r="W641" s="44"/>
      <c r="X641" s="44"/>
      <c r="Y641" s="44"/>
      <c r="Z641" s="41"/>
      <c r="AA641" s="42" t="e">
        <f>_xlfn.XLOOKUP(C641,#REF!,#REF!,"",0,1)</f>
        <v>#REF!</v>
      </c>
      <c r="AB641" s="43">
        <f t="shared" si="26"/>
        <v>0</v>
      </c>
    </row>
    <row r="642" spans="1:28" ht="130.5" thickBot="1" x14ac:dyDescent="0.3">
      <c r="A642" s="36">
        <v>641</v>
      </c>
      <c r="B642" s="36" t="s">
        <v>24</v>
      </c>
      <c r="C642" s="36" t="s">
        <v>1645</v>
      </c>
      <c r="D642" s="37">
        <v>39372</v>
      </c>
      <c r="E642" s="36" t="s">
        <v>1646</v>
      </c>
      <c r="F642" s="36" t="s">
        <v>1647</v>
      </c>
      <c r="G642" s="36" t="s">
        <v>42</v>
      </c>
      <c r="H642" s="40" t="s">
        <v>796</v>
      </c>
      <c r="I642" s="36" t="s">
        <v>44</v>
      </c>
      <c r="J642" s="36" t="str">
        <f t="shared" ref="J642:J705" si="27">_xlfn.CONCAT(E642:I642)</f>
        <v>Medical Education and DrugsAyush EstablishmentB (Gazetted)Administrative OfficerS15 (41800 - 132300)</v>
      </c>
      <c r="K642" s="36" t="s">
        <v>45</v>
      </c>
      <c r="L642" s="36" t="s">
        <v>247</v>
      </c>
      <c r="M642" s="38" t="s">
        <v>1693</v>
      </c>
      <c r="N642" s="36" t="s">
        <v>47</v>
      </c>
      <c r="O642" s="6" t="s">
        <v>33</v>
      </c>
      <c r="P642" s="8"/>
      <c r="Q642" s="7" t="s">
        <v>34</v>
      </c>
      <c r="R642" s="8"/>
      <c r="S642" s="8"/>
      <c r="T642" s="7" t="s">
        <v>35</v>
      </c>
      <c r="U642" s="36" t="s">
        <v>35</v>
      </c>
      <c r="V642" s="38"/>
      <c r="W642" s="36"/>
      <c r="X642" s="36"/>
      <c r="Y642" s="36"/>
      <c r="Z642" s="41"/>
      <c r="AA642" s="42" t="e">
        <f>_xlfn.XLOOKUP(C642,#REF!,#REF!,"",0,1)</f>
        <v>#REF!</v>
      </c>
      <c r="AB642" s="43">
        <f t="shared" ref="AB642:AB678" si="28">IFERROR(FLOOR(P642*AA642,1),0)</f>
        <v>0</v>
      </c>
    </row>
    <row r="643" spans="1:28" ht="156.5" thickBot="1" x14ac:dyDescent="0.3">
      <c r="A643" s="36">
        <v>642</v>
      </c>
      <c r="B643" s="36" t="s">
        <v>24</v>
      </c>
      <c r="C643" s="36" t="s">
        <v>1645</v>
      </c>
      <c r="D643" s="37">
        <v>39372</v>
      </c>
      <c r="E643" s="36" t="s">
        <v>1646</v>
      </c>
      <c r="F643" s="36" t="s">
        <v>1647</v>
      </c>
      <c r="G643" s="36" t="s">
        <v>42</v>
      </c>
      <c r="H643" s="40" t="s">
        <v>1694</v>
      </c>
      <c r="I643" s="36" t="s">
        <v>44</v>
      </c>
      <c r="J643" s="36" t="str">
        <f t="shared" si="27"/>
        <v>Medical Education and DrugsAyush EstablishmentB (Gazetted)Assistant Pharmacist
 (Chemist-cum-
 Pharmacist)S15 (41800 - 132300)</v>
      </c>
      <c r="K643" s="36" t="s">
        <v>1695</v>
      </c>
      <c r="L643" s="36" t="s">
        <v>247</v>
      </c>
      <c r="M643" s="38" t="s">
        <v>1696</v>
      </c>
      <c r="N643" s="36" t="s">
        <v>60</v>
      </c>
      <c r="O643" s="6" t="s">
        <v>33</v>
      </c>
      <c r="P643" s="8"/>
      <c r="Q643" s="7" t="s">
        <v>34</v>
      </c>
      <c r="R643" s="8"/>
      <c r="S643" s="8"/>
      <c r="T643" s="7" t="s">
        <v>35</v>
      </c>
      <c r="U643" s="36" t="s">
        <v>35</v>
      </c>
      <c r="V643" s="38"/>
      <c r="W643" s="36"/>
      <c r="X643" s="36"/>
      <c r="Y643" s="36"/>
      <c r="Z643" s="41"/>
      <c r="AA643" s="42" t="e">
        <f>_xlfn.XLOOKUP(C643,#REF!,#REF!,"",0,1)</f>
        <v>#REF!</v>
      </c>
      <c r="AB643" s="43">
        <f t="shared" si="28"/>
        <v>0</v>
      </c>
    </row>
    <row r="644" spans="1:28" ht="130.5" thickBot="1" x14ac:dyDescent="0.3">
      <c r="A644" s="44">
        <v>643</v>
      </c>
      <c r="B644" s="44" t="s">
        <v>24</v>
      </c>
      <c r="C644" s="36" t="s">
        <v>1645</v>
      </c>
      <c r="D644" s="37">
        <v>39372</v>
      </c>
      <c r="E644" s="44" t="s">
        <v>1646</v>
      </c>
      <c r="F644" s="44" t="s">
        <v>1647</v>
      </c>
      <c r="G644" s="44" t="s">
        <v>42</v>
      </c>
      <c r="H644" s="44" t="s">
        <v>1697</v>
      </c>
      <c r="I644" s="44" t="s">
        <v>44</v>
      </c>
      <c r="J644" s="44" t="str">
        <f t="shared" si="27"/>
        <v>Medical Education and DrugsAyush EstablishmentB (Gazetted)Panchkarma VaidyaS15 (41800 - 132300)</v>
      </c>
      <c r="K644" s="44"/>
      <c r="L644" s="44" t="s">
        <v>261</v>
      </c>
      <c r="M644" s="45" t="s">
        <v>1698</v>
      </c>
      <c r="N644" s="44" t="s">
        <v>113</v>
      </c>
      <c r="O644" s="11" t="s">
        <v>33</v>
      </c>
      <c r="P644" s="7">
        <v>10</v>
      </c>
      <c r="Q644" s="7" t="s">
        <v>34</v>
      </c>
      <c r="R644" s="8"/>
      <c r="S644" s="8"/>
      <c r="T644" s="4" t="s">
        <v>3276</v>
      </c>
      <c r="U644" s="36" t="s">
        <v>35</v>
      </c>
      <c r="V644" s="45"/>
      <c r="W644" s="44"/>
      <c r="X644" s="44"/>
      <c r="Y644" s="44"/>
      <c r="Z644" s="41"/>
      <c r="AA644" s="42" t="e">
        <f>_xlfn.XLOOKUP(C644,#REF!,#REF!,"",0,1)</f>
        <v>#REF!</v>
      </c>
      <c r="AB644" s="43">
        <f t="shared" si="28"/>
        <v>0</v>
      </c>
    </row>
    <row r="645" spans="1:28" ht="130.5" thickBot="1" x14ac:dyDescent="0.3">
      <c r="A645" s="36">
        <v>644</v>
      </c>
      <c r="B645" s="36" t="s">
        <v>24</v>
      </c>
      <c r="C645" s="36" t="s">
        <v>1645</v>
      </c>
      <c r="D645" s="37">
        <v>39372</v>
      </c>
      <c r="E645" s="36" t="s">
        <v>1646</v>
      </c>
      <c r="F645" s="36" t="s">
        <v>1647</v>
      </c>
      <c r="G645" s="36" t="s">
        <v>42</v>
      </c>
      <c r="H645" s="36" t="s">
        <v>1699</v>
      </c>
      <c r="I645" s="36" t="s">
        <v>54</v>
      </c>
      <c r="J645" s="36" t="str">
        <f t="shared" si="27"/>
        <v>Medical Education and DrugsAyush EstablishmentB (Gazetted)Pathologist &amp; MicrobiologistS16 (44900 - 142400)</v>
      </c>
      <c r="K645" s="36"/>
      <c r="L645" s="36" t="s">
        <v>243</v>
      </c>
      <c r="M645" s="38" t="s">
        <v>1700</v>
      </c>
      <c r="N645" s="36" t="s">
        <v>595</v>
      </c>
      <c r="O645" s="6" t="s">
        <v>33</v>
      </c>
      <c r="P645" s="7">
        <v>1</v>
      </c>
      <c r="Q645" s="7" t="s">
        <v>34</v>
      </c>
      <c r="R645" s="8"/>
      <c r="S645" s="8"/>
      <c r="T645" s="4" t="s">
        <v>3276</v>
      </c>
      <c r="U645" s="36" t="s">
        <v>35</v>
      </c>
      <c r="V645" s="38"/>
      <c r="W645" s="36"/>
      <c r="X645" s="36"/>
      <c r="Y645" s="36"/>
      <c r="Z645" s="41"/>
      <c r="AA645" s="42" t="e">
        <f>_xlfn.XLOOKUP(C645,#REF!,#REF!,"",0,1)</f>
        <v>#REF!</v>
      </c>
      <c r="AB645" s="43">
        <f t="shared" si="28"/>
        <v>0</v>
      </c>
    </row>
    <row r="646" spans="1:28" ht="130.5" thickBot="1" x14ac:dyDescent="0.3">
      <c r="A646" s="36">
        <v>645</v>
      </c>
      <c r="B646" s="36" t="s">
        <v>24</v>
      </c>
      <c r="C646" s="36" t="s">
        <v>1645</v>
      </c>
      <c r="D646" s="37">
        <v>39372</v>
      </c>
      <c r="E646" s="36" t="s">
        <v>1646</v>
      </c>
      <c r="F646" s="36" t="s">
        <v>1647</v>
      </c>
      <c r="G646" s="36" t="s">
        <v>42</v>
      </c>
      <c r="H646" s="36" t="s">
        <v>1701</v>
      </c>
      <c r="I646" s="36" t="s">
        <v>54</v>
      </c>
      <c r="J646" s="36" t="str">
        <f t="shared" si="27"/>
        <v>Medical Education and DrugsAyush EstablishmentB (Gazetted)Medical Officer (Homeopathy)S16 (44900 - 142400)</v>
      </c>
      <c r="K646" s="36" t="s">
        <v>1702</v>
      </c>
      <c r="L646" s="36" t="s">
        <v>247</v>
      </c>
      <c r="M646" s="38" t="s">
        <v>1703</v>
      </c>
      <c r="N646" s="36" t="s">
        <v>1704</v>
      </c>
      <c r="O646" s="6" t="s">
        <v>33</v>
      </c>
      <c r="P646" s="7">
        <v>4</v>
      </c>
      <c r="Q646" s="7" t="s">
        <v>34</v>
      </c>
      <c r="R646" s="8"/>
      <c r="S646" s="8"/>
      <c r="T646" s="7" t="s">
        <v>35</v>
      </c>
      <c r="U646" s="36" t="s">
        <v>35</v>
      </c>
      <c r="V646" s="38"/>
      <c r="W646" s="36"/>
      <c r="X646" s="36"/>
      <c r="Y646" s="36"/>
      <c r="Z646" s="41"/>
      <c r="AA646" s="42" t="e">
        <f>_xlfn.XLOOKUP(C646,#REF!,#REF!,"",0,1)</f>
        <v>#REF!</v>
      </c>
      <c r="AB646" s="43">
        <f t="shared" si="28"/>
        <v>0</v>
      </c>
    </row>
    <row r="647" spans="1:28" ht="130.5" thickBot="1" x14ac:dyDescent="0.3">
      <c r="A647" s="36">
        <v>646</v>
      </c>
      <c r="B647" s="36" t="s">
        <v>24</v>
      </c>
      <c r="C647" s="36" t="s">
        <v>1645</v>
      </c>
      <c r="D647" s="37">
        <v>39372</v>
      </c>
      <c r="E647" s="36" t="s">
        <v>1646</v>
      </c>
      <c r="F647" s="36" t="s">
        <v>1647</v>
      </c>
      <c r="G647" s="36" t="s">
        <v>42</v>
      </c>
      <c r="H647" s="36" t="s">
        <v>1705</v>
      </c>
      <c r="I647" s="36" t="s">
        <v>54</v>
      </c>
      <c r="J647" s="36" t="str">
        <f t="shared" si="27"/>
        <v>Medical Education and DrugsAyush EstablishmentB (Gazetted)Medical Officer (Ayurveda)(S-16)S16 (44900 - 142400)</v>
      </c>
      <c r="K647" s="36" t="s">
        <v>1702</v>
      </c>
      <c r="L647" s="36" t="s">
        <v>247</v>
      </c>
      <c r="M647" s="38" t="s">
        <v>1703</v>
      </c>
      <c r="N647" s="36" t="s">
        <v>1704</v>
      </c>
      <c r="O647" s="6" t="s">
        <v>33</v>
      </c>
      <c r="P647" s="7">
        <v>14</v>
      </c>
      <c r="Q647" s="7" t="s">
        <v>34</v>
      </c>
      <c r="R647" s="8"/>
      <c r="S647" s="8"/>
      <c r="T647" s="7" t="s">
        <v>35</v>
      </c>
      <c r="U647" s="36" t="s">
        <v>35</v>
      </c>
      <c r="V647" s="38"/>
      <c r="W647" s="36"/>
      <c r="X647" s="36"/>
      <c r="Y647" s="36"/>
      <c r="Z647" s="41"/>
      <c r="AA647" s="42" t="e">
        <f>_xlfn.XLOOKUP(C647,#REF!,#REF!,"",0,1)</f>
        <v>#REF!</v>
      </c>
      <c r="AB647" s="43">
        <f t="shared" si="28"/>
        <v>0</v>
      </c>
    </row>
    <row r="648" spans="1:28" ht="143.5" thickBot="1" x14ac:dyDescent="0.3">
      <c r="A648" s="36">
        <v>647</v>
      </c>
      <c r="B648" s="36" t="s">
        <v>24</v>
      </c>
      <c r="C648" s="36" t="s">
        <v>1645</v>
      </c>
      <c r="D648" s="37">
        <v>39372</v>
      </c>
      <c r="E648" s="36" t="s">
        <v>1646</v>
      </c>
      <c r="F648" s="36" t="s">
        <v>1647</v>
      </c>
      <c r="G648" s="36" t="s">
        <v>42</v>
      </c>
      <c r="H648" s="40" t="s">
        <v>1706</v>
      </c>
      <c r="I648" s="36" t="s">
        <v>54</v>
      </c>
      <c r="J648" s="36" t="str">
        <f t="shared" si="27"/>
        <v>Medical Education and DrugsAyush EstablishmentB (Gazetted)Medical Officer (Yoga &amp; Naturopathy)S16 (44900 - 142400)</v>
      </c>
      <c r="K648" s="36" t="s">
        <v>1702</v>
      </c>
      <c r="L648" s="36" t="s">
        <v>247</v>
      </c>
      <c r="M648" s="38" t="s">
        <v>1703</v>
      </c>
      <c r="N648" s="36" t="s">
        <v>1704</v>
      </c>
      <c r="O648" s="6" t="s">
        <v>33</v>
      </c>
      <c r="P648" s="8"/>
      <c r="Q648" s="7" t="s">
        <v>34</v>
      </c>
      <c r="R648" s="8"/>
      <c r="S648" s="8"/>
      <c r="T648" s="7" t="s">
        <v>35</v>
      </c>
      <c r="U648" s="36" t="s">
        <v>35</v>
      </c>
      <c r="V648" s="38"/>
      <c r="W648" s="36"/>
      <c r="X648" s="36"/>
      <c r="Y648" s="36"/>
      <c r="Z648" s="41"/>
      <c r="AA648" s="42" t="e">
        <f>_xlfn.XLOOKUP(C648,#REF!,#REF!,"",0,1)</f>
        <v>#REF!</v>
      </c>
      <c r="AB648" s="43">
        <f t="shared" si="28"/>
        <v>0</v>
      </c>
    </row>
    <row r="649" spans="1:28" ht="117.5" thickBot="1" x14ac:dyDescent="0.3">
      <c r="A649" s="36">
        <v>648</v>
      </c>
      <c r="B649" s="36" t="s">
        <v>24</v>
      </c>
      <c r="C649" s="36" t="s">
        <v>1645</v>
      </c>
      <c r="D649" s="37">
        <v>39372</v>
      </c>
      <c r="E649" s="36" t="s">
        <v>1646</v>
      </c>
      <c r="F649" s="36" t="s">
        <v>1647</v>
      </c>
      <c r="G649" s="36" t="s">
        <v>42</v>
      </c>
      <c r="H649" s="36" t="s">
        <v>1707</v>
      </c>
      <c r="I649" s="36" t="s">
        <v>54</v>
      </c>
      <c r="J649" s="36" t="str">
        <f t="shared" si="27"/>
        <v>Medical Education and DrugsAyush EstablishmentB (Gazetted)Drug ManufacturerS16 (44900 - 142400)</v>
      </c>
      <c r="K649" s="36" t="s">
        <v>1702</v>
      </c>
      <c r="L649" s="36" t="s">
        <v>247</v>
      </c>
      <c r="M649" s="38" t="s">
        <v>1708</v>
      </c>
      <c r="N649" s="36" t="s">
        <v>60</v>
      </c>
      <c r="O649" s="6" t="s">
        <v>33</v>
      </c>
      <c r="P649" s="7">
        <v>0</v>
      </c>
      <c r="Q649" s="7" t="s">
        <v>34</v>
      </c>
      <c r="R649" s="8"/>
      <c r="S649" s="8"/>
      <c r="T649" s="7" t="s">
        <v>2395</v>
      </c>
      <c r="U649" s="36" t="s">
        <v>35</v>
      </c>
      <c r="V649" s="38"/>
      <c r="W649" s="36"/>
      <c r="X649" s="36"/>
      <c r="Y649" s="36"/>
      <c r="Z649" s="41"/>
      <c r="AA649" s="42" t="e">
        <f>_xlfn.XLOOKUP(C649,#REF!,#REF!,"",0,1)</f>
        <v>#REF!</v>
      </c>
      <c r="AB649" s="43">
        <f t="shared" si="28"/>
        <v>0</v>
      </c>
    </row>
    <row r="650" spans="1:28" ht="143.5" thickBot="1" x14ac:dyDescent="0.3">
      <c r="A650" s="44">
        <v>649</v>
      </c>
      <c r="B650" s="44" t="s">
        <v>24</v>
      </c>
      <c r="C650" s="36" t="s">
        <v>1645</v>
      </c>
      <c r="D650" s="37">
        <v>39372</v>
      </c>
      <c r="E650" s="44" t="s">
        <v>1646</v>
      </c>
      <c r="F650" s="44" t="s">
        <v>1647</v>
      </c>
      <c r="G650" s="44" t="s">
        <v>42</v>
      </c>
      <c r="H650" s="44" t="s">
        <v>1709</v>
      </c>
      <c r="I650" s="44" t="s">
        <v>54</v>
      </c>
      <c r="J650" s="44" t="str">
        <f t="shared" si="27"/>
        <v>Medical Education and DrugsAyush EstablishmentB (Gazetted)Pathologist &amp; Experiment DirectorS16 (44900 - 142400)</v>
      </c>
      <c r="K650" s="44"/>
      <c r="L650" s="44" t="s">
        <v>261</v>
      </c>
      <c r="M650" s="45" t="s">
        <v>1698</v>
      </c>
      <c r="N650" s="44" t="s">
        <v>113</v>
      </c>
      <c r="O650" s="11" t="s">
        <v>33</v>
      </c>
      <c r="P650" s="7">
        <v>1</v>
      </c>
      <c r="Q650" s="7" t="s">
        <v>34</v>
      </c>
      <c r="R650" s="8"/>
      <c r="S650" s="8"/>
      <c r="T650" s="4" t="s">
        <v>3276</v>
      </c>
      <c r="U650" s="36" t="s">
        <v>35</v>
      </c>
      <c r="V650" s="45"/>
      <c r="W650" s="44"/>
      <c r="X650" s="44"/>
      <c r="Y650" s="44"/>
      <c r="Z650" s="41"/>
      <c r="AA650" s="42" t="e">
        <f>_xlfn.XLOOKUP(C650,#REF!,#REF!,"",0,1)</f>
        <v>#REF!</v>
      </c>
      <c r="AB650" s="43">
        <f t="shared" si="28"/>
        <v>0</v>
      </c>
    </row>
    <row r="651" spans="1:28" ht="143.5" thickBot="1" x14ac:dyDescent="0.3">
      <c r="A651" s="36">
        <v>650</v>
      </c>
      <c r="B651" s="36" t="s">
        <v>24</v>
      </c>
      <c r="C651" s="36" t="s">
        <v>1645</v>
      </c>
      <c r="D651" s="37">
        <v>39372</v>
      </c>
      <c r="E651" s="36" t="s">
        <v>1646</v>
      </c>
      <c r="F651" s="36" t="s">
        <v>1647</v>
      </c>
      <c r="G651" s="36" t="s">
        <v>42</v>
      </c>
      <c r="H651" s="36" t="s">
        <v>1710</v>
      </c>
      <c r="I651" s="36" t="s">
        <v>54</v>
      </c>
      <c r="J651" s="36" t="str">
        <f t="shared" si="27"/>
        <v>Medical Education and DrugsAyush EstablishmentB (Gazetted)Assistant Pharmacist (Ayurveda)S16 (44900 - 142400)</v>
      </c>
      <c r="K651" s="36" t="s">
        <v>1702</v>
      </c>
      <c r="L651" s="36" t="s">
        <v>247</v>
      </c>
      <c r="M651" s="38" t="s">
        <v>1703</v>
      </c>
      <c r="N651" s="36" t="s">
        <v>1704</v>
      </c>
      <c r="O651" s="6" t="s">
        <v>33</v>
      </c>
      <c r="P651" s="7">
        <v>1</v>
      </c>
      <c r="Q651" s="7" t="s">
        <v>34</v>
      </c>
      <c r="R651" s="8"/>
      <c r="S651" s="8"/>
      <c r="T651" s="7" t="s">
        <v>2395</v>
      </c>
      <c r="U651" s="36" t="s">
        <v>35</v>
      </c>
      <c r="V651" s="38"/>
      <c r="W651" s="36"/>
      <c r="X651" s="36"/>
      <c r="Y651" s="36"/>
      <c r="Z651" s="41"/>
      <c r="AA651" s="42" t="e">
        <f>_xlfn.XLOOKUP(C651,#REF!,#REF!,"",0,1)</f>
        <v>#REF!</v>
      </c>
      <c r="AB651" s="43">
        <f t="shared" si="28"/>
        <v>0</v>
      </c>
    </row>
    <row r="652" spans="1:28" ht="156.5" thickBot="1" x14ac:dyDescent="0.3">
      <c r="A652" s="36">
        <v>651</v>
      </c>
      <c r="B652" s="36" t="s">
        <v>24</v>
      </c>
      <c r="C652" s="36" t="s">
        <v>1645</v>
      </c>
      <c r="D652" s="37">
        <v>39372</v>
      </c>
      <c r="E652" s="36" t="s">
        <v>1646</v>
      </c>
      <c r="F652" s="36" t="s">
        <v>1647</v>
      </c>
      <c r="G652" s="36" t="s">
        <v>42</v>
      </c>
      <c r="H652" s="36" t="s">
        <v>1711</v>
      </c>
      <c r="I652" s="36" t="s">
        <v>54</v>
      </c>
      <c r="J652" s="36" t="str">
        <f t="shared" si="27"/>
        <v>Medical Education and DrugsAyush EstablishmentB (Gazetted)Pharmacist (Unani) (Assistant Pharmacist (Unani)S16 (44900 - 142400)</v>
      </c>
      <c r="K652" s="36" t="s">
        <v>1702</v>
      </c>
      <c r="L652" s="36" t="s">
        <v>247</v>
      </c>
      <c r="M652" s="38" t="s">
        <v>1703</v>
      </c>
      <c r="N652" s="36" t="s">
        <v>1704</v>
      </c>
      <c r="O652" s="6" t="s">
        <v>33</v>
      </c>
      <c r="P652" s="7">
        <v>0</v>
      </c>
      <c r="Q652" s="7" t="s">
        <v>34</v>
      </c>
      <c r="R652" s="8"/>
      <c r="S652" s="8"/>
      <c r="T652" s="7" t="s">
        <v>2395</v>
      </c>
      <c r="U652" s="36" t="s">
        <v>35</v>
      </c>
      <c r="V652" s="38"/>
      <c r="W652" s="36"/>
      <c r="X652" s="36"/>
      <c r="Y652" s="36"/>
      <c r="Z652" s="41"/>
      <c r="AA652" s="42" t="e">
        <f>_xlfn.XLOOKUP(C652,#REF!,#REF!,"",0,1)</f>
        <v>#REF!</v>
      </c>
      <c r="AB652" s="43">
        <f t="shared" si="28"/>
        <v>0</v>
      </c>
    </row>
    <row r="653" spans="1:28" ht="143.5" thickBot="1" x14ac:dyDescent="0.3">
      <c r="A653" s="44">
        <v>652</v>
      </c>
      <c r="B653" s="44" t="s">
        <v>24</v>
      </c>
      <c r="C653" s="36" t="s">
        <v>1645</v>
      </c>
      <c r="D653" s="37">
        <v>39372</v>
      </c>
      <c r="E653" s="44" t="s">
        <v>1646</v>
      </c>
      <c r="F653" s="44" t="s">
        <v>1647</v>
      </c>
      <c r="G653" s="44" t="s">
        <v>42</v>
      </c>
      <c r="H653" s="44" t="s">
        <v>1712</v>
      </c>
      <c r="I653" s="44" t="s">
        <v>54</v>
      </c>
      <c r="J653" s="44" t="str">
        <f t="shared" si="27"/>
        <v>Medical Education and DrugsAyush EstablishmentB (Gazetted)Assistant Scientist -cum-PhysicianS16 (44900 - 142400)</v>
      </c>
      <c r="K653" s="44"/>
      <c r="L653" s="44" t="s">
        <v>261</v>
      </c>
      <c r="M653" s="45" t="s">
        <v>1698</v>
      </c>
      <c r="N653" s="44" t="s">
        <v>113</v>
      </c>
      <c r="O653" s="11" t="s">
        <v>33</v>
      </c>
      <c r="P653" s="7">
        <v>1</v>
      </c>
      <c r="Q653" s="7" t="s">
        <v>34</v>
      </c>
      <c r="R653" s="8"/>
      <c r="S653" s="8"/>
      <c r="T653" s="4" t="s">
        <v>3276</v>
      </c>
      <c r="U653" s="36" t="s">
        <v>35</v>
      </c>
      <c r="V653" s="45"/>
      <c r="W653" s="44"/>
      <c r="X653" s="44"/>
      <c r="Y653" s="44"/>
      <c r="Z653" s="41"/>
      <c r="AA653" s="42" t="e">
        <f>_xlfn.XLOOKUP(C653,#REF!,#REF!,"",0,1)</f>
        <v>#REF!</v>
      </c>
      <c r="AB653" s="43">
        <f t="shared" si="28"/>
        <v>0</v>
      </c>
    </row>
    <row r="654" spans="1:28" ht="130.5" thickBot="1" x14ac:dyDescent="0.3">
      <c r="A654" s="44">
        <v>653</v>
      </c>
      <c r="B654" s="44" t="s">
        <v>24</v>
      </c>
      <c r="C654" s="36" t="s">
        <v>1645</v>
      </c>
      <c r="D654" s="37">
        <v>39372</v>
      </c>
      <c r="E654" s="44" t="s">
        <v>1646</v>
      </c>
      <c r="F654" s="44" t="s">
        <v>1647</v>
      </c>
      <c r="G654" s="44" t="s">
        <v>42</v>
      </c>
      <c r="H654" s="44" t="s">
        <v>1713</v>
      </c>
      <c r="I654" s="44" t="s">
        <v>54</v>
      </c>
      <c r="J654" s="44" t="str">
        <f t="shared" si="27"/>
        <v>Medical Education and DrugsAyush EstablishmentB (Gazetted)Assistant Scientist-Ni-HakimS16 (44900 - 142400)</v>
      </c>
      <c r="K654" s="44"/>
      <c r="L654" s="44" t="s">
        <v>261</v>
      </c>
      <c r="M654" s="45" t="s">
        <v>1714</v>
      </c>
      <c r="N654" s="44" t="s">
        <v>113</v>
      </c>
      <c r="O654" s="11" t="s">
        <v>33</v>
      </c>
      <c r="P654" s="7">
        <v>1</v>
      </c>
      <c r="Q654" s="7" t="s">
        <v>34</v>
      </c>
      <c r="R654" s="8"/>
      <c r="S654" s="8"/>
      <c r="T654" s="4" t="s">
        <v>3276</v>
      </c>
      <c r="U654" s="36" t="s">
        <v>35</v>
      </c>
      <c r="V654" s="45"/>
      <c r="W654" s="44"/>
      <c r="X654" s="44"/>
      <c r="Y654" s="44"/>
      <c r="Z654" s="41"/>
      <c r="AA654" s="42" t="e">
        <f>_xlfn.XLOOKUP(C654,#REF!,#REF!,"",0,1)</f>
        <v>#REF!</v>
      </c>
      <c r="AB654" s="43">
        <f t="shared" si="28"/>
        <v>0</v>
      </c>
    </row>
    <row r="655" spans="1:28" ht="130.5" thickBot="1" x14ac:dyDescent="0.3">
      <c r="A655" s="36">
        <v>654</v>
      </c>
      <c r="B655" s="36" t="s">
        <v>24</v>
      </c>
      <c r="C655" s="36" t="s">
        <v>1645</v>
      </c>
      <c r="D655" s="37">
        <v>39372</v>
      </c>
      <c r="E655" s="36" t="s">
        <v>1646</v>
      </c>
      <c r="F655" s="36" t="s">
        <v>1647</v>
      </c>
      <c r="G655" s="36" t="s">
        <v>42</v>
      </c>
      <c r="H655" s="36" t="s">
        <v>1715</v>
      </c>
      <c r="I655" s="36" t="s">
        <v>54</v>
      </c>
      <c r="J655" s="36" t="str">
        <f t="shared" si="27"/>
        <v>Medical Education and DrugsAyush EstablishmentB (Gazetted)District AYUSH OfficerS16 (44900 - 142400)</v>
      </c>
      <c r="K655" s="36" t="s">
        <v>1702</v>
      </c>
      <c r="L655" s="36" t="s">
        <v>247</v>
      </c>
      <c r="M655" s="38" t="s">
        <v>1703</v>
      </c>
      <c r="N655" s="36" t="s">
        <v>1704</v>
      </c>
      <c r="O655" s="6" t="s">
        <v>33</v>
      </c>
      <c r="P655" s="7">
        <v>10</v>
      </c>
      <c r="Q655" s="7" t="s">
        <v>34</v>
      </c>
      <c r="R655" s="8"/>
      <c r="S655" s="8"/>
      <c r="T655" s="7" t="s">
        <v>35</v>
      </c>
      <c r="U655" s="36" t="s">
        <v>35</v>
      </c>
      <c r="V655" s="38"/>
      <c r="W655" s="36"/>
      <c r="X655" s="36"/>
      <c r="Y655" s="36"/>
      <c r="Z655" s="41"/>
      <c r="AA655" s="42" t="e">
        <f>_xlfn.XLOOKUP(C655,#REF!,#REF!,"",0,1)</f>
        <v>#REF!</v>
      </c>
      <c r="AB655" s="43">
        <f t="shared" si="28"/>
        <v>0</v>
      </c>
    </row>
    <row r="656" spans="1:28" ht="130.5" thickBot="1" x14ac:dyDescent="0.3">
      <c r="A656" s="44">
        <v>655</v>
      </c>
      <c r="B656" s="44" t="s">
        <v>24</v>
      </c>
      <c r="C656" s="36" t="s">
        <v>1645</v>
      </c>
      <c r="D656" s="37">
        <v>39372</v>
      </c>
      <c r="E656" s="44" t="s">
        <v>1646</v>
      </c>
      <c r="F656" s="44" t="s">
        <v>1647</v>
      </c>
      <c r="G656" s="44" t="s">
        <v>42</v>
      </c>
      <c r="H656" s="44" t="s">
        <v>1716</v>
      </c>
      <c r="I656" s="44" t="s">
        <v>54</v>
      </c>
      <c r="J656" s="44" t="str">
        <f t="shared" si="27"/>
        <v>Medical Education and DrugsAyush EstablishmentB (Gazetted)Casualty Medical Officer (S-16)S16 (44900 - 142400)</v>
      </c>
      <c r="K656" s="44"/>
      <c r="L656" s="44" t="s">
        <v>261</v>
      </c>
      <c r="M656" s="45" t="s">
        <v>1698</v>
      </c>
      <c r="N656" s="44" t="s">
        <v>113</v>
      </c>
      <c r="O656" s="11" t="s">
        <v>33</v>
      </c>
      <c r="P656" s="7">
        <v>5</v>
      </c>
      <c r="Q656" s="7" t="s">
        <v>34</v>
      </c>
      <c r="R656" s="8"/>
      <c r="S656" s="8"/>
      <c r="T656" s="4" t="s">
        <v>3276</v>
      </c>
      <c r="U656" s="36" t="s">
        <v>35</v>
      </c>
      <c r="V656" s="45"/>
      <c r="W656" s="44"/>
      <c r="X656" s="44"/>
      <c r="Y656" s="44"/>
      <c r="Z656" s="41"/>
      <c r="AA656" s="42" t="e">
        <f>_xlfn.XLOOKUP(C656,#REF!,#REF!,"",0,1)</f>
        <v>#REF!</v>
      </c>
      <c r="AB656" s="43">
        <f t="shared" si="28"/>
        <v>0</v>
      </c>
    </row>
    <row r="657" spans="1:28" ht="117.5" thickBot="1" x14ac:dyDescent="0.3">
      <c r="A657" s="36">
        <v>656</v>
      </c>
      <c r="B657" s="36" t="s">
        <v>24</v>
      </c>
      <c r="C657" s="36" t="s">
        <v>1645</v>
      </c>
      <c r="D657" s="37">
        <v>39372</v>
      </c>
      <c r="E657" s="36" t="s">
        <v>1646</v>
      </c>
      <c r="F657" s="36" t="s">
        <v>1647</v>
      </c>
      <c r="G657" s="36" t="s">
        <v>42</v>
      </c>
      <c r="H657" s="36" t="s">
        <v>1717</v>
      </c>
      <c r="I657" s="36" t="s">
        <v>38</v>
      </c>
      <c r="J657" s="36" t="str">
        <f t="shared" si="27"/>
        <v>Medical Education and DrugsAyush EstablishmentB (Gazetted)AnaesthesiologistS20 (56100 - 177500)</v>
      </c>
      <c r="K657" s="36"/>
      <c r="L657" s="36" t="s">
        <v>243</v>
      </c>
      <c r="M657" s="38" t="s">
        <v>1718</v>
      </c>
      <c r="N657" s="36" t="s">
        <v>595</v>
      </c>
      <c r="O657" s="6" t="s">
        <v>33</v>
      </c>
      <c r="P657" s="7">
        <v>4</v>
      </c>
      <c r="Q657" s="7" t="s">
        <v>34</v>
      </c>
      <c r="R657" s="8"/>
      <c r="S657" s="8"/>
      <c r="T657" s="4" t="s">
        <v>3276</v>
      </c>
      <c r="U657" s="36" t="s">
        <v>35</v>
      </c>
      <c r="V657" s="38"/>
      <c r="W657" s="36"/>
      <c r="X657" s="36"/>
      <c r="Y657" s="36"/>
      <c r="Z657" s="41"/>
      <c r="AA657" s="42" t="e">
        <f>_xlfn.XLOOKUP(C657,#REF!,#REF!,"",0,1)</f>
        <v>#REF!</v>
      </c>
      <c r="AB657" s="43">
        <f t="shared" si="28"/>
        <v>0</v>
      </c>
    </row>
    <row r="658" spans="1:28" ht="130.5" thickBot="1" x14ac:dyDescent="0.3">
      <c r="A658" s="36">
        <v>657</v>
      </c>
      <c r="B658" s="36" t="s">
        <v>24</v>
      </c>
      <c r="C658" s="36" t="s">
        <v>1645</v>
      </c>
      <c r="D658" s="37">
        <v>39372</v>
      </c>
      <c r="E658" s="36" t="s">
        <v>1646</v>
      </c>
      <c r="F658" s="36" t="s">
        <v>1647</v>
      </c>
      <c r="G658" s="36" t="s">
        <v>42</v>
      </c>
      <c r="H658" s="36" t="s">
        <v>1719</v>
      </c>
      <c r="I658" s="36" t="s">
        <v>38</v>
      </c>
      <c r="J658" s="36" t="str">
        <f t="shared" si="27"/>
        <v>Medical Education and DrugsAyush EstablishmentB (Gazetted)Assistant Director AYUSHS20 (56100 - 177500)</v>
      </c>
      <c r="K658" s="36"/>
      <c r="L658" s="36" t="s">
        <v>243</v>
      </c>
      <c r="M658" s="38" t="s">
        <v>1720</v>
      </c>
      <c r="N658" s="36" t="s">
        <v>32</v>
      </c>
      <c r="O658" s="6" t="s">
        <v>83</v>
      </c>
      <c r="P658" s="7">
        <v>1</v>
      </c>
      <c r="Q658" s="7" t="s">
        <v>34</v>
      </c>
      <c r="R658" s="8"/>
      <c r="S658" s="8"/>
      <c r="T658" s="4" t="s">
        <v>3276</v>
      </c>
      <c r="U658" s="36" t="s">
        <v>35</v>
      </c>
      <c r="V658" s="38"/>
      <c r="W658" s="36"/>
      <c r="X658" s="36"/>
      <c r="Y658" s="36"/>
      <c r="Z658" s="41"/>
      <c r="AA658" s="42" t="e">
        <f>_xlfn.XLOOKUP(C658,#REF!,#REF!,"",0,1)</f>
        <v>#REF!</v>
      </c>
      <c r="AB658" s="43">
        <f t="shared" si="28"/>
        <v>0</v>
      </c>
    </row>
    <row r="659" spans="1:28" ht="143.5" thickBot="1" x14ac:dyDescent="0.3">
      <c r="A659" s="36">
        <v>658</v>
      </c>
      <c r="B659" s="36" t="s">
        <v>24</v>
      </c>
      <c r="C659" s="36" t="s">
        <v>1645</v>
      </c>
      <c r="D659" s="37">
        <v>39372</v>
      </c>
      <c r="E659" s="36" t="s">
        <v>1646</v>
      </c>
      <c r="F659" s="36" t="s">
        <v>1647</v>
      </c>
      <c r="G659" s="36" t="s">
        <v>42</v>
      </c>
      <c r="H659" s="36" t="s">
        <v>1721</v>
      </c>
      <c r="I659" s="36" t="s">
        <v>38</v>
      </c>
      <c r="J659" s="36" t="str">
        <f t="shared" si="27"/>
        <v>Medical Education and DrugsAyush EstablishmentB (Gazetted)Resident Medical Officer (Ayurveda)S20 (56100 - 177500)</v>
      </c>
      <c r="K659" s="36"/>
      <c r="L659" s="36" t="s">
        <v>243</v>
      </c>
      <c r="M659" s="38" t="s">
        <v>1722</v>
      </c>
      <c r="N659" s="36" t="s">
        <v>32</v>
      </c>
      <c r="O659" s="6" t="s">
        <v>83</v>
      </c>
      <c r="P659" s="7">
        <v>1</v>
      </c>
      <c r="Q659" s="7" t="s">
        <v>34</v>
      </c>
      <c r="R659" s="8"/>
      <c r="S659" s="8"/>
      <c r="T659" s="4" t="s">
        <v>3276</v>
      </c>
      <c r="U659" s="36" t="s">
        <v>35</v>
      </c>
      <c r="V659" s="38"/>
      <c r="W659" s="36"/>
      <c r="X659" s="36"/>
      <c r="Y659" s="36"/>
      <c r="Z659" s="41"/>
      <c r="AA659" s="42" t="e">
        <f>_xlfn.XLOOKUP(C659,#REF!,#REF!,"",0,1)</f>
        <v>#REF!</v>
      </c>
      <c r="AB659" s="43">
        <f t="shared" si="28"/>
        <v>0</v>
      </c>
    </row>
    <row r="660" spans="1:28" ht="143.5" thickBot="1" x14ac:dyDescent="0.3">
      <c r="A660" s="36">
        <v>659</v>
      </c>
      <c r="B660" s="36" t="s">
        <v>24</v>
      </c>
      <c r="C660" s="36" t="s">
        <v>1645</v>
      </c>
      <c r="D660" s="37">
        <v>39372</v>
      </c>
      <c r="E660" s="36" t="s">
        <v>1646</v>
      </c>
      <c r="F660" s="36" t="s">
        <v>1647</v>
      </c>
      <c r="G660" s="36" t="s">
        <v>42</v>
      </c>
      <c r="H660" s="36" t="s">
        <v>1723</v>
      </c>
      <c r="I660" s="36" t="s">
        <v>38</v>
      </c>
      <c r="J660" s="36" t="str">
        <f t="shared" si="27"/>
        <v>Medical Education and DrugsAyush EstablishmentB (Gazetted)Resident Medical Officer (Homeopathy)S20 (56100 - 177500)</v>
      </c>
      <c r="K660" s="36"/>
      <c r="L660" s="48" t="s">
        <v>243</v>
      </c>
      <c r="M660" s="38" t="s">
        <v>1724</v>
      </c>
      <c r="N660" s="36" t="s">
        <v>32</v>
      </c>
      <c r="O660" s="6" t="s">
        <v>83</v>
      </c>
      <c r="P660" s="7">
        <v>2</v>
      </c>
      <c r="Q660" s="7" t="s">
        <v>34</v>
      </c>
      <c r="R660" s="8"/>
      <c r="S660" s="8"/>
      <c r="T660" s="4" t="s">
        <v>3276</v>
      </c>
      <c r="U660" s="36" t="s">
        <v>35</v>
      </c>
      <c r="V660" s="38"/>
      <c r="W660" s="36"/>
      <c r="X660" s="36"/>
      <c r="Y660" s="36"/>
      <c r="Z660" s="41"/>
      <c r="AA660" s="42" t="e">
        <f>_xlfn.XLOOKUP(C660,#REF!,#REF!,"",0,1)</f>
        <v>#REF!</v>
      </c>
      <c r="AB660" s="43">
        <f t="shared" si="28"/>
        <v>0</v>
      </c>
    </row>
    <row r="661" spans="1:28" ht="130.5" thickBot="1" x14ac:dyDescent="0.3">
      <c r="A661" s="36">
        <v>660</v>
      </c>
      <c r="B661" s="36" t="s">
        <v>24</v>
      </c>
      <c r="C661" s="36" t="s">
        <v>1645</v>
      </c>
      <c r="D661" s="37">
        <v>39372</v>
      </c>
      <c r="E661" s="36" t="s">
        <v>1646</v>
      </c>
      <c r="F661" s="36" t="s">
        <v>1647</v>
      </c>
      <c r="G661" s="36" t="s">
        <v>42</v>
      </c>
      <c r="H661" s="36" t="s">
        <v>1725</v>
      </c>
      <c r="I661" s="36" t="s">
        <v>38</v>
      </c>
      <c r="J661" s="36" t="str">
        <f t="shared" si="27"/>
        <v>Medical Education and DrugsAyush EstablishmentB (Gazetted)Casualty Medical Officer (S-20)S20 (56100 - 177500)</v>
      </c>
      <c r="K661" s="36"/>
      <c r="L661" s="36" t="s">
        <v>243</v>
      </c>
      <c r="M661" s="38" t="s">
        <v>1722</v>
      </c>
      <c r="N661" s="36" t="s">
        <v>32</v>
      </c>
      <c r="O661" s="6" t="s">
        <v>83</v>
      </c>
      <c r="P661" s="7">
        <v>0</v>
      </c>
      <c r="Q661" s="7" t="s">
        <v>34</v>
      </c>
      <c r="R661" s="8"/>
      <c r="S661" s="8"/>
      <c r="T661" s="4" t="s">
        <v>3276</v>
      </c>
      <c r="U661" s="36" t="s">
        <v>35</v>
      </c>
      <c r="V661" s="38"/>
      <c r="W661" s="36"/>
      <c r="X661" s="36"/>
      <c r="Y661" s="36"/>
      <c r="Z661" s="41"/>
      <c r="AA661" s="42" t="e">
        <f>_xlfn.XLOOKUP(C661,#REF!,#REF!,"",0,1)</f>
        <v>#REF!</v>
      </c>
      <c r="AB661" s="43">
        <f t="shared" si="28"/>
        <v>0</v>
      </c>
    </row>
    <row r="662" spans="1:28" ht="130.5" thickBot="1" x14ac:dyDescent="0.3">
      <c r="A662" s="36">
        <v>661</v>
      </c>
      <c r="B662" s="36" t="s">
        <v>24</v>
      </c>
      <c r="C662" s="36" t="s">
        <v>1645</v>
      </c>
      <c r="D662" s="37">
        <v>39372</v>
      </c>
      <c r="E662" s="36" t="s">
        <v>1646</v>
      </c>
      <c r="F662" s="36" t="s">
        <v>1647</v>
      </c>
      <c r="G662" s="36" t="s">
        <v>42</v>
      </c>
      <c r="H662" s="36" t="s">
        <v>1726</v>
      </c>
      <c r="I662" s="36" t="s">
        <v>38</v>
      </c>
      <c r="J662" s="36" t="str">
        <f t="shared" si="27"/>
        <v>Medical Education and DrugsAyush EstablishmentB (Gazetted)Medical Officer (Ayurveda)(S-20)S20 (56100 - 177500)</v>
      </c>
      <c r="K662" s="36"/>
      <c r="L662" s="36" t="s">
        <v>243</v>
      </c>
      <c r="M662" s="38" t="s">
        <v>1727</v>
      </c>
      <c r="N662" s="36" t="s">
        <v>32</v>
      </c>
      <c r="O662" s="6" t="s">
        <v>83</v>
      </c>
      <c r="P662" s="7">
        <v>1</v>
      </c>
      <c r="Q662" s="7" t="s">
        <v>34</v>
      </c>
      <c r="R662" s="8"/>
      <c r="S662" s="8"/>
      <c r="T662" s="4" t="s">
        <v>3276</v>
      </c>
      <c r="U662" s="36" t="s">
        <v>35</v>
      </c>
      <c r="V662" s="38"/>
      <c r="W662" s="36"/>
      <c r="X662" s="36"/>
      <c r="Y662" s="36"/>
      <c r="Z662" s="41"/>
      <c r="AA662" s="42" t="e">
        <f>_xlfn.XLOOKUP(C662,#REF!,#REF!,"",0,1)</f>
        <v>#REF!</v>
      </c>
      <c r="AB662" s="43">
        <f t="shared" si="28"/>
        <v>0</v>
      </c>
    </row>
    <row r="663" spans="1:28" ht="143.5" thickBot="1" x14ac:dyDescent="0.3">
      <c r="A663" s="36">
        <v>662</v>
      </c>
      <c r="B663" s="36" t="s">
        <v>24</v>
      </c>
      <c r="C663" s="36" t="s">
        <v>1645</v>
      </c>
      <c r="D663" s="37">
        <v>39372</v>
      </c>
      <c r="E663" s="36" t="s">
        <v>1646</v>
      </c>
      <c r="F663" s="36" t="s">
        <v>1647</v>
      </c>
      <c r="G663" s="36" t="s">
        <v>42</v>
      </c>
      <c r="H663" s="36" t="s">
        <v>1728</v>
      </c>
      <c r="I663" s="36" t="s">
        <v>38</v>
      </c>
      <c r="J663" s="36" t="str">
        <f t="shared" si="27"/>
        <v>Medical Education and DrugsAyush EstablishmentB (Gazetted)Deputy Medical Superintendent (Ayurveda)S20 (56100 - 177500)</v>
      </c>
      <c r="K663" s="36"/>
      <c r="L663" s="36" t="s">
        <v>243</v>
      </c>
      <c r="M663" s="38" t="s">
        <v>1698</v>
      </c>
      <c r="N663" s="36" t="s">
        <v>32</v>
      </c>
      <c r="O663" s="6" t="s">
        <v>83</v>
      </c>
      <c r="P663" s="7">
        <v>2</v>
      </c>
      <c r="Q663" s="7" t="s">
        <v>34</v>
      </c>
      <c r="R663" s="8"/>
      <c r="S663" s="8"/>
      <c r="T663" s="4" t="s">
        <v>3276</v>
      </c>
      <c r="U663" s="36" t="s">
        <v>35</v>
      </c>
      <c r="V663" s="38"/>
      <c r="W663" s="36"/>
      <c r="X663" s="36"/>
      <c r="Y663" s="36"/>
      <c r="Z663" s="41"/>
      <c r="AA663" s="42" t="e">
        <f>_xlfn.XLOOKUP(C663,#REF!,#REF!,"",0,1)</f>
        <v>#REF!</v>
      </c>
      <c r="AB663" s="43">
        <f t="shared" si="28"/>
        <v>0</v>
      </c>
    </row>
    <row r="664" spans="1:28" ht="91.5" thickBot="1" x14ac:dyDescent="0.3">
      <c r="A664" s="36">
        <v>663</v>
      </c>
      <c r="B664" s="36" t="s">
        <v>24</v>
      </c>
      <c r="C664" s="36" t="s">
        <v>1645</v>
      </c>
      <c r="D664" s="37">
        <v>39372</v>
      </c>
      <c r="E664" s="36" t="s">
        <v>1646</v>
      </c>
      <c r="F664" s="36" t="s">
        <v>1647</v>
      </c>
      <c r="G664" s="36" t="s">
        <v>55</v>
      </c>
      <c r="H664" s="36" t="s">
        <v>1148</v>
      </c>
      <c r="I664" s="36" t="s">
        <v>276</v>
      </c>
      <c r="J664" s="36" t="str">
        <f t="shared" si="27"/>
        <v>Medical Education and DrugsAyush EstablishmentCCompounderS10 (29200 - 92300)</v>
      </c>
      <c r="K664" s="36" t="s">
        <v>197</v>
      </c>
      <c r="L664" s="36" t="s">
        <v>228</v>
      </c>
      <c r="M664" s="38" t="s">
        <v>1729</v>
      </c>
      <c r="N664" s="36" t="s">
        <v>199</v>
      </c>
      <c r="O664" s="6" t="s">
        <v>33</v>
      </c>
      <c r="P664" s="7">
        <v>4</v>
      </c>
      <c r="Q664" s="7" t="s">
        <v>34</v>
      </c>
      <c r="R664" s="8"/>
      <c r="S664" s="8"/>
      <c r="T664" s="7" t="s">
        <v>35</v>
      </c>
      <c r="U664" s="36" t="s">
        <v>35</v>
      </c>
      <c r="V664" s="38" t="s">
        <v>1729</v>
      </c>
      <c r="W664" s="36"/>
      <c r="X664" s="36" t="s">
        <v>150</v>
      </c>
      <c r="Y664" s="36" t="s">
        <v>150</v>
      </c>
      <c r="Z664" s="41"/>
      <c r="AA664" s="42" t="e">
        <f>_xlfn.XLOOKUP(C664,#REF!,#REF!,"",0,1)</f>
        <v>#REF!</v>
      </c>
      <c r="AB664" s="43">
        <f t="shared" si="28"/>
        <v>0</v>
      </c>
    </row>
    <row r="665" spans="1:28" ht="78.5" thickBot="1" x14ac:dyDescent="0.3">
      <c r="A665" s="36">
        <v>664</v>
      </c>
      <c r="B665" s="36" t="s">
        <v>24</v>
      </c>
      <c r="C665" s="36" t="s">
        <v>1645</v>
      </c>
      <c r="D665" s="37">
        <v>39372</v>
      </c>
      <c r="E665" s="36" t="s">
        <v>1646</v>
      </c>
      <c r="F665" s="36" t="s">
        <v>1647</v>
      </c>
      <c r="G665" s="36" t="s">
        <v>55</v>
      </c>
      <c r="H665" s="36" t="s">
        <v>168</v>
      </c>
      <c r="I665" s="36" t="s">
        <v>276</v>
      </c>
      <c r="J665" s="36" t="str">
        <f t="shared" si="27"/>
        <v>Medical Education and DrugsAyush EstablishmentCLibrarianS10 (29200 - 92300)</v>
      </c>
      <c r="K665" s="36" t="s">
        <v>170</v>
      </c>
      <c r="L665" s="36" t="s">
        <v>228</v>
      </c>
      <c r="M665" s="38" t="s">
        <v>1730</v>
      </c>
      <c r="N665" s="36" t="s">
        <v>172</v>
      </c>
      <c r="O665" s="6" t="s">
        <v>33</v>
      </c>
      <c r="P665" s="7">
        <v>0</v>
      </c>
      <c r="Q665" s="7" t="s">
        <v>34</v>
      </c>
      <c r="R665" s="8"/>
      <c r="S665" s="8"/>
      <c r="T665" s="7" t="s">
        <v>2395</v>
      </c>
      <c r="U665" s="36" t="s">
        <v>35</v>
      </c>
      <c r="V665" s="38" t="s">
        <v>1730</v>
      </c>
      <c r="W665" s="36"/>
      <c r="X665" s="36" t="s">
        <v>150</v>
      </c>
      <c r="Y665" s="36" t="s">
        <v>150</v>
      </c>
      <c r="Z665" s="41"/>
      <c r="AA665" s="42" t="e">
        <f>_xlfn.XLOOKUP(C665,#REF!,#REF!,"",0,1)</f>
        <v>#REF!</v>
      </c>
      <c r="AB665" s="43">
        <f t="shared" si="28"/>
        <v>0</v>
      </c>
    </row>
    <row r="666" spans="1:28" ht="104.5" thickBot="1" x14ac:dyDescent="0.3">
      <c r="A666" s="36">
        <v>665</v>
      </c>
      <c r="B666" s="36" t="s">
        <v>24</v>
      </c>
      <c r="C666" s="36" t="s">
        <v>1645</v>
      </c>
      <c r="D666" s="37">
        <v>39372</v>
      </c>
      <c r="E666" s="36" t="s">
        <v>1646</v>
      </c>
      <c r="F666" s="36" t="s">
        <v>1647</v>
      </c>
      <c r="G666" s="36" t="s">
        <v>55</v>
      </c>
      <c r="H666" s="36" t="s">
        <v>1731</v>
      </c>
      <c r="I666" s="36" t="s">
        <v>276</v>
      </c>
      <c r="J666" s="36" t="str">
        <f t="shared" si="27"/>
        <v>Medical Education and DrugsAyush EstablishmentCHostel SuperintendentS10 (29200 - 92300)</v>
      </c>
      <c r="K666" s="36" t="s">
        <v>58</v>
      </c>
      <c r="L666" s="36" t="s">
        <v>228</v>
      </c>
      <c r="M666" s="38" t="s">
        <v>1732</v>
      </c>
      <c r="N666" s="36" t="s">
        <v>41</v>
      </c>
      <c r="O666" s="6" t="s">
        <v>33</v>
      </c>
      <c r="P666" s="7">
        <v>4</v>
      </c>
      <c r="Q666" s="7" t="s">
        <v>34</v>
      </c>
      <c r="R666" s="8"/>
      <c r="S666" s="8"/>
      <c r="T666" s="7" t="s">
        <v>35</v>
      </c>
      <c r="U666" s="36" t="s">
        <v>35</v>
      </c>
      <c r="V666" s="38" t="s">
        <v>1732</v>
      </c>
      <c r="W666" s="36"/>
      <c r="X666" s="36" t="s">
        <v>150</v>
      </c>
      <c r="Y666" s="36" t="s">
        <v>150</v>
      </c>
      <c r="Z666" s="41"/>
      <c r="AA666" s="42" t="e">
        <f>_xlfn.XLOOKUP(C666,#REF!,#REF!,"",0,1)</f>
        <v>#REF!</v>
      </c>
      <c r="AB666" s="43">
        <f t="shared" si="28"/>
        <v>0</v>
      </c>
    </row>
    <row r="667" spans="1:28" ht="104.5" thickBot="1" x14ac:dyDescent="0.3">
      <c r="A667" s="36">
        <v>666</v>
      </c>
      <c r="B667" s="36" t="s">
        <v>24</v>
      </c>
      <c r="C667" s="36" t="s">
        <v>1645</v>
      </c>
      <c r="D667" s="37">
        <v>39372</v>
      </c>
      <c r="E667" s="36" t="s">
        <v>1646</v>
      </c>
      <c r="F667" s="36" t="s">
        <v>1647</v>
      </c>
      <c r="G667" s="36" t="s">
        <v>55</v>
      </c>
      <c r="H667" s="36" t="s">
        <v>1733</v>
      </c>
      <c r="I667" s="36" t="s">
        <v>57</v>
      </c>
      <c r="J667" s="36" t="str">
        <f t="shared" si="27"/>
        <v>Medical Education and DrugsAyush EstablishmentCLaboratory TechnicianS13 (35400 - 112400)</v>
      </c>
      <c r="K667" s="36" t="s">
        <v>377</v>
      </c>
      <c r="L667" s="36" t="s">
        <v>225</v>
      </c>
      <c r="M667" s="38" t="s">
        <v>1734</v>
      </c>
      <c r="N667" s="36" t="s">
        <v>379</v>
      </c>
      <c r="O667" s="6" t="s">
        <v>33</v>
      </c>
      <c r="P667" s="7">
        <v>36</v>
      </c>
      <c r="Q667" s="7" t="s">
        <v>34</v>
      </c>
      <c r="R667" s="8"/>
      <c r="S667" s="8"/>
      <c r="T667" s="7" t="s">
        <v>35</v>
      </c>
      <c r="U667" s="36" t="s">
        <v>35</v>
      </c>
      <c r="V667" s="38" t="s">
        <v>1734</v>
      </c>
      <c r="W667" s="36"/>
      <c r="X667" s="36" t="s">
        <v>1735</v>
      </c>
      <c r="Y667" s="36" t="s">
        <v>1736</v>
      </c>
      <c r="Z667" s="41"/>
      <c r="AA667" s="42" t="e">
        <f>_xlfn.XLOOKUP(C667,#REF!,#REF!,"",0,1)</f>
        <v>#REF!</v>
      </c>
      <c r="AB667" s="43">
        <f t="shared" si="28"/>
        <v>0</v>
      </c>
    </row>
    <row r="668" spans="1:28" ht="91.5" thickBot="1" x14ac:dyDescent="0.3">
      <c r="A668" s="36">
        <v>667</v>
      </c>
      <c r="B668" s="36" t="s">
        <v>24</v>
      </c>
      <c r="C668" s="36" t="s">
        <v>1645</v>
      </c>
      <c r="D668" s="37">
        <v>39372</v>
      </c>
      <c r="E668" s="36" t="s">
        <v>1646</v>
      </c>
      <c r="F668" s="36" t="s">
        <v>1647</v>
      </c>
      <c r="G668" s="36" t="s">
        <v>55</v>
      </c>
      <c r="H668" s="36" t="s">
        <v>1737</v>
      </c>
      <c r="I668" s="36" t="s">
        <v>57</v>
      </c>
      <c r="J668" s="36" t="str">
        <f t="shared" si="27"/>
        <v>Medical Education and DrugsAyush EstablishmentCStaff NurseS13 (35400 - 112400)</v>
      </c>
      <c r="K668" s="36" t="s">
        <v>1738</v>
      </c>
      <c r="L668" s="36" t="s">
        <v>225</v>
      </c>
      <c r="M668" s="38" t="s">
        <v>1739</v>
      </c>
      <c r="N668" s="36" t="s">
        <v>1740</v>
      </c>
      <c r="O668" s="6" t="s">
        <v>33</v>
      </c>
      <c r="P668" s="7">
        <v>91</v>
      </c>
      <c r="Q668" s="7" t="s">
        <v>34</v>
      </c>
      <c r="R668" s="8"/>
      <c r="S668" s="8"/>
      <c r="T668" s="7" t="s">
        <v>35</v>
      </c>
      <c r="U668" s="36" t="s">
        <v>35</v>
      </c>
      <c r="V668" s="38" t="s">
        <v>1739</v>
      </c>
      <c r="W668" s="36"/>
      <c r="X668" s="36" t="s">
        <v>150</v>
      </c>
      <c r="Y668" s="36" t="s">
        <v>150</v>
      </c>
      <c r="Z668" s="41"/>
      <c r="AA668" s="42" t="e">
        <f>_xlfn.XLOOKUP(C668,#REF!,#REF!,"",0,1)</f>
        <v>#REF!</v>
      </c>
      <c r="AB668" s="43">
        <f t="shared" si="28"/>
        <v>0</v>
      </c>
    </row>
    <row r="669" spans="1:28" ht="104.5" thickBot="1" x14ac:dyDescent="0.3">
      <c r="A669" s="36">
        <v>668</v>
      </c>
      <c r="B669" s="36" t="s">
        <v>24</v>
      </c>
      <c r="C669" s="36" t="s">
        <v>1645</v>
      </c>
      <c r="D669" s="37">
        <v>39372</v>
      </c>
      <c r="E669" s="36" t="s">
        <v>1646</v>
      </c>
      <c r="F669" s="36" t="s">
        <v>1647</v>
      </c>
      <c r="G669" s="36" t="s">
        <v>55</v>
      </c>
      <c r="H669" s="36" t="s">
        <v>1741</v>
      </c>
      <c r="I669" s="36" t="s">
        <v>57</v>
      </c>
      <c r="J669" s="36" t="str">
        <f t="shared" si="27"/>
        <v>Medical Education and DrugsAyush EstablishmentCPanchkarma TechnicianS13 (35400 - 112400)</v>
      </c>
      <c r="K669" s="36"/>
      <c r="L669" s="36" t="s">
        <v>238</v>
      </c>
      <c r="M669" s="38" t="s">
        <v>1742</v>
      </c>
      <c r="N669" s="36" t="s">
        <v>283</v>
      </c>
      <c r="O669" s="6" t="s">
        <v>33</v>
      </c>
      <c r="P669" s="7">
        <v>0</v>
      </c>
      <c r="Q669" s="7" t="s">
        <v>34</v>
      </c>
      <c r="R669" s="8"/>
      <c r="S669" s="8"/>
      <c r="T669" s="7" t="s">
        <v>2395</v>
      </c>
      <c r="U669" s="36" t="s">
        <v>35</v>
      </c>
      <c r="V669" s="38"/>
      <c r="W669" s="36"/>
      <c r="X669" s="36"/>
      <c r="Y669" s="36"/>
      <c r="Z669" s="41"/>
      <c r="AA669" s="42" t="e">
        <f>_xlfn.XLOOKUP(C669,#REF!,#REF!,"",0,1)</f>
        <v>#REF!</v>
      </c>
      <c r="AB669" s="43">
        <f t="shared" si="28"/>
        <v>0</v>
      </c>
    </row>
    <row r="670" spans="1:28" ht="104.5" thickBot="1" x14ac:dyDescent="0.3">
      <c r="A670" s="36">
        <v>669</v>
      </c>
      <c r="B670" s="36" t="s">
        <v>24</v>
      </c>
      <c r="C670" s="36" t="s">
        <v>1645</v>
      </c>
      <c r="D670" s="37">
        <v>39372</v>
      </c>
      <c r="E670" s="36" t="s">
        <v>1646</v>
      </c>
      <c r="F670" s="36" t="s">
        <v>1647</v>
      </c>
      <c r="G670" s="36" t="s">
        <v>55</v>
      </c>
      <c r="H670" s="36" t="s">
        <v>1743</v>
      </c>
      <c r="I670" s="36" t="s">
        <v>57</v>
      </c>
      <c r="J670" s="36" t="str">
        <f t="shared" si="27"/>
        <v>Medical Education and DrugsAyush EstablishmentCX-Ray TechnicianS13 (35400 - 112400)</v>
      </c>
      <c r="K670" s="36" t="s">
        <v>1744</v>
      </c>
      <c r="L670" s="36" t="s">
        <v>225</v>
      </c>
      <c r="M670" s="38" t="s">
        <v>1745</v>
      </c>
      <c r="N670" s="36" t="s">
        <v>41</v>
      </c>
      <c r="O670" s="6" t="s">
        <v>33</v>
      </c>
      <c r="P670" s="7">
        <v>1</v>
      </c>
      <c r="Q670" s="7" t="s">
        <v>34</v>
      </c>
      <c r="R670" s="8"/>
      <c r="S670" s="8"/>
      <c r="T670" s="7" t="s">
        <v>2395</v>
      </c>
      <c r="U670" s="36" t="s">
        <v>35</v>
      </c>
      <c r="V670" s="38" t="s">
        <v>1745</v>
      </c>
      <c r="W670" s="36"/>
      <c r="X670" s="36" t="s">
        <v>150</v>
      </c>
      <c r="Y670" s="36" t="s">
        <v>150</v>
      </c>
      <c r="Z670" s="41"/>
      <c r="AA670" s="42" t="e">
        <f>_xlfn.XLOOKUP(C670,#REF!,#REF!,"",0,1)</f>
        <v>#REF!</v>
      </c>
      <c r="AB670" s="43">
        <f t="shared" si="28"/>
        <v>0</v>
      </c>
    </row>
    <row r="671" spans="1:28" ht="104.5" thickBot="1" x14ac:dyDescent="0.3">
      <c r="A671" s="36">
        <v>670</v>
      </c>
      <c r="B671" s="36" t="s">
        <v>24</v>
      </c>
      <c r="C671" s="36" t="s">
        <v>1645</v>
      </c>
      <c r="D671" s="37">
        <v>39372</v>
      </c>
      <c r="E671" s="36" t="s">
        <v>1646</v>
      </c>
      <c r="F671" s="36" t="s">
        <v>1647</v>
      </c>
      <c r="G671" s="36" t="s">
        <v>55</v>
      </c>
      <c r="H671" s="36" t="s">
        <v>1746</v>
      </c>
      <c r="I671" s="36" t="s">
        <v>57</v>
      </c>
      <c r="J671" s="36" t="str">
        <f t="shared" si="27"/>
        <v>Medical Education and DrugsAyush EstablishmentCCost AccountantS13 (35400 - 112400)</v>
      </c>
      <c r="K671" s="36" t="s">
        <v>270</v>
      </c>
      <c r="L671" s="36" t="s">
        <v>225</v>
      </c>
      <c r="M671" s="38" t="s">
        <v>1747</v>
      </c>
      <c r="N671" s="36" t="s">
        <v>41</v>
      </c>
      <c r="O671" s="6" t="s">
        <v>33</v>
      </c>
      <c r="P671" s="7">
        <v>0</v>
      </c>
      <c r="Q671" s="7" t="s">
        <v>34</v>
      </c>
      <c r="R671" s="8"/>
      <c r="S671" s="8"/>
      <c r="T671" s="7" t="s">
        <v>2395</v>
      </c>
      <c r="U671" s="36" t="s">
        <v>35</v>
      </c>
      <c r="V671" s="38" t="s">
        <v>1747</v>
      </c>
      <c r="W671" s="36"/>
      <c r="X671" s="36" t="s">
        <v>150</v>
      </c>
      <c r="Y671" s="36" t="s">
        <v>150</v>
      </c>
      <c r="Z671" s="41"/>
      <c r="AA671" s="42" t="e">
        <f>_xlfn.XLOOKUP(C671,#REF!,#REF!,"",0,1)</f>
        <v>#REF!</v>
      </c>
      <c r="AB671" s="43">
        <f t="shared" si="28"/>
        <v>0</v>
      </c>
    </row>
    <row r="672" spans="1:28" ht="91.5" thickBot="1" x14ac:dyDescent="0.3">
      <c r="A672" s="36">
        <v>671</v>
      </c>
      <c r="B672" s="36" t="s">
        <v>24</v>
      </c>
      <c r="C672" s="36" t="s">
        <v>1645</v>
      </c>
      <c r="D672" s="37">
        <v>39372</v>
      </c>
      <c r="E672" s="36" t="s">
        <v>1646</v>
      </c>
      <c r="F672" s="36" t="s">
        <v>1647</v>
      </c>
      <c r="G672" s="36" t="s">
        <v>55</v>
      </c>
      <c r="H672" s="36" t="s">
        <v>1748</v>
      </c>
      <c r="I672" s="36" t="s">
        <v>67</v>
      </c>
      <c r="J672" s="36" t="str">
        <f t="shared" si="27"/>
        <v>Medical Education and DrugsAyush EstablishmentCDietitianS14 (38600 - 122800)</v>
      </c>
      <c r="K672" s="36" t="s">
        <v>1749</v>
      </c>
      <c r="L672" s="36" t="s">
        <v>225</v>
      </c>
      <c r="M672" s="38" t="s">
        <v>1750</v>
      </c>
      <c r="N672" s="36" t="s">
        <v>41</v>
      </c>
      <c r="O672" s="6" t="s">
        <v>33</v>
      </c>
      <c r="P672" s="7">
        <v>0</v>
      </c>
      <c r="Q672" s="7" t="s">
        <v>34</v>
      </c>
      <c r="R672" s="8"/>
      <c r="S672" s="8"/>
      <c r="T672" s="7" t="s">
        <v>2395</v>
      </c>
      <c r="U672" s="36" t="s">
        <v>35</v>
      </c>
      <c r="V672" s="38" t="s">
        <v>1751</v>
      </c>
      <c r="W672" s="36"/>
      <c r="X672" s="36" t="s">
        <v>1752</v>
      </c>
      <c r="Y672" s="36" t="s">
        <v>1753</v>
      </c>
      <c r="Z672" s="41"/>
      <c r="AA672" s="42" t="e">
        <f>_xlfn.XLOOKUP(C672,#REF!,#REF!,"",0,1)</f>
        <v>#REF!</v>
      </c>
      <c r="AB672" s="43">
        <f t="shared" si="28"/>
        <v>0</v>
      </c>
    </row>
    <row r="673" spans="1:28" ht="104.5" thickBot="1" x14ac:dyDescent="0.3">
      <c r="A673" s="36">
        <v>672</v>
      </c>
      <c r="B673" s="36" t="s">
        <v>24</v>
      </c>
      <c r="C673" s="36" t="s">
        <v>1645</v>
      </c>
      <c r="D673" s="37">
        <v>39372</v>
      </c>
      <c r="E673" s="36" t="s">
        <v>1646</v>
      </c>
      <c r="F673" s="36" t="s">
        <v>1647</v>
      </c>
      <c r="G673" s="36" t="s">
        <v>55</v>
      </c>
      <c r="H673" s="36" t="s">
        <v>1754</v>
      </c>
      <c r="I673" s="36" t="s">
        <v>67</v>
      </c>
      <c r="J673" s="36" t="str">
        <f t="shared" si="27"/>
        <v>Medical Education and DrugsAyush EstablishmentCHouse PhysicianS14 (38600 - 122800)</v>
      </c>
      <c r="K673" s="36"/>
      <c r="L673" s="36" t="s">
        <v>238</v>
      </c>
      <c r="M673" s="38" t="s">
        <v>1692</v>
      </c>
      <c r="N673" s="36" t="s">
        <v>283</v>
      </c>
      <c r="O673" s="6" t="s">
        <v>33</v>
      </c>
      <c r="P673" s="7">
        <v>6</v>
      </c>
      <c r="Q673" s="7" t="s">
        <v>34</v>
      </c>
      <c r="R673" s="8"/>
      <c r="S673" s="8"/>
      <c r="T673" s="7" t="s">
        <v>35</v>
      </c>
      <c r="U673" s="36" t="s">
        <v>35</v>
      </c>
      <c r="V673" s="38"/>
      <c r="W673" s="36"/>
      <c r="X673" s="36"/>
      <c r="Y673" s="36"/>
      <c r="Z673" s="41"/>
      <c r="AA673" s="42" t="e">
        <f>_xlfn.XLOOKUP(C673,#REF!,#REF!,"",0,1)</f>
        <v>#REF!</v>
      </c>
      <c r="AB673" s="43">
        <f t="shared" si="28"/>
        <v>0</v>
      </c>
    </row>
    <row r="674" spans="1:28" ht="91.5" thickBot="1" x14ac:dyDescent="0.3">
      <c r="A674" s="36">
        <v>673</v>
      </c>
      <c r="B674" s="36" t="s">
        <v>24</v>
      </c>
      <c r="C674" s="36" t="s">
        <v>1645</v>
      </c>
      <c r="D674" s="37">
        <v>39372</v>
      </c>
      <c r="E674" s="36" t="s">
        <v>1646</v>
      </c>
      <c r="F674" s="36" t="s">
        <v>1647</v>
      </c>
      <c r="G674" s="36" t="s">
        <v>55</v>
      </c>
      <c r="H674" s="36" t="s">
        <v>1755</v>
      </c>
      <c r="I674" s="36" t="s">
        <v>74</v>
      </c>
      <c r="J674" s="36" t="str">
        <f t="shared" si="27"/>
        <v>Medical Education and DrugsAyush EstablishmentCMuseum KeeperS6 (19900 - 63200)</v>
      </c>
      <c r="K674" s="36" t="s">
        <v>197</v>
      </c>
      <c r="L674" s="36" t="s">
        <v>228</v>
      </c>
      <c r="M674" s="38" t="s">
        <v>1756</v>
      </c>
      <c r="N674" s="36" t="s">
        <v>199</v>
      </c>
      <c r="O674" s="6" t="s">
        <v>33</v>
      </c>
      <c r="P674" s="7">
        <v>4</v>
      </c>
      <c r="Q674" s="7" t="s">
        <v>34</v>
      </c>
      <c r="R674" s="8"/>
      <c r="S674" s="8"/>
      <c r="T674" s="7" t="s">
        <v>35</v>
      </c>
      <c r="U674" s="36" t="s">
        <v>35</v>
      </c>
      <c r="V674" s="38" t="s">
        <v>1757</v>
      </c>
      <c r="W674" s="36"/>
      <c r="X674" s="36" t="s">
        <v>1758</v>
      </c>
      <c r="Y674" s="36" t="s">
        <v>1759</v>
      </c>
      <c r="Z674" s="41"/>
      <c r="AA674" s="42" t="e">
        <f>_xlfn.XLOOKUP(C674,#REF!,#REF!,"",0,1)</f>
        <v>#REF!</v>
      </c>
      <c r="AB674" s="43">
        <f t="shared" si="28"/>
        <v>0</v>
      </c>
    </row>
    <row r="675" spans="1:28" ht="104.5" thickBot="1" x14ac:dyDescent="0.3">
      <c r="A675" s="36">
        <v>674</v>
      </c>
      <c r="B675" s="36" t="s">
        <v>24</v>
      </c>
      <c r="C675" s="36" t="s">
        <v>1645</v>
      </c>
      <c r="D675" s="37">
        <v>39372</v>
      </c>
      <c r="E675" s="36" t="s">
        <v>1646</v>
      </c>
      <c r="F675" s="36" t="s">
        <v>1647</v>
      </c>
      <c r="G675" s="36" t="s">
        <v>55</v>
      </c>
      <c r="H675" s="36" t="s">
        <v>1760</v>
      </c>
      <c r="I675" s="36" t="s">
        <v>74</v>
      </c>
      <c r="J675" s="36" t="str">
        <f t="shared" si="27"/>
        <v>Medical Education and DrugsAyush EstablishmentCClerk-cum-Typist/Cashier/OPD ClerkS6 (19900 - 63200)</v>
      </c>
      <c r="K675" s="36" t="s">
        <v>75</v>
      </c>
      <c r="L675" s="36" t="s">
        <v>228</v>
      </c>
      <c r="M675" s="38" t="s">
        <v>1732</v>
      </c>
      <c r="N675" s="36" t="s">
        <v>70</v>
      </c>
      <c r="O675" s="6" t="s">
        <v>33</v>
      </c>
      <c r="P675" s="7">
        <v>71</v>
      </c>
      <c r="Q675" s="7" t="s">
        <v>34</v>
      </c>
      <c r="R675" s="8"/>
      <c r="S675" s="8"/>
      <c r="T675" s="7" t="s">
        <v>35</v>
      </c>
      <c r="U675" s="36" t="s">
        <v>35</v>
      </c>
      <c r="V675" s="38" t="s">
        <v>125</v>
      </c>
      <c r="W675" s="36"/>
      <c r="X675" s="36" t="s">
        <v>77</v>
      </c>
      <c r="Y675" s="36" t="s">
        <v>78</v>
      </c>
      <c r="Z675" s="41"/>
      <c r="AA675" s="42" t="e">
        <f>_xlfn.XLOOKUP(C675,#REF!,#REF!,"",0,1)</f>
        <v>#REF!</v>
      </c>
      <c r="AB675" s="43">
        <f t="shared" si="28"/>
        <v>0</v>
      </c>
    </row>
    <row r="676" spans="1:28" ht="117.5" thickBot="1" x14ac:dyDescent="0.3">
      <c r="A676" s="36">
        <v>675</v>
      </c>
      <c r="B676" s="36" t="s">
        <v>24</v>
      </c>
      <c r="C676" s="36" t="s">
        <v>1645</v>
      </c>
      <c r="D676" s="37">
        <v>39372</v>
      </c>
      <c r="E676" s="36" t="s">
        <v>1646</v>
      </c>
      <c r="F676" s="36" t="s">
        <v>1647</v>
      </c>
      <c r="G676" s="36" t="s">
        <v>55</v>
      </c>
      <c r="H676" s="36" t="s">
        <v>1761</v>
      </c>
      <c r="I676" s="36" t="s">
        <v>74</v>
      </c>
      <c r="J676" s="36" t="str">
        <f t="shared" si="27"/>
        <v>Medical Education and DrugsAyush EstablishmentCTreatment Assistant (Male/Female)S6 (19900 - 63200)</v>
      </c>
      <c r="K676" s="36" t="s">
        <v>127</v>
      </c>
      <c r="L676" s="36" t="s">
        <v>225</v>
      </c>
      <c r="M676" s="38" t="s">
        <v>1762</v>
      </c>
      <c r="N676" s="36" t="s">
        <v>505</v>
      </c>
      <c r="O676" s="6" t="s">
        <v>33</v>
      </c>
      <c r="P676" s="7">
        <v>8</v>
      </c>
      <c r="Q676" s="7" t="s">
        <v>34</v>
      </c>
      <c r="R676" s="8"/>
      <c r="S676" s="8"/>
      <c r="T676" s="7" t="s">
        <v>35</v>
      </c>
      <c r="U676" s="36" t="s">
        <v>35</v>
      </c>
      <c r="V676" s="38" t="s">
        <v>1762</v>
      </c>
      <c r="W676" s="36"/>
      <c r="X676" s="36" t="s">
        <v>150</v>
      </c>
      <c r="Y676" s="36" t="s">
        <v>150</v>
      </c>
      <c r="Z676" s="41"/>
      <c r="AA676" s="42" t="e">
        <f>_xlfn.XLOOKUP(C676,#REF!,#REF!,"",0,1)</f>
        <v>#REF!</v>
      </c>
      <c r="AB676" s="43">
        <f t="shared" si="28"/>
        <v>0</v>
      </c>
    </row>
    <row r="677" spans="1:28" ht="78.5" thickBot="1" x14ac:dyDescent="0.3">
      <c r="A677" s="36">
        <v>676</v>
      </c>
      <c r="B677" s="36" t="s">
        <v>24</v>
      </c>
      <c r="C677" s="36" t="s">
        <v>1645</v>
      </c>
      <c r="D677" s="37">
        <v>39372</v>
      </c>
      <c r="E677" s="36" t="s">
        <v>1646</v>
      </c>
      <c r="F677" s="36" t="s">
        <v>1647</v>
      </c>
      <c r="G677" s="36" t="s">
        <v>55</v>
      </c>
      <c r="H677" s="36" t="s">
        <v>1763</v>
      </c>
      <c r="I677" s="36" t="s">
        <v>74</v>
      </c>
      <c r="J677" s="36" t="str">
        <f t="shared" si="27"/>
        <v>Medical Education and DrugsAyush EstablishmentCTherapistS6 (19900 - 63200)</v>
      </c>
      <c r="K677" s="36" t="s">
        <v>1764</v>
      </c>
      <c r="L677" s="36" t="s">
        <v>225</v>
      </c>
      <c r="M677" s="38" t="s">
        <v>1762</v>
      </c>
      <c r="N677" s="36" t="s">
        <v>1765</v>
      </c>
      <c r="O677" s="6" t="s">
        <v>33</v>
      </c>
      <c r="P677" s="7">
        <v>8</v>
      </c>
      <c r="Q677" s="7" t="s">
        <v>34</v>
      </c>
      <c r="R677" s="8"/>
      <c r="S677" s="8"/>
      <c r="T677" s="7" t="s">
        <v>35</v>
      </c>
      <c r="U677" s="36" t="s">
        <v>35</v>
      </c>
      <c r="V677" s="38" t="s">
        <v>1762</v>
      </c>
      <c r="W677" s="36"/>
      <c r="X677" s="36" t="s">
        <v>150</v>
      </c>
      <c r="Y677" s="36" t="s">
        <v>150</v>
      </c>
      <c r="Z677" s="41"/>
      <c r="AA677" s="42" t="e">
        <f>_xlfn.XLOOKUP(C677,#REF!,#REF!,"",0,1)</f>
        <v>#REF!</v>
      </c>
      <c r="AB677" s="43">
        <f t="shared" si="28"/>
        <v>0</v>
      </c>
    </row>
    <row r="678" spans="1:28" ht="78.5" thickBot="1" x14ac:dyDescent="0.3">
      <c r="A678" s="36">
        <v>677</v>
      </c>
      <c r="B678" s="36" t="s">
        <v>24</v>
      </c>
      <c r="C678" s="36" t="s">
        <v>1645</v>
      </c>
      <c r="D678" s="37">
        <v>39372</v>
      </c>
      <c r="E678" s="36" t="s">
        <v>1646</v>
      </c>
      <c r="F678" s="36" t="s">
        <v>1647</v>
      </c>
      <c r="G678" s="36" t="s">
        <v>55</v>
      </c>
      <c r="H678" s="36" t="s">
        <v>1766</v>
      </c>
      <c r="I678" s="36" t="s">
        <v>74</v>
      </c>
      <c r="J678" s="36" t="str">
        <f t="shared" si="27"/>
        <v>Medical Education and DrugsAyush EstablishmentCTailorS6 (19900 - 63200)</v>
      </c>
      <c r="K678" s="36"/>
      <c r="L678" s="36" t="s">
        <v>238</v>
      </c>
      <c r="M678" s="38" t="s">
        <v>1767</v>
      </c>
      <c r="N678" s="36" t="s">
        <v>283</v>
      </c>
      <c r="O678" s="6" t="s">
        <v>33</v>
      </c>
      <c r="P678" s="7">
        <v>1</v>
      </c>
      <c r="Q678" s="7" t="s">
        <v>34</v>
      </c>
      <c r="R678" s="8"/>
      <c r="S678" s="8"/>
      <c r="T678" s="7" t="s">
        <v>2395</v>
      </c>
      <c r="U678" s="36" t="s">
        <v>35</v>
      </c>
      <c r="V678" s="38"/>
      <c r="W678" s="36"/>
      <c r="X678" s="36"/>
      <c r="Y678" s="36"/>
      <c r="Z678" s="41"/>
      <c r="AA678" s="42" t="e">
        <f>_xlfn.XLOOKUP(C678,#REF!,#REF!,"",0,1)</f>
        <v>#REF!</v>
      </c>
      <c r="AB678" s="43">
        <f t="shared" si="28"/>
        <v>0</v>
      </c>
    </row>
    <row r="679" spans="1:28" ht="78.5" thickBot="1" x14ac:dyDescent="0.3">
      <c r="A679" s="36">
        <v>678</v>
      </c>
      <c r="B679" s="36" t="s">
        <v>494</v>
      </c>
      <c r="C679" s="36" t="s">
        <v>1645</v>
      </c>
      <c r="D679" s="37">
        <v>39372</v>
      </c>
      <c r="E679" s="36" t="s">
        <v>1646</v>
      </c>
      <c r="F679" s="36" t="s">
        <v>1647</v>
      </c>
      <c r="G679" s="36" t="s">
        <v>55</v>
      </c>
      <c r="H679" s="36" t="s">
        <v>1768</v>
      </c>
      <c r="I679" s="36" t="s">
        <v>74</v>
      </c>
      <c r="J679" s="36" t="str">
        <f t="shared" si="27"/>
        <v>Medical Education and DrugsAyush EstablishmentCDriverS6 (19900 - 63200)</v>
      </c>
      <c r="K679" s="36"/>
      <c r="L679" s="36"/>
      <c r="M679" s="38" t="s">
        <v>1769</v>
      </c>
      <c r="N679" s="36"/>
      <c r="O679" s="6" t="s">
        <v>33</v>
      </c>
      <c r="P679" s="8"/>
      <c r="Q679" s="7" t="s">
        <v>34</v>
      </c>
      <c r="R679" s="8"/>
      <c r="S679" s="8"/>
      <c r="T679" s="4" t="s">
        <v>3276</v>
      </c>
      <c r="U679" s="36" t="s">
        <v>35</v>
      </c>
      <c r="V679" s="38"/>
      <c r="W679" s="36"/>
      <c r="X679" s="36"/>
      <c r="Y679" s="36"/>
      <c r="Z679" s="41"/>
      <c r="AA679" s="42" t="e">
        <f>_xlfn.XLOOKUP(C679,#REF!,#REF!,"",0,1)</f>
        <v>#REF!</v>
      </c>
      <c r="AB679" s="43">
        <f t="shared" ref="AB679:AB705" si="29">IFERROR(FLOOR(P679*AA679,1),0)</f>
        <v>0</v>
      </c>
    </row>
    <row r="680" spans="1:28" ht="78.5" thickBot="1" x14ac:dyDescent="0.3">
      <c r="A680" s="36">
        <v>679</v>
      </c>
      <c r="B680" s="36" t="s">
        <v>24</v>
      </c>
      <c r="C680" s="36" t="s">
        <v>1645</v>
      </c>
      <c r="D680" s="37">
        <v>39372</v>
      </c>
      <c r="E680" s="36" t="s">
        <v>1646</v>
      </c>
      <c r="F680" s="36" t="s">
        <v>1647</v>
      </c>
      <c r="G680" s="36" t="s">
        <v>55</v>
      </c>
      <c r="H680" s="36" t="s">
        <v>1770</v>
      </c>
      <c r="I680" s="36" t="s">
        <v>74</v>
      </c>
      <c r="J680" s="36" t="str">
        <f t="shared" si="27"/>
        <v>Medical Education and DrugsAyush EstablishmentCMidwifeS6 (19900 - 63200)</v>
      </c>
      <c r="K680" s="36" t="s">
        <v>1738</v>
      </c>
      <c r="L680" s="36" t="s">
        <v>225</v>
      </c>
      <c r="M680" s="38" t="s">
        <v>1771</v>
      </c>
      <c r="N680" s="36" t="s">
        <v>41</v>
      </c>
      <c r="O680" s="6" t="s">
        <v>33</v>
      </c>
      <c r="P680" s="7">
        <v>0</v>
      </c>
      <c r="Q680" s="7" t="s">
        <v>34</v>
      </c>
      <c r="R680" s="8"/>
      <c r="S680" s="8"/>
      <c r="T680" s="7" t="s">
        <v>2395</v>
      </c>
      <c r="U680" s="36" t="s">
        <v>35</v>
      </c>
      <c r="V680" s="38" t="s">
        <v>1772</v>
      </c>
      <c r="W680" s="36"/>
      <c r="X680" s="36" t="s">
        <v>150</v>
      </c>
      <c r="Y680" s="36" t="s">
        <v>150</v>
      </c>
      <c r="Z680" s="41"/>
      <c r="AA680" s="42" t="e">
        <f>_xlfn.XLOOKUP(C680,#REF!,#REF!,"",0,1)</f>
        <v>#REF!</v>
      </c>
      <c r="AB680" s="43">
        <f t="shared" si="29"/>
        <v>0</v>
      </c>
    </row>
    <row r="681" spans="1:28" ht="91.5" thickBot="1" x14ac:dyDescent="0.3">
      <c r="A681" s="36">
        <v>680</v>
      </c>
      <c r="B681" s="36" t="s">
        <v>24</v>
      </c>
      <c r="C681" s="36" t="s">
        <v>1645</v>
      </c>
      <c r="D681" s="37">
        <v>39372</v>
      </c>
      <c r="E681" s="36" t="s">
        <v>1646</v>
      </c>
      <c r="F681" s="36" t="s">
        <v>1647</v>
      </c>
      <c r="G681" s="36" t="s">
        <v>55</v>
      </c>
      <c r="H681" s="36" t="s">
        <v>1773</v>
      </c>
      <c r="I681" s="36" t="s">
        <v>169</v>
      </c>
      <c r="J681" s="36" t="str">
        <f t="shared" si="27"/>
        <v>Medical Education and DrugsAyush EstablishmentCLaboratory AssistantS7 (21700 - 69100)</v>
      </c>
      <c r="K681" s="36" t="s">
        <v>377</v>
      </c>
      <c r="L681" s="36" t="s">
        <v>225</v>
      </c>
      <c r="M681" s="38" t="s">
        <v>1774</v>
      </c>
      <c r="N681" s="36" t="s">
        <v>379</v>
      </c>
      <c r="O681" s="6" t="s">
        <v>33</v>
      </c>
      <c r="P681" s="7">
        <v>8</v>
      </c>
      <c r="Q681" s="7" t="s">
        <v>34</v>
      </c>
      <c r="R681" s="8"/>
      <c r="S681" s="8"/>
      <c r="T681" s="7" t="s">
        <v>35</v>
      </c>
      <c r="U681" s="36" t="s">
        <v>35</v>
      </c>
      <c r="V681" s="38" t="s">
        <v>1775</v>
      </c>
      <c r="W681" s="36"/>
      <c r="X681" s="36" t="s">
        <v>1776</v>
      </c>
      <c r="Y681" s="36" t="s">
        <v>1759</v>
      </c>
      <c r="Z681" s="41"/>
      <c r="AA681" s="42" t="e">
        <f>_xlfn.XLOOKUP(C681,#REF!,#REF!,"",0,1)</f>
        <v>#REF!</v>
      </c>
      <c r="AB681" s="43">
        <f t="shared" si="29"/>
        <v>0</v>
      </c>
    </row>
    <row r="682" spans="1:28" ht="91.5" thickBot="1" x14ac:dyDescent="0.3">
      <c r="A682" s="36">
        <v>681</v>
      </c>
      <c r="B682" s="36" t="s">
        <v>24</v>
      </c>
      <c r="C682" s="36" t="s">
        <v>1645</v>
      </c>
      <c r="D682" s="37">
        <v>39372</v>
      </c>
      <c r="E682" s="36" t="s">
        <v>1646</v>
      </c>
      <c r="F682" s="36" t="s">
        <v>1647</v>
      </c>
      <c r="G682" s="36" t="s">
        <v>55</v>
      </c>
      <c r="H682" s="36" t="s">
        <v>706</v>
      </c>
      <c r="I682" s="36" t="s">
        <v>169</v>
      </c>
      <c r="J682" s="36" t="str">
        <f t="shared" si="27"/>
        <v>Medical Education and DrugsAyush EstablishmentCAssistant LibrarianS7 (21700 - 69100)</v>
      </c>
      <c r="K682" s="36" t="s">
        <v>170</v>
      </c>
      <c r="L682" s="36" t="s">
        <v>228</v>
      </c>
      <c r="M682" s="38" t="s">
        <v>1777</v>
      </c>
      <c r="N682" s="36" t="s">
        <v>172</v>
      </c>
      <c r="O682" s="6" t="s">
        <v>33</v>
      </c>
      <c r="P682" s="7">
        <v>1</v>
      </c>
      <c r="Q682" s="7" t="s">
        <v>34</v>
      </c>
      <c r="R682" s="8"/>
      <c r="S682" s="8"/>
      <c r="T682" s="7" t="s">
        <v>2395</v>
      </c>
      <c r="U682" s="36" t="s">
        <v>35</v>
      </c>
      <c r="V682" s="38" t="s">
        <v>1777</v>
      </c>
      <c r="W682" s="36"/>
      <c r="X682" s="36" t="s">
        <v>150</v>
      </c>
      <c r="Y682" s="36" t="s">
        <v>150</v>
      </c>
      <c r="Z682" s="41"/>
      <c r="AA682" s="42" t="e">
        <f>_xlfn.XLOOKUP(C682,#REF!,#REF!,"",0,1)</f>
        <v>#REF!</v>
      </c>
      <c r="AB682" s="43">
        <f t="shared" si="29"/>
        <v>0</v>
      </c>
    </row>
    <row r="683" spans="1:28" ht="91.5" thickBot="1" x14ac:dyDescent="0.3">
      <c r="A683" s="36">
        <v>682</v>
      </c>
      <c r="B683" s="36" t="s">
        <v>24</v>
      </c>
      <c r="C683" s="36" t="s">
        <v>1645</v>
      </c>
      <c r="D683" s="37">
        <v>39372</v>
      </c>
      <c r="E683" s="36" t="s">
        <v>1646</v>
      </c>
      <c r="F683" s="36" t="s">
        <v>1647</v>
      </c>
      <c r="G683" s="36" t="s">
        <v>55</v>
      </c>
      <c r="H683" s="36" t="s">
        <v>1778</v>
      </c>
      <c r="I683" s="36" t="s">
        <v>169</v>
      </c>
      <c r="J683" s="36" t="str">
        <f t="shared" si="27"/>
        <v>Medical Education and DrugsAyush EstablishmentCX-Ray AssistantS7 (21700 - 69100)</v>
      </c>
      <c r="K683" s="36" t="s">
        <v>1744</v>
      </c>
      <c r="L683" s="36" t="s">
        <v>225</v>
      </c>
      <c r="M683" s="38" t="s">
        <v>1745</v>
      </c>
      <c r="N683" s="36" t="s">
        <v>41</v>
      </c>
      <c r="O683" s="6" t="s">
        <v>33</v>
      </c>
      <c r="P683" s="7">
        <v>1</v>
      </c>
      <c r="Q683" s="7" t="s">
        <v>34</v>
      </c>
      <c r="R683" s="8"/>
      <c r="S683" s="8"/>
      <c r="T683" s="7" t="s">
        <v>2395</v>
      </c>
      <c r="U683" s="36" t="s">
        <v>35</v>
      </c>
      <c r="V683" s="38" t="s">
        <v>1745</v>
      </c>
      <c r="W683" s="36"/>
      <c r="X683" s="36" t="s">
        <v>150</v>
      </c>
      <c r="Y683" s="36" t="s">
        <v>150</v>
      </c>
      <c r="Z683" s="41"/>
      <c r="AA683" s="42" t="e">
        <f>_xlfn.XLOOKUP(C683,#REF!,#REF!,"",0,1)</f>
        <v>#REF!</v>
      </c>
      <c r="AB683" s="43">
        <f t="shared" si="29"/>
        <v>0</v>
      </c>
    </row>
    <row r="684" spans="1:28" ht="91.5" thickBot="1" x14ac:dyDescent="0.3">
      <c r="A684" s="36">
        <v>683</v>
      </c>
      <c r="B684" s="36" t="s">
        <v>24</v>
      </c>
      <c r="C684" s="36" t="s">
        <v>1645</v>
      </c>
      <c r="D684" s="37">
        <v>39372</v>
      </c>
      <c r="E684" s="36" t="s">
        <v>1646</v>
      </c>
      <c r="F684" s="36" t="s">
        <v>1647</v>
      </c>
      <c r="G684" s="36" t="s">
        <v>55</v>
      </c>
      <c r="H684" s="36" t="s">
        <v>1779</v>
      </c>
      <c r="I684" s="36" t="s">
        <v>80</v>
      </c>
      <c r="J684" s="36" t="str">
        <f t="shared" si="27"/>
        <v>Medical Education and DrugsAyush EstablishmentCStock VerifierS8 (25500 - 81100)</v>
      </c>
      <c r="K684" s="36" t="s">
        <v>197</v>
      </c>
      <c r="L684" s="36" t="s">
        <v>228</v>
      </c>
      <c r="M684" s="38" t="s">
        <v>1780</v>
      </c>
      <c r="N684" s="36" t="s">
        <v>199</v>
      </c>
      <c r="O684" s="6" t="s">
        <v>33</v>
      </c>
      <c r="P684" s="7">
        <v>0</v>
      </c>
      <c r="Q684" s="7" t="s">
        <v>34</v>
      </c>
      <c r="R684" s="8"/>
      <c r="S684" s="8"/>
      <c r="T684" s="7" t="s">
        <v>2395</v>
      </c>
      <c r="U684" s="36" t="s">
        <v>35</v>
      </c>
      <c r="V684" s="38" t="s">
        <v>1780</v>
      </c>
      <c r="W684" s="36"/>
      <c r="X684" s="36" t="s">
        <v>150</v>
      </c>
      <c r="Y684" s="36" t="s">
        <v>150</v>
      </c>
      <c r="Z684" s="41"/>
      <c r="AA684" s="42" t="e">
        <f>_xlfn.XLOOKUP(C684,#REF!,#REF!,"",0,1)</f>
        <v>#REF!</v>
      </c>
      <c r="AB684" s="43">
        <f t="shared" si="29"/>
        <v>0</v>
      </c>
    </row>
    <row r="685" spans="1:28" ht="78.5" thickBot="1" x14ac:dyDescent="0.3">
      <c r="A685" s="36">
        <v>684</v>
      </c>
      <c r="B685" s="36" t="s">
        <v>24</v>
      </c>
      <c r="C685" s="36" t="s">
        <v>1645</v>
      </c>
      <c r="D685" s="37">
        <v>39372</v>
      </c>
      <c r="E685" s="36" t="s">
        <v>1646</v>
      </c>
      <c r="F685" s="36" t="s">
        <v>1647</v>
      </c>
      <c r="G685" s="36" t="s">
        <v>55</v>
      </c>
      <c r="H685" s="36" t="s">
        <v>87</v>
      </c>
      <c r="I685" s="36" t="s">
        <v>80</v>
      </c>
      <c r="J685" s="36" t="str">
        <f t="shared" si="27"/>
        <v>Medical Education and DrugsAyush EstablishmentCSenior ClerkS8 (25500 - 81100)</v>
      </c>
      <c r="K685" s="36" t="s">
        <v>75</v>
      </c>
      <c r="L685" s="36" t="s">
        <v>228</v>
      </c>
      <c r="M685" s="38" t="s">
        <v>1732</v>
      </c>
      <c r="N685" s="36" t="s">
        <v>70</v>
      </c>
      <c r="O685" s="6" t="s">
        <v>33</v>
      </c>
      <c r="P685" s="7">
        <v>7</v>
      </c>
      <c r="Q685" s="7" t="s">
        <v>34</v>
      </c>
      <c r="R685" s="8"/>
      <c r="S685" s="8"/>
      <c r="T685" s="7" t="s">
        <v>35</v>
      </c>
      <c r="U685" s="36" t="s">
        <v>35</v>
      </c>
      <c r="V685" s="38" t="s">
        <v>1781</v>
      </c>
      <c r="W685" s="36"/>
      <c r="X685" s="36" t="s">
        <v>1782</v>
      </c>
      <c r="Y685" s="36" t="s">
        <v>1783</v>
      </c>
      <c r="Z685" s="41"/>
      <c r="AA685" s="42" t="e">
        <f>_xlfn.XLOOKUP(C685,#REF!,#REF!,"",0,1)</f>
        <v>#REF!</v>
      </c>
      <c r="AB685" s="43">
        <f t="shared" si="29"/>
        <v>0</v>
      </c>
    </row>
    <row r="686" spans="1:28" ht="91.5" thickBot="1" x14ac:dyDescent="0.3">
      <c r="A686" s="36">
        <v>685</v>
      </c>
      <c r="B686" s="36" t="s">
        <v>24</v>
      </c>
      <c r="C686" s="36" t="s">
        <v>1645</v>
      </c>
      <c r="D686" s="37">
        <v>39372</v>
      </c>
      <c r="E686" s="36" t="s">
        <v>1646</v>
      </c>
      <c r="F686" s="36" t="s">
        <v>1647</v>
      </c>
      <c r="G686" s="36" t="s">
        <v>55</v>
      </c>
      <c r="H686" s="36" t="s">
        <v>1784</v>
      </c>
      <c r="I686" s="36" t="s">
        <v>80</v>
      </c>
      <c r="J686" s="36" t="str">
        <f t="shared" si="27"/>
        <v>Medical Education and DrugsAyush EstablishmentCHead MechanicS8 (25500 - 81100)</v>
      </c>
      <c r="K686" s="36" t="s">
        <v>127</v>
      </c>
      <c r="L686" s="36" t="s">
        <v>225</v>
      </c>
      <c r="M686" s="38" t="s">
        <v>1785</v>
      </c>
      <c r="N686" s="36" t="s">
        <v>129</v>
      </c>
      <c r="O686" s="6" t="s">
        <v>33</v>
      </c>
      <c r="P686" s="7">
        <v>0</v>
      </c>
      <c r="Q686" s="7" t="s">
        <v>34</v>
      </c>
      <c r="R686" s="8"/>
      <c r="S686" s="8"/>
      <c r="T686" s="7" t="s">
        <v>2395</v>
      </c>
      <c r="U686" s="36" t="s">
        <v>35</v>
      </c>
      <c r="V686" s="38" t="s">
        <v>1786</v>
      </c>
      <c r="W686" s="36"/>
      <c r="X686" s="36" t="s">
        <v>150</v>
      </c>
      <c r="Y686" s="36" t="s">
        <v>150</v>
      </c>
      <c r="Z686" s="41"/>
      <c r="AA686" s="42" t="e">
        <f>_xlfn.XLOOKUP(C686,#REF!,#REF!,"",0,1)</f>
        <v>#REF!</v>
      </c>
      <c r="AB686" s="43">
        <f t="shared" si="29"/>
        <v>0</v>
      </c>
    </row>
    <row r="687" spans="1:28" ht="130.5" thickBot="1" x14ac:dyDescent="0.3">
      <c r="A687" s="36">
        <v>686</v>
      </c>
      <c r="B687" s="36" t="s">
        <v>24</v>
      </c>
      <c r="C687" s="36" t="s">
        <v>1645</v>
      </c>
      <c r="D687" s="37">
        <v>39372</v>
      </c>
      <c r="E687" s="36" t="s">
        <v>1646</v>
      </c>
      <c r="F687" s="36" t="s">
        <v>1647</v>
      </c>
      <c r="G687" s="36" t="s">
        <v>55</v>
      </c>
      <c r="H687" s="36" t="s">
        <v>1787</v>
      </c>
      <c r="I687" s="36" t="s">
        <v>80</v>
      </c>
      <c r="J687" s="36" t="str">
        <f t="shared" si="27"/>
        <v>Medical Education and DrugsAyush EstablishmentCElectric TechnicianS8 (25500 - 81100)</v>
      </c>
      <c r="K687" s="36" t="s">
        <v>127</v>
      </c>
      <c r="L687" s="36" t="s">
        <v>225</v>
      </c>
      <c r="M687" s="38" t="s">
        <v>1788</v>
      </c>
      <c r="N687" s="36" t="s">
        <v>129</v>
      </c>
      <c r="O687" s="6" t="s">
        <v>33</v>
      </c>
      <c r="P687" s="7">
        <v>0</v>
      </c>
      <c r="Q687" s="7" t="s">
        <v>34</v>
      </c>
      <c r="R687" s="8"/>
      <c r="S687" s="8"/>
      <c r="T687" s="7" t="s">
        <v>2395</v>
      </c>
      <c r="U687" s="36" t="s">
        <v>35</v>
      </c>
      <c r="V687" s="38" t="s">
        <v>1789</v>
      </c>
      <c r="W687" s="36"/>
      <c r="X687" s="36" t="s">
        <v>1790</v>
      </c>
      <c r="Y687" s="36" t="s">
        <v>1791</v>
      </c>
      <c r="Z687" s="41"/>
      <c r="AA687" s="42" t="e">
        <f>_xlfn.XLOOKUP(C687,#REF!,#REF!,"",0,1)</f>
        <v>#REF!</v>
      </c>
      <c r="AB687" s="43">
        <f t="shared" si="29"/>
        <v>0</v>
      </c>
    </row>
    <row r="688" spans="1:28" ht="91.5" thickBot="1" x14ac:dyDescent="0.3">
      <c r="A688" s="36">
        <v>687</v>
      </c>
      <c r="B688" s="36" t="s">
        <v>24</v>
      </c>
      <c r="C688" s="36" t="s">
        <v>1645</v>
      </c>
      <c r="D688" s="37">
        <v>39372</v>
      </c>
      <c r="E688" s="36" t="s">
        <v>1646</v>
      </c>
      <c r="F688" s="36" t="s">
        <v>1647</v>
      </c>
      <c r="G688" s="36" t="s">
        <v>55</v>
      </c>
      <c r="H688" s="36" t="s">
        <v>1792</v>
      </c>
      <c r="I688" s="36" t="s">
        <v>80</v>
      </c>
      <c r="J688" s="36" t="str">
        <f t="shared" si="27"/>
        <v>Medical Education and DrugsAyush EstablishmentCMechanic-cum-TechnicianS8 (25500 - 81100)</v>
      </c>
      <c r="K688" s="36" t="s">
        <v>127</v>
      </c>
      <c r="L688" s="36" t="s">
        <v>225</v>
      </c>
      <c r="M688" s="38" t="s">
        <v>1793</v>
      </c>
      <c r="N688" s="36" t="s">
        <v>60</v>
      </c>
      <c r="O688" s="6" t="s">
        <v>33</v>
      </c>
      <c r="P688" s="7">
        <v>0</v>
      </c>
      <c r="Q688" s="7" t="s">
        <v>34</v>
      </c>
      <c r="R688" s="8"/>
      <c r="S688" s="8"/>
      <c r="T688" s="7" t="s">
        <v>2395</v>
      </c>
      <c r="U688" s="36" t="s">
        <v>35</v>
      </c>
      <c r="V688" s="38" t="s">
        <v>1793</v>
      </c>
      <c r="W688" s="36"/>
      <c r="X688" s="36" t="s">
        <v>150</v>
      </c>
      <c r="Y688" s="36" t="s">
        <v>150</v>
      </c>
      <c r="Z688" s="41"/>
      <c r="AA688" s="42" t="e">
        <f>_xlfn.XLOOKUP(C688,#REF!,#REF!,"",0,1)</f>
        <v>#REF!</v>
      </c>
      <c r="AB688" s="43">
        <f t="shared" si="29"/>
        <v>0</v>
      </c>
    </row>
    <row r="689" spans="1:28" ht="169.5" thickBot="1" x14ac:dyDescent="0.3">
      <c r="A689" s="36">
        <v>688</v>
      </c>
      <c r="B689" s="36" t="s">
        <v>584</v>
      </c>
      <c r="C689" s="36" t="s">
        <v>263</v>
      </c>
      <c r="D689" s="37">
        <v>44078</v>
      </c>
      <c r="E689" s="36" t="s">
        <v>1646</v>
      </c>
      <c r="F689" s="36" t="s">
        <v>1794</v>
      </c>
      <c r="G689" s="36" t="s">
        <v>28</v>
      </c>
      <c r="H689" s="36" t="s">
        <v>1795</v>
      </c>
      <c r="I689" s="36" t="s">
        <v>38</v>
      </c>
      <c r="J689" s="36" t="str">
        <f t="shared" si="27"/>
        <v>Medical Education and DrugsFood and Drug Administration EstablishmentAवरिष्ठ वैज्ञानिक अधिकारी/ Senior Scientific OfficerS20 (56100 - 177500)</v>
      </c>
      <c r="K689" s="36"/>
      <c r="L689" s="36"/>
      <c r="M689" s="38" t="s">
        <v>1796</v>
      </c>
      <c r="N689" s="36"/>
      <c r="O689" s="6" t="s">
        <v>33</v>
      </c>
      <c r="P689" s="8"/>
      <c r="Q689" s="7" t="s">
        <v>34</v>
      </c>
      <c r="R689" s="8"/>
      <c r="S689" s="8"/>
      <c r="T689" s="4" t="s">
        <v>3276</v>
      </c>
      <c r="U689" s="36" t="s">
        <v>35</v>
      </c>
      <c r="V689" s="38"/>
      <c r="W689" s="36"/>
      <c r="X689" s="36"/>
      <c r="Y689" s="36"/>
      <c r="Z689" s="41"/>
      <c r="AA689" s="42" t="e">
        <f>_xlfn.XLOOKUP(C689,#REF!,#REF!,"",0,1)</f>
        <v>#REF!</v>
      </c>
      <c r="AB689" s="43">
        <f t="shared" si="29"/>
        <v>0</v>
      </c>
    </row>
    <row r="690" spans="1:28" ht="169.5" thickBot="1" x14ac:dyDescent="0.3">
      <c r="A690" s="36">
        <v>689</v>
      </c>
      <c r="B690" s="36" t="s">
        <v>24</v>
      </c>
      <c r="C690" s="36" t="s">
        <v>263</v>
      </c>
      <c r="D690" s="37">
        <v>44078</v>
      </c>
      <c r="E690" s="36" t="s">
        <v>1646</v>
      </c>
      <c r="F690" s="36" t="s">
        <v>1794</v>
      </c>
      <c r="G690" s="36" t="s">
        <v>28</v>
      </c>
      <c r="H690" s="36" t="s">
        <v>1797</v>
      </c>
      <c r="I690" s="36" t="s">
        <v>38</v>
      </c>
      <c r="J690" s="36" t="str">
        <f t="shared" si="27"/>
        <v>Medical Education and DrugsFood and Drug Administration EstablishmentAतंत्र अधिकारी (आयुर्वेदिक)/ Techinical Officer (Ayuvedic)S20 (56100 - 177500)</v>
      </c>
      <c r="K690" s="36"/>
      <c r="L690" s="36" t="s">
        <v>243</v>
      </c>
      <c r="M690" s="38" t="s">
        <v>1798</v>
      </c>
      <c r="N690" s="36" t="s">
        <v>32</v>
      </c>
      <c r="O690" s="6" t="s">
        <v>33</v>
      </c>
      <c r="P690" s="8"/>
      <c r="Q690" s="7" t="s">
        <v>34</v>
      </c>
      <c r="R690" s="8"/>
      <c r="S690" s="8"/>
      <c r="T690" s="4" t="s">
        <v>3276</v>
      </c>
      <c r="U690" s="36" t="s">
        <v>35</v>
      </c>
      <c r="V690" s="38"/>
      <c r="W690" s="36"/>
      <c r="X690" s="36"/>
      <c r="Y690" s="36"/>
      <c r="Z690" s="41"/>
      <c r="AA690" s="42" t="e">
        <f>_xlfn.XLOOKUP(C690,#REF!,#REF!,"",0,1)</f>
        <v>#REF!</v>
      </c>
      <c r="AB690" s="43">
        <f t="shared" si="29"/>
        <v>0</v>
      </c>
    </row>
    <row r="691" spans="1:28" ht="169.5" thickBot="1" x14ac:dyDescent="0.3">
      <c r="A691" s="36">
        <v>690</v>
      </c>
      <c r="B691" s="36" t="s">
        <v>24</v>
      </c>
      <c r="C691" s="36" t="s">
        <v>263</v>
      </c>
      <c r="D691" s="37">
        <v>44078</v>
      </c>
      <c r="E691" s="36" t="s">
        <v>1646</v>
      </c>
      <c r="F691" s="36" t="s">
        <v>1794</v>
      </c>
      <c r="G691" s="36" t="s">
        <v>28</v>
      </c>
      <c r="H691" s="36" t="s">
        <v>1799</v>
      </c>
      <c r="I691" s="36" t="s">
        <v>38</v>
      </c>
      <c r="J691" s="36" t="str">
        <f t="shared" si="27"/>
        <v>Medical Education and DrugsFood and Drug Administration EstablishmentAसहायक आयुक्त(औषधे) / Assistant Commissioner (Drug)S20 (56100 - 177500)</v>
      </c>
      <c r="K691" s="36" t="s">
        <v>1800</v>
      </c>
      <c r="L691" s="36" t="s">
        <v>247</v>
      </c>
      <c r="M691" s="38" t="s">
        <v>1801</v>
      </c>
      <c r="N691" s="36" t="s">
        <v>41</v>
      </c>
      <c r="O691" s="6" t="s">
        <v>33</v>
      </c>
      <c r="P691" s="7">
        <v>0</v>
      </c>
      <c r="Q691" s="7" t="s">
        <v>34</v>
      </c>
      <c r="R691" s="8"/>
      <c r="S691" s="8"/>
      <c r="T691" s="7" t="s">
        <v>2395</v>
      </c>
      <c r="U691" s="36" t="s">
        <v>35</v>
      </c>
      <c r="V691" s="38"/>
      <c r="W691" s="36"/>
      <c r="X691" s="36"/>
      <c r="Y691" s="36"/>
      <c r="Z691" s="41"/>
      <c r="AA691" s="42" t="e">
        <f>_xlfn.XLOOKUP(C691,#REF!,#REF!,"",0,1)</f>
        <v>#REF!</v>
      </c>
      <c r="AB691" s="43">
        <f t="shared" si="29"/>
        <v>0</v>
      </c>
    </row>
    <row r="692" spans="1:28" ht="156.5" thickBot="1" x14ac:dyDescent="0.3">
      <c r="A692" s="36">
        <v>691</v>
      </c>
      <c r="B692" s="36" t="s">
        <v>24</v>
      </c>
      <c r="C692" s="36" t="s">
        <v>263</v>
      </c>
      <c r="D692" s="37">
        <v>44078</v>
      </c>
      <c r="E692" s="36" t="s">
        <v>1646</v>
      </c>
      <c r="F692" s="36" t="s">
        <v>1794</v>
      </c>
      <c r="G692" s="36" t="s">
        <v>28</v>
      </c>
      <c r="H692" s="36" t="s">
        <v>1802</v>
      </c>
      <c r="I692" s="36" t="s">
        <v>38</v>
      </c>
      <c r="J692" s="36" t="str">
        <f t="shared" si="27"/>
        <v>Medical Education and DrugsFood and Drug Administration EstablishmentAसहा.आयुक्त(अन्न) / Assistant Commissioner (Food)S20 (56100 - 177500)</v>
      </c>
      <c r="K692" s="36" t="s">
        <v>1800</v>
      </c>
      <c r="L692" s="36" t="s">
        <v>247</v>
      </c>
      <c r="M692" s="38" t="s">
        <v>1803</v>
      </c>
      <c r="N692" s="36" t="s">
        <v>41</v>
      </c>
      <c r="O692" s="6" t="s">
        <v>33</v>
      </c>
      <c r="P692" s="7">
        <v>3</v>
      </c>
      <c r="Q692" s="7" t="s">
        <v>34</v>
      </c>
      <c r="R692" s="8"/>
      <c r="S692" s="8"/>
      <c r="T692" s="7" t="s">
        <v>35</v>
      </c>
      <c r="U692" s="36" t="s">
        <v>35</v>
      </c>
      <c r="V692" s="38"/>
      <c r="W692" s="36"/>
      <c r="X692" s="36"/>
      <c r="Y692" s="36"/>
      <c r="Z692" s="41"/>
      <c r="AA692" s="42" t="e">
        <f>_xlfn.XLOOKUP(C692,#REF!,#REF!,"",0,1)</f>
        <v>#REF!</v>
      </c>
      <c r="AB692" s="43">
        <f t="shared" si="29"/>
        <v>0</v>
      </c>
    </row>
    <row r="693" spans="1:28" ht="182.5" thickBot="1" x14ac:dyDescent="0.3">
      <c r="A693" s="36">
        <v>692</v>
      </c>
      <c r="B693" s="36" t="s">
        <v>532</v>
      </c>
      <c r="C693" s="36" t="s">
        <v>263</v>
      </c>
      <c r="D693" s="37">
        <v>44078</v>
      </c>
      <c r="E693" s="36" t="s">
        <v>1646</v>
      </c>
      <c r="F693" s="36" t="s">
        <v>1794</v>
      </c>
      <c r="G693" s="36" t="s">
        <v>42</v>
      </c>
      <c r="H693" s="36" t="s">
        <v>1804</v>
      </c>
      <c r="I693" s="36" t="s">
        <v>44</v>
      </c>
      <c r="J693" s="36" t="str">
        <f t="shared" si="27"/>
        <v>Medical Education and DrugsFood and Drug Administration EstablishmentB (Gazetted)अंतर्गत लेखा तपासणी अधिकारी/ Internal Audit OfficerS15 (41800 - 132300)</v>
      </c>
      <c r="K693" s="36"/>
      <c r="L693" s="36"/>
      <c r="M693" s="38" t="s">
        <v>1796</v>
      </c>
      <c r="N693" s="36"/>
      <c r="O693" s="6" t="s">
        <v>33</v>
      </c>
      <c r="P693" s="8"/>
      <c r="Q693" s="7" t="s">
        <v>34</v>
      </c>
      <c r="R693" s="8"/>
      <c r="S693" s="8"/>
      <c r="T693" s="4" t="s">
        <v>3276</v>
      </c>
      <c r="U693" s="36" t="s">
        <v>35</v>
      </c>
      <c r="V693" s="38"/>
      <c r="W693" s="36"/>
      <c r="X693" s="36"/>
      <c r="Y693" s="36"/>
      <c r="Z693" s="41"/>
      <c r="AA693" s="42" t="e">
        <f>_xlfn.XLOOKUP(C693,#REF!,#REF!,"",0,1)</f>
        <v>#REF!</v>
      </c>
      <c r="AB693" s="43">
        <f t="shared" si="29"/>
        <v>0</v>
      </c>
    </row>
    <row r="694" spans="1:28" ht="169.5" thickBot="1" x14ac:dyDescent="0.3">
      <c r="A694" s="36">
        <v>693</v>
      </c>
      <c r="B694" s="36" t="s">
        <v>532</v>
      </c>
      <c r="C694" s="36" t="s">
        <v>263</v>
      </c>
      <c r="D694" s="37">
        <v>44078</v>
      </c>
      <c r="E694" s="36" t="s">
        <v>1646</v>
      </c>
      <c r="F694" s="36" t="s">
        <v>1794</v>
      </c>
      <c r="G694" s="36" t="s">
        <v>42</v>
      </c>
      <c r="H694" s="36" t="s">
        <v>1805</v>
      </c>
      <c r="I694" s="36" t="s">
        <v>44</v>
      </c>
      <c r="J694" s="36" t="str">
        <f t="shared" si="27"/>
        <v>Medical Education and DrugsFood and Drug Administration EstablishmentB (Gazetted)लेखा अधिकारी/ Account OfficerS15 (41800 - 132300)</v>
      </c>
      <c r="K694" s="36"/>
      <c r="L694" s="36"/>
      <c r="M694" s="38" t="s">
        <v>1796</v>
      </c>
      <c r="N694" s="36"/>
      <c r="O694" s="6" t="s">
        <v>33</v>
      </c>
      <c r="P694" s="8"/>
      <c r="Q694" s="7" t="s">
        <v>34</v>
      </c>
      <c r="R694" s="8"/>
      <c r="S694" s="8"/>
      <c r="T694" s="4" t="s">
        <v>3276</v>
      </c>
      <c r="U694" s="36" t="s">
        <v>35</v>
      </c>
      <c r="V694" s="38"/>
      <c r="W694" s="36"/>
      <c r="X694" s="36"/>
      <c r="Y694" s="36"/>
      <c r="Z694" s="41"/>
      <c r="AA694" s="42" t="e">
        <f>_xlfn.XLOOKUP(C694,#REF!,#REF!,"",0,1)</f>
        <v>#REF!</v>
      </c>
      <c r="AB694" s="43">
        <f t="shared" si="29"/>
        <v>0</v>
      </c>
    </row>
    <row r="695" spans="1:28" ht="156.5" thickBot="1" x14ac:dyDescent="0.3">
      <c r="A695" s="36">
        <v>694</v>
      </c>
      <c r="B695" s="36" t="s">
        <v>24</v>
      </c>
      <c r="C695" s="36" t="s">
        <v>263</v>
      </c>
      <c r="D695" s="37">
        <v>44078</v>
      </c>
      <c r="E695" s="36" t="s">
        <v>1646</v>
      </c>
      <c r="F695" s="36" t="s">
        <v>1794</v>
      </c>
      <c r="G695" s="36" t="s">
        <v>42</v>
      </c>
      <c r="H695" s="36" t="s">
        <v>796</v>
      </c>
      <c r="I695" s="36" t="s">
        <v>44</v>
      </c>
      <c r="J695" s="36" t="str">
        <f t="shared" si="27"/>
        <v>Medical Education and DrugsFood and Drug Administration EstablishmentB (Gazetted)Administrative OfficerS15 (41800 - 132300)</v>
      </c>
      <c r="K695" s="36" t="s">
        <v>45</v>
      </c>
      <c r="L695" s="36" t="s">
        <v>247</v>
      </c>
      <c r="M695" s="38" t="s">
        <v>1806</v>
      </c>
      <c r="N695" s="36" t="s">
        <v>47</v>
      </c>
      <c r="O695" s="6" t="s">
        <v>33</v>
      </c>
      <c r="P695" s="7">
        <v>4</v>
      </c>
      <c r="Q695" s="7" t="s">
        <v>34</v>
      </c>
      <c r="R695" s="8"/>
      <c r="S695" s="8"/>
      <c r="T695" s="7" t="s">
        <v>35</v>
      </c>
      <c r="U695" s="36" t="s">
        <v>35</v>
      </c>
      <c r="V695" s="38"/>
      <c r="W695" s="36"/>
      <c r="X695" s="36"/>
      <c r="Y695" s="36"/>
      <c r="Z695" s="41"/>
      <c r="AA695" s="42" t="e">
        <f>_xlfn.XLOOKUP(C695,#REF!,#REF!,"",0,1)</f>
        <v>#REF!</v>
      </c>
      <c r="AB695" s="43">
        <f t="shared" si="29"/>
        <v>0</v>
      </c>
    </row>
    <row r="696" spans="1:28" ht="169.5" thickBot="1" x14ac:dyDescent="0.3">
      <c r="A696" s="36">
        <v>695</v>
      </c>
      <c r="B696" s="36" t="s">
        <v>24</v>
      </c>
      <c r="C696" s="36" t="s">
        <v>263</v>
      </c>
      <c r="D696" s="37">
        <v>44078</v>
      </c>
      <c r="E696" s="36" t="s">
        <v>1646</v>
      </c>
      <c r="F696" s="36" t="s">
        <v>1794</v>
      </c>
      <c r="G696" s="36" t="s">
        <v>42</v>
      </c>
      <c r="H696" s="36" t="s">
        <v>1807</v>
      </c>
      <c r="I696" s="36" t="s">
        <v>44</v>
      </c>
      <c r="J696" s="36" t="str">
        <f t="shared" si="27"/>
        <v>Medical Education and DrugsFood and Drug Administration EstablishmentB (Gazetted)औषध निरीक्षक/ Drug InspectorS15 (41800 - 132300)</v>
      </c>
      <c r="K696" s="36" t="s">
        <v>1695</v>
      </c>
      <c r="L696" s="36" t="s">
        <v>247</v>
      </c>
      <c r="M696" s="38" t="s">
        <v>1808</v>
      </c>
      <c r="N696" s="36" t="s">
        <v>41</v>
      </c>
      <c r="O696" s="6" t="s">
        <v>33</v>
      </c>
      <c r="P696" s="7">
        <v>45</v>
      </c>
      <c r="Q696" s="7" t="s">
        <v>34</v>
      </c>
      <c r="R696" s="8"/>
      <c r="S696" s="8"/>
      <c r="T696" s="7" t="s">
        <v>35</v>
      </c>
      <c r="U696" s="36" t="s">
        <v>35</v>
      </c>
      <c r="V696" s="38"/>
      <c r="W696" s="36"/>
      <c r="X696" s="36"/>
      <c r="Y696" s="36"/>
      <c r="Z696" s="41"/>
      <c r="AA696" s="42" t="e">
        <f>_xlfn.XLOOKUP(C696,#REF!,#REF!,"",0,1)</f>
        <v>#REF!</v>
      </c>
      <c r="AB696" s="43">
        <f t="shared" si="29"/>
        <v>0</v>
      </c>
    </row>
    <row r="697" spans="1:28" ht="169.5" thickBot="1" x14ac:dyDescent="0.3">
      <c r="A697" s="36">
        <v>696</v>
      </c>
      <c r="B697" s="36" t="s">
        <v>24</v>
      </c>
      <c r="C697" s="36" t="s">
        <v>263</v>
      </c>
      <c r="D697" s="37">
        <v>44078</v>
      </c>
      <c r="E697" s="36" t="s">
        <v>1646</v>
      </c>
      <c r="F697" s="36" t="s">
        <v>1794</v>
      </c>
      <c r="G697" s="36" t="s">
        <v>42</v>
      </c>
      <c r="H697" s="36" t="s">
        <v>1809</v>
      </c>
      <c r="I697" s="36" t="s">
        <v>44</v>
      </c>
      <c r="J697" s="36" t="str">
        <f t="shared" si="27"/>
        <v>Medical Education and DrugsFood and Drug Administration EstablishmentB (Gazetted)वैज्ञानिक अधिकारी/ Scientific OfficerS15 (41800 - 132300)</v>
      </c>
      <c r="K697" s="36" t="s">
        <v>1695</v>
      </c>
      <c r="L697" s="36" t="s">
        <v>247</v>
      </c>
      <c r="M697" s="38" t="s">
        <v>1810</v>
      </c>
      <c r="N697" s="36" t="s">
        <v>1811</v>
      </c>
      <c r="O697" s="6" t="s">
        <v>33</v>
      </c>
      <c r="P697" s="7">
        <v>16</v>
      </c>
      <c r="Q697" s="7" t="s">
        <v>34</v>
      </c>
      <c r="R697" s="8"/>
      <c r="S697" s="8"/>
      <c r="T697" s="7" t="s">
        <v>35</v>
      </c>
      <c r="U697" s="36" t="s">
        <v>35</v>
      </c>
      <c r="V697" s="38"/>
      <c r="W697" s="36"/>
      <c r="X697" s="36"/>
      <c r="Y697" s="36"/>
      <c r="Z697" s="41"/>
      <c r="AA697" s="42" t="e">
        <f>_xlfn.XLOOKUP(C697,#REF!,#REF!,"",0,1)</f>
        <v>#REF!</v>
      </c>
      <c r="AB697" s="43">
        <f t="shared" si="29"/>
        <v>0</v>
      </c>
    </row>
    <row r="698" spans="1:28" ht="156.5" thickBot="1" x14ac:dyDescent="0.3">
      <c r="A698" s="36">
        <v>697</v>
      </c>
      <c r="B698" s="36" t="s">
        <v>24</v>
      </c>
      <c r="C698" s="36" t="s">
        <v>263</v>
      </c>
      <c r="D698" s="37">
        <v>44078</v>
      </c>
      <c r="E698" s="36" t="s">
        <v>1646</v>
      </c>
      <c r="F698" s="36" t="s">
        <v>1794</v>
      </c>
      <c r="G698" s="36" t="s">
        <v>42</v>
      </c>
      <c r="H698" s="36" t="s">
        <v>1812</v>
      </c>
      <c r="I698" s="36" t="s">
        <v>44</v>
      </c>
      <c r="J698" s="36" t="str">
        <f t="shared" si="27"/>
        <v>Medical Education and DrugsFood and Drug Administration EstablishmentB (Gazetted)अन्न सुरक्षा अधिकारी/ Food Safety OfficerS15 (41800 - 132300)</v>
      </c>
      <c r="K698" s="36" t="s">
        <v>1800</v>
      </c>
      <c r="L698" s="36" t="s">
        <v>247</v>
      </c>
      <c r="M698" s="38" t="s">
        <v>1803</v>
      </c>
      <c r="N698" s="36" t="s">
        <v>41</v>
      </c>
      <c r="O698" s="6" t="s">
        <v>83</v>
      </c>
      <c r="P698" s="7">
        <v>32</v>
      </c>
      <c r="Q698" s="7" t="s">
        <v>34</v>
      </c>
      <c r="R698" s="8"/>
      <c r="S698" s="8"/>
      <c r="T698" s="7" t="s">
        <v>35</v>
      </c>
      <c r="U698" s="36" t="s">
        <v>35</v>
      </c>
      <c r="V698" s="38"/>
      <c r="W698" s="36"/>
      <c r="X698" s="36"/>
      <c r="Y698" s="36"/>
      <c r="Z698" s="41"/>
      <c r="AA698" s="42" t="e">
        <f>_xlfn.XLOOKUP(C698,#REF!,#REF!,"",0,1)</f>
        <v>#REF!</v>
      </c>
      <c r="AB698" s="43">
        <f t="shared" si="29"/>
        <v>0</v>
      </c>
    </row>
    <row r="699" spans="1:28" ht="221.5" thickBot="1" x14ac:dyDescent="0.3">
      <c r="A699" s="36">
        <v>698</v>
      </c>
      <c r="B699" s="36" t="s">
        <v>24</v>
      </c>
      <c r="C699" s="36" t="s">
        <v>263</v>
      </c>
      <c r="D699" s="37">
        <v>44078</v>
      </c>
      <c r="E699" s="36" t="s">
        <v>1646</v>
      </c>
      <c r="F699" s="36" t="s">
        <v>1794</v>
      </c>
      <c r="G699" s="36" t="s">
        <v>55</v>
      </c>
      <c r="H699" s="36" t="s">
        <v>1813</v>
      </c>
      <c r="I699" s="36" t="s">
        <v>57</v>
      </c>
      <c r="J699" s="36" t="str">
        <f t="shared" si="27"/>
        <v>Medical Education and DrugsFood and Drug Administration EstablishmentCप्रमुख लिपीक/ भांडारपाल/ लेखापाल/ वरिष्ठ सहायक / Head Clerk / Store Keeper/ Accountant/ Senior AssistantS13 (35400 - 112400)</v>
      </c>
      <c r="K699" s="36" t="s">
        <v>75</v>
      </c>
      <c r="L699" s="36" t="s">
        <v>228</v>
      </c>
      <c r="M699" s="38" t="s">
        <v>1814</v>
      </c>
      <c r="N699" s="36" t="s">
        <v>70</v>
      </c>
      <c r="O699" s="6" t="s">
        <v>83</v>
      </c>
      <c r="P699" s="8"/>
      <c r="Q699" s="7" t="s">
        <v>34</v>
      </c>
      <c r="R699" s="8"/>
      <c r="S699" s="8"/>
      <c r="T699" s="7" t="s">
        <v>35</v>
      </c>
      <c r="U699" s="36" t="s">
        <v>35</v>
      </c>
      <c r="V699" s="38" t="s">
        <v>1815</v>
      </c>
      <c r="W699" s="36"/>
      <c r="X699" s="36" t="s">
        <v>1816</v>
      </c>
      <c r="Y699" s="36" t="s">
        <v>1817</v>
      </c>
      <c r="Z699" s="41"/>
      <c r="AA699" s="42" t="e">
        <f>_xlfn.XLOOKUP(C699,#REF!,#REF!,"",0,1)</f>
        <v>#REF!</v>
      </c>
      <c r="AB699" s="43">
        <f t="shared" si="29"/>
        <v>0</v>
      </c>
    </row>
    <row r="700" spans="1:28" ht="156.5" thickBot="1" x14ac:dyDescent="0.3">
      <c r="A700" s="44">
        <v>699</v>
      </c>
      <c r="B700" s="44" t="s">
        <v>24</v>
      </c>
      <c r="C700" s="36" t="s">
        <v>263</v>
      </c>
      <c r="D700" s="37">
        <v>44078</v>
      </c>
      <c r="E700" s="44" t="s">
        <v>1646</v>
      </c>
      <c r="F700" s="44" t="s">
        <v>1794</v>
      </c>
      <c r="G700" s="44" t="s">
        <v>55</v>
      </c>
      <c r="H700" s="44" t="s">
        <v>1818</v>
      </c>
      <c r="I700" s="44" t="s">
        <v>57</v>
      </c>
      <c r="J700" s="44" t="str">
        <f t="shared" si="27"/>
        <v>Medical Education and DrugsFood and Drug Administration EstablishmentCवरिष्ठ तांत्रिक सहायक/ Senior Technical AssistantS13 (35400 - 112400)</v>
      </c>
      <c r="K700" s="44"/>
      <c r="L700" s="44" t="s">
        <v>261</v>
      </c>
      <c r="M700" s="45" t="s">
        <v>1819</v>
      </c>
      <c r="N700" s="44" t="s">
        <v>113</v>
      </c>
      <c r="O700" s="11" t="s">
        <v>33</v>
      </c>
      <c r="P700" s="13"/>
      <c r="Q700" s="12" t="s">
        <v>34</v>
      </c>
      <c r="R700" s="13"/>
      <c r="S700" s="13"/>
      <c r="T700" s="4" t="s">
        <v>3276</v>
      </c>
      <c r="U700" s="44" t="s">
        <v>35</v>
      </c>
      <c r="V700" s="45"/>
      <c r="W700" s="44"/>
      <c r="X700" s="44"/>
      <c r="Y700" s="44"/>
      <c r="Z700" s="41"/>
      <c r="AA700" s="42" t="e">
        <f>_xlfn.XLOOKUP(C700,#REF!,#REF!,"",0,1)</f>
        <v>#REF!</v>
      </c>
      <c r="AB700" s="43">
        <f t="shared" si="29"/>
        <v>0</v>
      </c>
    </row>
    <row r="701" spans="1:28" ht="182.5" thickBot="1" x14ac:dyDescent="0.3">
      <c r="A701" s="36">
        <v>700</v>
      </c>
      <c r="B701" s="36" t="s">
        <v>24</v>
      </c>
      <c r="C701" s="36" t="s">
        <v>263</v>
      </c>
      <c r="D701" s="37">
        <v>44078</v>
      </c>
      <c r="E701" s="36" t="s">
        <v>1646</v>
      </c>
      <c r="F701" s="36" t="s">
        <v>1794</v>
      </c>
      <c r="G701" s="36" t="s">
        <v>65</v>
      </c>
      <c r="H701" s="36" t="s">
        <v>1820</v>
      </c>
      <c r="I701" s="36" t="s">
        <v>67</v>
      </c>
      <c r="J701" s="36" t="str">
        <f t="shared" si="27"/>
        <v>Medical Education and DrugsFood and Drug Administration EstablishmentB (Non Gazetted)विश्लेषण रसायन शास्त्रज्ञ /Analytical ChemistS14 (38600 - 122800)</v>
      </c>
      <c r="K701" s="36" t="s">
        <v>377</v>
      </c>
      <c r="L701" s="36" t="s">
        <v>225</v>
      </c>
      <c r="M701" s="38" t="s">
        <v>1821</v>
      </c>
      <c r="N701" s="36" t="s">
        <v>1822</v>
      </c>
      <c r="O701" s="6" t="s">
        <v>83</v>
      </c>
      <c r="P701" s="7">
        <v>1</v>
      </c>
      <c r="Q701" s="7" t="s">
        <v>34</v>
      </c>
      <c r="R701" s="8"/>
      <c r="S701" s="8"/>
      <c r="T701" s="7" t="s">
        <v>2395</v>
      </c>
      <c r="U701" s="36" t="s">
        <v>35</v>
      </c>
      <c r="V701" s="38" t="s">
        <v>1823</v>
      </c>
      <c r="W701" s="36"/>
      <c r="X701" s="36" t="s">
        <v>1824</v>
      </c>
      <c r="Y701" s="36" t="s">
        <v>1825</v>
      </c>
      <c r="Z701" s="41"/>
      <c r="AA701" s="42" t="e">
        <f>_xlfn.XLOOKUP(C701,#REF!,#REF!,"",0,1)</f>
        <v>#REF!</v>
      </c>
      <c r="AB701" s="43">
        <f t="shared" si="29"/>
        <v>0</v>
      </c>
    </row>
    <row r="702" spans="1:28" ht="156.5" thickBot="1" x14ac:dyDescent="0.3">
      <c r="A702" s="36">
        <v>701</v>
      </c>
      <c r="B702" s="36" t="s">
        <v>24</v>
      </c>
      <c r="C702" s="36" t="s">
        <v>263</v>
      </c>
      <c r="D702" s="37">
        <v>44078</v>
      </c>
      <c r="E702" s="36" t="s">
        <v>1646</v>
      </c>
      <c r="F702" s="36" t="s">
        <v>1794</v>
      </c>
      <c r="G702" s="36" t="s">
        <v>55</v>
      </c>
      <c r="H702" s="36" t="s">
        <v>1826</v>
      </c>
      <c r="I702" s="36" t="s">
        <v>67</v>
      </c>
      <c r="J702" s="36" t="str">
        <f t="shared" si="27"/>
        <v>Medical Education and DrugsFood and Drug Administration EstablishmentCलघुलेखक(नि.श्रे) / Steno Grapher (L.G)S14 (38600 - 122800)</v>
      </c>
      <c r="K702" s="36" t="s">
        <v>68</v>
      </c>
      <c r="L702" s="36" t="s">
        <v>231</v>
      </c>
      <c r="M702" s="38" t="s">
        <v>1814</v>
      </c>
      <c r="N702" s="36" t="s">
        <v>70</v>
      </c>
      <c r="O702" s="6" t="s">
        <v>33</v>
      </c>
      <c r="P702" s="8"/>
      <c r="Q702" s="7" t="s">
        <v>34</v>
      </c>
      <c r="R702" s="8"/>
      <c r="S702" s="8"/>
      <c r="T702" s="4" t="s">
        <v>3276</v>
      </c>
      <c r="U702" s="36" t="s">
        <v>35</v>
      </c>
      <c r="V702" s="38"/>
      <c r="W702" s="36"/>
      <c r="X702" s="36"/>
      <c r="Y702" s="36"/>
      <c r="Z702" s="41"/>
      <c r="AA702" s="42" t="e">
        <f>_xlfn.XLOOKUP(C702,#REF!,#REF!,"",0,1)</f>
        <v>#REF!</v>
      </c>
      <c r="AB702" s="43">
        <f t="shared" si="29"/>
        <v>0</v>
      </c>
    </row>
    <row r="703" spans="1:28" ht="130.5" thickBot="1" x14ac:dyDescent="0.3">
      <c r="A703" s="36">
        <v>702</v>
      </c>
      <c r="B703" s="36" t="s">
        <v>24</v>
      </c>
      <c r="C703" s="36" t="s">
        <v>263</v>
      </c>
      <c r="D703" s="37">
        <v>44078</v>
      </c>
      <c r="E703" s="36" t="s">
        <v>1646</v>
      </c>
      <c r="F703" s="36" t="s">
        <v>1794</v>
      </c>
      <c r="G703" s="36" t="s">
        <v>55</v>
      </c>
      <c r="H703" s="36" t="s">
        <v>1827</v>
      </c>
      <c r="I703" s="36" t="s">
        <v>67</v>
      </c>
      <c r="J703" s="36" t="str">
        <f t="shared" si="27"/>
        <v>Medical Education and DrugsFood and Drug Administration EstablishmentCअधीक्षक/ SuperintindentS14 (38600 - 122800)</v>
      </c>
      <c r="K703" s="36" t="s">
        <v>58</v>
      </c>
      <c r="L703" s="36" t="s">
        <v>228</v>
      </c>
      <c r="M703" s="38" t="s">
        <v>1796</v>
      </c>
      <c r="N703" s="36" t="s">
        <v>199</v>
      </c>
      <c r="O703" s="6" t="s">
        <v>83</v>
      </c>
      <c r="P703" s="8"/>
      <c r="Q703" s="7" t="s">
        <v>34</v>
      </c>
      <c r="R703" s="8"/>
      <c r="S703" s="8"/>
      <c r="T703" s="7" t="s">
        <v>35</v>
      </c>
      <c r="U703" s="36" t="s">
        <v>35</v>
      </c>
      <c r="V703" s="38" t="s">
        <v>1828</v>
      </c>
      <c r="W703" s="36"/>
      <c r="X703" s="36" t="s">
        <v>1816</v>
      </c>
      <c r="Y703" s="36" t="s">
        <v>1829</v>
      </c>
      <c r="Z703" s="41"/>
      <c r="AA703" s="42" t="e">
        <f>_xlfn.XLOOKUP(C703,#REF!,#REF!,"",0,1)</f>
        <v>#REF!</v>
      </c>
      <c r="AB703" s="43">
        <f t="shared" si="29"/>
        <v>0</v>
      </c>
    </row>
    <row r="704" spans="1:28" ht="143.5" thickBot="1" x14ac:dyDescent="0.3">
      <c r="A704" s="36">
        <v>703</v>
      </c>
      <c r="B704" s="36" t="s">
        <v>584</v>
      </c>
      <c r="C704" s="36" t="s">
        <v>263</v>
      </c>
      <c r="D704" s="37">
        <v>44078</v>
      </c>
      <c r="E704" s="36" t="s">
        <v>1646</v>
      </c>
      <c r="F704" s="36" t="s">
        <v>1794</v>
      </c>
      <c r="G704" s="36" t="s">
        <v>55</v>
      </c>
      <c r="H704" s="36" t="s">
        <v>1830</v>
      </c>
      <c r="I704" s="36" t="s">
        <v>44</v>
      </c>
      <c r="J704" s="36" t="str">
        <f t="shared" si="27"/>
        <v>Medical Education and DrugsFood and Drug Administration EstablishmentCस्वीय सहायक / Personal assistantS15 (41800 - 132300)</v>
      </c>
      <c r="K704" s="36"/>
      <c r="L704" s="36"/>
      <c r="M704" s="38" t="s">
        <v>1796</v>
      </c>
      <c r="N704" s="36"/>
      <c r="O704" s="6" t="s">
        <v>83</v>
      </c>
      <c r="P704" s="8"/>
      <c r="Q704" s="7" t="s">
        <v>34</v>
      </c>
      <c r="R704" s="8"/>
      <c r="S704" s="8"/>
      <c r="T704" s="4" t="s">
        <v>3276</v>
      </c>
      <c r="U704" s="36" t="s">
        <v>35</v>
      </c>
      <c r="V704" s="38"/>
      <c r="W704" s="36"/>
      <c r="X704" s="36"/>
      <c r="Y704" s="36"/>
      <c r="Z704" s="41"/>
      <c r="AA704" s="42" t="e">
        <f>_xlfn.XLOOKUP(C704,#REF!,#REF!,"",0,1)</f>
        <v>#REF!</v>
      </c>
      <c r="AB704" s="43">
        <f t="shared" si="29"/>
        <v>0</v>
      </c>
    </row>
    <row r="705" spans="1:28" ht="143.5" thickBot="1" x14ac:dyDescent="0.3">
      <c r="A705" s="36">
        <v>704</v>
      </c>
      <c r="B705" s="36" t="s">
        <v>24</v>
      </c>
      <c r="C705" s="36" t="s">
        <v>263</v>
      </c>
      <c r="D705" s="37">
        <v>44078</v>
      </c>
      <c r="E705" s="36" t="s">
        <v>1646</v>
      </c>
      <c r="F705" s="36" t="s">
        <v>1794</v>
      </c>
      <c r="G705" s="36" t="s">
        <v>55</v>
      </c>
      <c r="H705" s="36" t="s">
        <v>1831</v>
      </c>
      <c r="I705" s="36" t="s">
        <v>169</v>
      </c>
      <c r="J705" s="36" t="str">
        <f t="shared" si="27"/>
        <v>Medical Education and DrugsFood and Drug Administration EstablishmentCप्रयोगशाळा सहायक /Laboratory AssistantS7 (21700 - 69100)</v>
      </c>
      <c r="K705" s="36" t="s">
        <v>197</v>
      </c>
      <c r="L705" s="36" t="s">
        <v>228</v>
      </c>
      <c r="M705" s="38" t="s">
        <v>1832</v>
      </c>
      <c r="N705" s="36" t="s">
        <v>199</v>
      </c>
      <c r="O705" s="6" t="s">
        <v>33</v>
      </c>
      <c r="P705" s="7">
        <v>0</v>
      </c>
      <c r="Q705" s="7" t="s">
        <v>34</v>
      </c>
      <c r="R705" s="8"/>
      <c r="S705" s="8"/>
      <c r="T705" s="7" t="s">
        <v>2395</v>
      </c>
      <c r="U705" s="36" t="s">
        <v>35</v>
      </c>
      <c r="V705" s="38" t="s">
        <v>1833</v>
      </c>
      <c r="W705" s="36"/>
      <c r="X705" s="36" t="s">
        <v>1834</v>
      </c>
      <c r="Y705" s="36" t="s">
        <v>1835</v>
      </c>
      <c r="Z705" s="41"/>
      <c r="AA705" s="42" t="e">
        <f>_xlfn.XLOOKUP(C705,#REF!,#REF!,"",0,1)</f>
        <v>#REF!</v>
      </c>
      <c r="AB705" s="43">
        <f t="shared" si="29"/>
        <v>0</v>
      </c>
    </row>
    <row r="706" spans="1:28" ht="117.5" thickBot="1" x14ac:dyDescent="0.3">
      <c r="A706" s="44">
        <v>705</v>
      </c>
      <c r="B706" s="44" t="s">
        <v>24</v>
      </c>
      <c r="C706" s="36" t="s">
        <v>263</v>
      </c>
      <c r="D706" s="37">
        <v>44078</v>
      </c>
      <c r="E706" s="44" t="s">
        <v>1646</v>
      </c>
      <c r="F706" s="44" t="s">
        <v>1794</v>
      </c>
      <c r="G706" s="44" t="s">
        <v>55</v>
      </c>
      <c r="H706" s="44" t="s">
        <v>1836</v>
      </c>
      <c r="I706" s="44" t="s">
        <v>169</v>
      </c>
      <c r="J706" s="44" t="str">
        <f t="shared" ref="J706:J769" si="30">_xlfn.CONCAT(E706:I706)</f>
        <v>Medical Education and DrugsFood and Drug Administration EstablishmentCग्रंथपाल / LiabrarianS7 (21700 - 69100)</v>
      </c>
      <c r="K706" s="44"/>
      <c r="L706" s="44" t="s">
        <v>261</v>
      </c>
      <c r="M706" s="45" t="s">
        <v>1837</v>
      </c>
      <c r="N706" s="44" t="s">
        <v>113</v>
      </c>
      <c r="O706" s="11" t="s">
        <v>33</v>
      </c>
      <c r="P706" s="12">
        <v>1</v>
      </c>
      <c r="Q706" s="12" t="s">
        <v>34</v>
      </c>
      <c r="R706" s="13"/>
      <c r="S706" s="13"/>
      <c r="T706" s="4" t="s">
        <v>3276</v>
      </c>
      <c r="U706" s="44" t="s">
        <v>35</v>
      </c>
      <c r="V706" s="45"/>
      <c r="W706" s="44"/>
      <c r="X706" s="44"/>
      <c r="Y706" s="44"/>
      <c r="Z706" s="41"/>
      <c r="AA706" s="42" t="e">
        <f>_xlfn.XLOOKUP(C706,#REF!,#REF!,"",0,1)</f>
        <v>#REF!</v>
      </c>
      <c r="AB706" s="43">
        <f t="shared" ref="AB706:AB769" si="31">IFERROR(FLOOR(P706*AA706,1),0)</f>
        <v>0</v>
      </c>
    </row>
    <row r="707" spans="1:28" ht="143.5" thickBot="1" x14ac:dyDescent="0.3">
      <c r="A707" s="36">
        <v>706</v>
      </c>
      <c r="B707" s="36" t="s">
        <v>24</v>
      </c>
      <c r="C707" s="36" t="s">
        <v>263</v>
      </c>
      <c r="D707" s="37">
        <v>44078</v>
      </c>
      <c r="E707" s="36" t="s">
        <v>1646</v>
      </c>
      <c r="F707" s="36" t="s">
        <v>1794</v>
      </c>
      <c r="G707" s="36" t="s">
        <v>55</v>
      </c>
      <c r="H707" s="36" t="s">
        <v>1838</v>
      </c>
      <c r="I707" s="36" t="s">
        <v>80</v>
      </c>
      <c r="J707" s="36" t="str">
        <f t="shared" si="30"/>
        <v>Medical Education and DrugsFood and Drug Administration EstablishmentCवरिष्ठ लिपीक/ रोखपाल /Senior Clerk/ CashierS8 (25500 - 81100)</v>
      </c>
      <c r="K707" s="36" t="s">
        <v>75</v>
      </c>
      <c r="L707" s="36" t="s">
        <v>228</v>
      </c>
      <c r="M707" s="38" t="s">
        <v>1839</v>
      </c>
      <c r="N707" s="36" t="s">
        <v>70</v>
      </c>
      <c r="O707" s="6" t="s">
        <v>33</v>
      </c>
      <c r="P707" s="7">
        <v>4</v>
      </c>
      <c r="Q707" s="7" t="s">
        <v>34</v>
      </c>
      <c r="R707" s="8"/>
      <c r="S707" s="8"/>
      <c r="T707" s="7" t="s">
        <v>35</v>
      </c>
      <c r="U707" s="36" t="s">
        <v>35</v>
      </c>
      <c r="V707" s="38" t="s">
        <v>1840</v>
      </c>
      <c r="W707" s="36"/>
      <c r="X707" s="36" t="s">
        <v>1816</v>
      </c>
      <c r="Y707" s="36" t="s">
        <v>1817</v>
      </c>
      <c r="Z707" s="41"/>
      <c r="AA707" s="42" t="e">
        <f>_xlfn.XLOOKUP(C707,#REF!,#REF!,"",0,1)</f>
        <v>#REF!</v>
      </c>
      <c r="AB707" s="43">
        <f t="shared" si="31"/>
        <v>0</v>
      </c>
    </row>
    <row r="708" spans="1:28" ht="117.5" thickBot="1" x14ac:dyDescent="0.3">
      <c r="A708" s="36">
        <v>707</v>
      </c>
      <c r="B708" s="36" t="s">
        <v>24</v>
      </c>
      <c r="C708" s="36" t="s">
        <v>263</v>
      </c>
      <c r="D708" s="37">
        <v>44078</v>
      </c>
      <c r="E708" s="36" t="s">
        <v>1646</v>
      </c>
      <c r="F708" s="36" t="s">
        <v>1794</v>
      </c>
      <c r="G708" s="36" t="s">
        <v>55</v>
      </c>
      <c r="H708" s="36" t="s">
        <v>1841</v>
      </c>
      <c r="I708" s="36" t="s">
        <v>80</v>
      </c>
      <c r="J708" s="36" t="str">
        <f t="shared" si="30"/>
        <v>Medical Education and DrugsFood and Drug Administration EstablishmentCलघुटंकलेखक / Steno TypistS8 (25500 - 81100)</v>
      </c>
      <c r="K708" s="36" t="s">
        <v>68</v>
      </c>
      <c r="L708" s="36" t="s">
        <v>231</v>
      </c>
      <c r="M708" s="38" t="s">
        <v>1839</v>
      </c>
      <c r="N708" s="36" t="s">
        <v>70</v>
      </c>
      <c r="O708" s="6" t="s">
        <v>33</v>
      </c>
      <c r="P708" s="8"/>
      <c r="Q708" s="7" t="s">
        <v>34</v>
      </c>
      <c r="R708" s="8"/>
      <c r="S708" s="8"/>
      <c r="T708" s="4" t="s">
        <v>3276</v>
      </c>
      <c r="U708" s="36" t="s">
        <v>35</v>
      </c>
      <c r="V708" s="38"/>
      <c r="W708" s="36"/>
      <c r="X708" s="36"/>
      <c r="Y708" s="36"/>
      <c r="Z708" s="41"/>
      <c r="AA708" s="42" t="e">
        <f>_xlfn.XLOOKUP(C708,#REF!,#REF!,"",0,1)</f>
        <v>#REF!</v>
      </c>
      <c r="AB708" s="43">
        <f t="shared" si="31"/>
        <v>0</v>
      </c>
    </row>
    <row r="709" spans="1:28" ht="117.5" thickBot="1" x14ac:dyDescent="0.3">
      <c r="A709" s="44">
        <v>708</v>
      </c>
      <c r="B709" s="44" t="s">
        <v>24</v>
      </c>
      <c r="C709" s="36" t="s">
        <v>263</v>
      </c>
      <c r="D709" s="37">
        <v>44078</v>
      </c>
      <c r="E709" s="44" t="s">
        <v>1646</v>
      </c>
      <c r="F709" s="44" t="s">
        <v>1794</v>
      </c>
      <c r="G709" s="44" t="s">
        <v>55</v>
      </c>
      <c r="H709" s="44" t="s">
        <v>1842</v>
      </c>
      <c r="I709" s="44" t="s">
        <v>80</v>
      </c>
      <c r="J709" s="44" t="str">
        <f t="shared" si="30"/>
        <v>Medical Education and DrugsFood and Drug Administration EstablishmentCवीजतंत्री/ ElectricianS8 (25500 - 81100)</v>
      </c>
      <c r="K709" s="44"/>
      <c r="L709" s="44" t="s">
        <v>261</v>
      </c>
      <c r="M709" s="45" t="s">
        <v>1843</v>
      </c>
      <c r="N709" s="44" t="s">
        <v>113</v>
      </c>
      <c r="O709" s="11" t="s">
        <v>33</v>
      </c>
      <c r="P709" s="12">
        <v>1</v>
      </c>
      <c r="Q709" s="12" t="s">
        <v>34</v>
      </c>
      <c r="R709" s="13"/>
      <c r="S709" s="13"/>
      <c r="T709" s="4" t="s">
        <v>3276</v>
      </c>
      <c r="U709" s="44" t="s">
        <v>35</v>
      </c>
      <c r="V709" s="45"/>
      <c r="W709" s="44"/>
      <c r="X709" s="44"/>
      <c r="Y709" s="44"/>
      <c r="Z709" s="41"/>
      <c r="AA709" s="42" t="e">
        <f>_xlfn.XLOOKUP(C709,#REF!,#REF!,"",0,1)</f>
        <v>#REF!</v>
      </c>
      <c r="AB709" s="43">
        <f t="shared" si="31"/>
        <v>0</v>
      </c>
    </row>
    <row r="710" spans="1:28" ht="169.5" thickBot="1" x14ac:dyDescent="0.3">
      <c r="A710" s="36">
        <v>709</v>
      </c>
      <c r="B710" s="36" t="s">
        <v>24</v>
      </c>
      <c r="C710" s="36" t="s">
        <v>1645</v>
      </c>
      <c r="D710" s="37">
        <v>46014</v>
      </c>
      <c r="E710" s="36" t="s">
        <v>1646</v>
      </c>
      <c r="F710" s="36" t="s">
        <v>1844</v>
      </c>
      <c r="G710" s="36" t="s">
        <v>28</v>
      </c>
      <c r="H710" s="36" t="s">
        <v>1845</v>
      </c>
      <c r="I710" s="36" t="s">
        <v>1649</v>
      </c>
      <c r="J710" s="36" t="str">
        <f t="shared" si="30"/>
        <v>Medical Education and DrugsMedical Education EstablishmentAसहयोगी प्राध्यापक वैद्यकीय / Associate Professor medicalL-13 : 131400 - 217100</v>
      </c>
      <c r="K710" s="36" t="s">
        <v>1650</v>
      </c>
      <c r="L710" s="36" t="s">
        <v>247</v>
      </c>
      <c r="M710" s="38" t="s">
        <v>1846</v>
      </c>
      <c r="N710" s="36" t="s">
        <v>41</v>
      </c>
      <c r="O710" s="6" t="s">
        <v>83</v>
      </c>
      <c r="P710" s="7">
        <v>195</v>
      </c>
      <c r="Q710" s="7" t="s">
        <v>34</v>
      </c>
      <c r="R710" s="8"/>
      <c r="S710" s="8"/>
      <c r="T710" s="7" t="s">
        <v>35</v>
      </c>
      <c r="U710" s="36" t="s">
        <v>35</v>
      </c>
      <c r="V710" s="38"/>
      <c r="W710" s="36"/>
      <c r="X710" s="36"/>
      <c r="Y710" s="36"/>
      <c r="Z710" s="41"/>
      <c r="AA710" s="42" t="e">
        <f>_xlfn.XLOOKUP(C710,#REF!,#REF!,"",0,1)</f>
        <v>#REF!</v>
      </c>
      <c r="AB710" s="43">
        <f t="shared" si="31"/>
        <v>0</v>
      </c>
    </row>
    <row r="711" spans="1:28" ht="169.5" thickBot="1" x14ac:dyDescent="0.3">
      <c r="A711" s="36">
        <v>710</v>
      </c>
      <c r="B711" s="36" t="s">
        <v>24</v>
      </c>
      <c r="C711" s="36" t="s">
        <v>1645</v>
      </c>
      <c r="D711" s="37">
        <v>46014</v>
      </c>
      <c r="E711" s="36" t="s">
        <v>1646</v>
      </c>
      <c r="F711" s="36" t="s">
        <v>1844</v>
      </c>
      <c r="G711" s="36" t="s">
        <v>28</v>
      </c>
      <c r="H711" s="36" t="s">
        <v>1847</v>
      </c>
      <c r="I711" s="36" t="s">
        <v>1649</v>
      </c>
      <c r="J711" s="36" t="str">
        <f t="shared" si="30"/>
        <v>Medical Education and DrugsMedical Education EstablishmentAसहयोगी प्राध्यापक दंत/ दंतशास्त्र / Assocaite Professor Dental/DentestryL-13 : 131400 - 217100</v>
      </c>
      <c r="K711" s="36" t="s">
        <v>1650</v>
      </c>
      <c r="L711" s="36" t="s">
        <v>247</v>
      </c>
      <c r="M711" s="38" t="s">
        <v>1848</v>
      </c>
      <c r="N711" s="36" t="s">
        <v>41</v>
      </c>
      <c r="O711" s="6" t="s">
        <v>83</v>
      </c>
      <c r="P711" s="7">
        <v>19</v>
      </c>
      <c r="Q711" s="7" t="s">
        <v>34</v>
      </c>
      <c r="R711" s="8"/>
      <c r="S711" s="8"/>
      <c r="T711" s="7" t="s">
        <v>35</v>
      </c>
      <c r="U711" s="36" t="s">
        <v>35</v>
      </c>
      <c r="V711" s="38"/>
      <c r="W711" s="36"/>
      <c r="X711" s="36"/>
      <c r="Y711" s="36"/>
      <c r="Z711" s="41"/>
      <c r="AA711" s="42" t="e">
        <f>_xlfn.XLOOKUP(C711,#REF!,#REF!,"",0,1)</f>
        <v>#REF!</v>
      </c>
      <c r="AB711" s="43">
        <f t="shared" si="31"/>
        <v>0</v>
      </c>
    </row>
    <row r="712" spans="1:28" ht="117.5" thickBot="1" x14ac:dyDescent="0.3">
      <c r="A712" s="36">
        <v>711</v>
      </c>
      <c r="B712" s="36" t="s">
        <v>24</v>
      </c>
      <c r="C712" s="36" t="s">
        <v>1645</v>
      </c>
      <c r="D712" s="37">
        <v>46014</v>
      </c>
      <c r="E712" s="36" t="s">
        <v>1646</v>
      </c>
      <c r="F712" s="36" t="s">
        <v>1844</v>
      </c>
      <c r="G712" s="36" t="s">
        <v>28</v>
      </c>
      <c r="H712" s="36" t="s">
        <v>1849</v>
      </c>
      <c r="I712" s="36" t="s">
        <v>1658</v>
      </c>
      <c r="J712" s="36" t="str">
        <f t="shared" si="30"/>
        <v>Medical Education and DrugsMedical Education EstablishmentAसंचालक / DirectorL-14 :144200 -218200</v>
      </c>
      <c r="K712" s="36"/>
      <c r="L712" s="36" t="s">
        <v>243</v>
      </c>
      <c r="M712" s="38" t="s">
        <v>1850</v>
      </c>
      <c r="N712" s="36" t="s">
        <v>32</v>
      </c>
      <c r="O712" s="6" t="s">
        <v>33</v>
      </c>
      <c r="P712" s="7">
        <v>1</v>
      </c>
      <c r="Q712" s="7" t="s">
        <v>34</v>
      </c>
      <c r="R712" s="7">
        <v>1</v>
      </c>
      <c r="S712" s="7" t="s">
        <v>1851</v>
      </c>
      <c r="T712" s="4" t="s">
        <v>3276</v>
      </c>
      <c r="U712" s="36" t="s">
        <v>35</v>
      </c>
      <c r="V712" s="38"/>
      <c r="W712" s="36"/>
      <c r="X712" s="36"/>
      <c r="Y712" s="36"/>
      <c r="Z712" s="41"/>
      <c r="AA712" s="42" t="e">
        <f>_xlfn.XLOOKUP(C712,#REF!,#REF!,"",0,1)</f>
        <v>#REF!</v>
      </c>
      <c r="AB712" s="43">
        <f t="shared" si="31"/>
        <v>0</v>
      </c>
    </row>
    <row r="713" spans="1:28" ht="143.5" thickBot="1" x14ac:dyDescent="0.3">
      <c r="A713" s="36">
        <v>712</v>
      </c>
      <c r="B713" s="36" t="s">
        <v>24</v>
      </c>
      <c r="C713" s="36" t="s">
        <v>1645</v>
      </c>
      <c r="D713" s="37">
        <v>46014</v>
      </c>
      <c r="E713" s="36" t="s">
        <v>1646</v>
      </c>
      <c r="F713" s="36" t="s">
        <v>1844</v>
      </c>
      <c r="G713" s="36" t="s">
        <v>28</v>
      </c>
      <c r="H713" s="36" t="s">
        <v>1852</v>
      </c>
      <c r="I713" s="36" t="s">
        <v>1658</v>
      </c>
      <c r="J713" s="36" t="str">
        <f t="shared" si="30"/>
        <v>Medical Education and DrugsMedical Education EstablishmentAसह संचालक वैद्य / Joint director medicalL-14 :144200 -218200</v>
      </c>
      <c r="K713" s="36"/>
      <c r="L713" s="36" t="s">
        <v>243</v>
      </c>
      <c r="M713" s="38" t="s">
        <v>1853</v>
      </c>
      <c r="N713" s="36" t="s">
        <v>32</v>
      </c>
      <c r="O713" s="6" t="s">
        <v>33</v>
      </c>
      <c r="P713" s="7">
        <v>0</v>
      </c>
      <c r="Q713" s="7" t="s">
        <v>34</v>
      </c>
      <c r="R713" s="8"/>
      <c r="S713" s="8"/>
      <c r="T713" s="4" t="s">
        <v>3276</v>
      </c>
      <c r="U713" s="36" t="s">
        <v>35</v>
      </c>
      <c r="V713" s="38"/>
      <c r="W713" s="36"/>
      <c r="X713" s="36"/>
      <c r="Y713" s="36"/>
      <c r="Z713" s="41"/>
      <c r="AA713" s="42" t="e">
        <f>_xlfn.XLOOKUP(C713,#REF!,#REF!,"",0,1)</f>
        <v>#REF!</v>
      </c>
      <c r="AB713" s="43">
        <f t="shared" si="31"/>
        <v>0</v>
      </c>
    </row>
    <row r="714" spans="1:28" ht="130.5" thickBot="1" x14ac:dyDescent="0.3">
      <c r="A714" s="36">
        <v>713</v>
      </c>
      <c r="B714" s="36" t="s">
        <v>24</v>
      </c>
      <c r="C714" s="36" t="s">
        <v>1645</v>
      </c>
      <c r="D714" s="37">
        <v>46014</v>
      </c>
      <c r="E714" s="36" t="s">
        <v>1646</v>
      </c>
      <c r="F714" s="36" t="s">
        <v>1844</v>
      </c>
      <c r="G714" s="36" t="s">
        <v>28</v>
      </c>
      <c r="H714" s="36" t="s">
        <v>1854</v>
      </c>
      <c r="I714" s="36" t="s">
        <v>1658</v>
      </c>
      <c r="J714" s="36" t="str">
        <f t="shared" si="30"/>
        <v>Medical Education and DrugsMedical Education EstablishmentAसह संचालक दंत / Joint director DentalL-14 :144200 -218200</v>
      </c>
      <c r="K714" s="36"/>
      <c r="L714" s="36" t="s">
        <v>243</v>
      </c>
      <c r="M714" s="38" t="s">
        <v>1855</v>
      </c>
      <c r="N714" s="36" t="s">
        <v>32</v>
      </c>
      <c r="O714" s="6" t="s">
        <v>33</v>
      </c>
      <c r="P714" s="7">
        <v>0</v>
      </c>
      <c r="Q714" s="7" t="s">
        <v>34</v>
      </c>
      <c r="R714" s="8"/>
      <c r="S714" s="8"/>
      <c r="T714" s="4" t="s">
        <v>3276</v>
      </c>
      <c r="U714" s="36" t="s">
        <v>35</v>
      </c>
      <c r="V714" s="38"/>
      <c r="W714" s="36"/>
      <c r="X714" s="36"/>
      <c r="Y714" s="36"/>
      <c r="Z714" s="41"/>
      <c r="AA714" s="42" t="e">
        <f>_xlfn.XLOOKUP(C714,#REF!,#REF!,"",0,1)</f>
        <v>#REF!</v>
      </c>
      <c r="AB714" s="43">
        <f t="shared" si="31"/>
        <v>0</v>
      </c>
    </row>
    <row r="715" spans="1:28" ht="117.5" thickBot="1" x14ac:dyDescent="0.3">
      <c r="A715" s="36">
        <v>714</v>
      </c>
      <c r="B715" s="36" t="s">
        <v>24</v>
      </c>
      <c r="C715" s="36" t="s">
        <v>1645</v>
      </c>
      <c r="D715" s="37">
        <v>46014</v>
      </c>
      <c r="E715" s="36" t="s">
        <v>1646</v>
      </c>
      <c r="F715" s="36" t="s">
        <v>1844</v>
      </c>
      <c r="G715" s="36" t="s">
        <v>28</v>
      </c>
      <c r="H715" s="36" t="s">
        <v>1856</v>
      </c>
      <c r="I715" s="36" t="s">
        <v>1658</v>
      </c>
      <c r="J715" s="36" t="str">
        <f t="shared" si="30"/>
        <v>Medical Education and DrugsMedical Education EstablishmentAअधिष्ठाता/ Dean (Medical)L-14 :144200 -218200</v>
      </c>
      <c r="K715" s="36"/>
      <c r="L715" s="36" t="s">
        <v>243</v>
      </c>
      <c r="M715" s="38" t="s">
        <v>1857</v>
      </c>
      <c r="N715" s="36" t="s">
        <v>32</v>
      </c>
      <c r="O715" s="6" t="s">
        <v>33</v>
      </c>
      <c r="P715" s="7">
        <v>3</v>
      </c>
      <c r="Q715" s="7" t="s">
        <v>34</v>
      </c>
      <c r="R715" s="8"/>
      <c r="S715" s="8"/>
      <c r="T715" s="4" t="s">
        <v>3276</v>
      </c>
      <c r="U715" s="36" t="s">
        <v>35</v>
      </c>
      <c r="V715" s="38"/>
      <c r="W715" s="36"/>
      <c r="X715" s="36"/>
      <c r="Y715" s="36"/>
      <c r="Z715" s="41"/>
      <c r="AA715" s="42" t="e">
        <f>_xlfn.XLOOKUP(C715,#REF!,#REF!,"",0,1)</f>
        <v>#REF!</v>
      </c>
      <c r="AB715" s="43">
        <f t="shared" si="31"/>
        <v>0</v>
      </c>
    </row>
    <row r="716" spans="1:28" ht="117.5" thickBot="1" x14ac:dyDescent="0.3">
      <c r="A716" s="36">
        <v>715</v>
      </c>
      <c r="B716" s="36" t="s">
        <v>24</v>
      </c>
      <c r="C716" s="36" t="s">
        <v>1645</v>
      </c>
      <c r="D716" s="37">
        <v>46014</v>
      </c>
      <c r="E716" s="36" t="s">
        <v>1646</v>
      </c>
      <c r="F716" s="36" t="s">
        <v>1844</v>
      </c>
      <c r="G716" s="36" t="s">
        <v>28</v>
      </c>
      <c r="H716" s="36" t="s">
        <v>1858</v>
      </c>
      <c r="I716" s="36" t="s">
        <v>1658</v>
      </c>
      <c r="J716" s="36" t="str">
        <f t="shared" si="30"/>
        <v>Medical Education and DrugsMedical Education EstablishmentAअधिष्ठाता/ Dean (Dental)L-14 :144200 -218200</v>
      </c>
      <c r="K716" s="36"/>
      <c r="L716" s="36" t="s">
        <v>243</v>
      </c>
      <c r="M716" s="38" t="s">
        <v>1859</v>
      </c>
      <c r="N716" s="36" t="s">
        <v>32</v>
      </c>
      <c r="O716" s="6" t="s">
        <v>33</v>
      </c>
      <c r="P716" s="7">
        <v>1</v>
      </c>
      <c r="Q716" s="7" t="s">
        <v>34</v>
      </c>
      <c r="R716" s="8"/>
      <c r="S716" s="8"/>
      <c r="T716" s="4" t="s">
        <v>3276</v>
      </c>
      <c r="U716" s="36" t="s">
        <v>35</v>
      </c>
      <c r="V716" s="38"/>
      <c r="W716" s="36"/>
      <c r="X716" s="36"/>
      <c r="Y716" s="36"/>
      <c r="Z716" s="41"/>
      <c r="AA716" s="42" t="e">
        <f>_xlfn.XLOOKUP(C716,#REF!,#REF!,"",0,1)</f>
        <v>#REF!</v>
      </c>
      <c r="AB716" s="43">
        <f t="shared" si="31"/>
        <v>0</v>
      </c>
    </row>
    <row r="717" spans="1:28" ht="143.5" thickBot="1" x14ac:dyDescent="0.3">
      <c r="A717" s="36">
        <v>716</v>
      </c>
      <c r="B717" s="36" t="s">
        <v>24</v>
      </c>
      <c r="C717" s="36" t="s">
        <v>1645</v>
      </c>
      <c r="D717" s="37">
        <v>46014</v>
      </c>
      <c r="E717" s="36" t="s">
        <v>1646</v>
      </c>
      <c r="F717" s="36" t="s">
        <v>1844</v>
      </c>
      <c r="G717" s="36" t="s">
        <v>28</v>
      </c>
      <c r="H717" s="36" t="s">
        <v>1860</v>
      </c>
      <c r="I717" s="36" t="s">
        <v>1658</v>
      </c>
      <c r="J717" s="36" t="str">
        <f t="shared" si="30"/>
        <v>Medical Education and DrugsMedical Education EstablishmentAप्राध्यापक वैद्यकीय /Professor MedicalL-14 :144200 -218200</v>
      </c>
      <c r="K717" s="36"/>
      <c r="L717" s="48" t="s">
        <v>243</v>
      </c>
      <c r="M717" s="38" t="s">
        <v>1861</v>
      </c>
      <c r="N717" s="36" t="s">
        <v>32</v>
      </c>
      <c r="O717" s="6" t="s">
        <v>83</v>
      </c>
      <c r="P717" s="7">
        <v>147</v>
      </c>
      <c r="Q717" s="7" t="s">
        <v>34</v>
      </c>
      <c r="R717" s="8"/>
      <c r="S717" s="8"/>
      <c r="T717" s="4" t="s">
        <v>3276</v>
      </c>
      <c r="U717" s="36" t="s">
        <v>35</v>
      </c>
      <c r="V717" s="38"/>
      <c r="W717" s="36"/>
      <c r="X717" s="36"/>
      <c r="Y717" s="36"/>
      <c r="Z717" s="41"/>
      <c r="AA717" s="42" t="e">
        <f>_xlfn.XLOOKUP(C717,#REF!,#REF!,"",0,1)</f>
        <v>#REF!</v>
      </c>
      <c r="AB717" s="43">
        <f t="shared" si="31"/>
        <v>0</v>
      </c>
    </row>
    <row r="718" spans="1:28" ht="143.5" thickBot="1" x14ac:dyDescent="0.3">
      <c r="A718" s="36">
        <v>717</v>
      </c>
      <c r="B718" s="36" t="s">
        <v>24</v>
      </c>
      <c r="C718" s="36" t="s">
        <v>1645</v>
      </c>
      <c r="D718" s="37">
        <v>46014</v>
      </c>
      <c r="E718" s="36" t="s">
        <v>1646</v>
      </c>
      <c r="F718" s="36" t="s">
        <v>1844</v>
      </c>
      <c r="G718" s="36" t="s">
        <v>28</v>
      </c>
      <c r="H718" s="36" t="s">
        <v>1862</v>
      </c>
      <c r="I718" s="36" t="s">
        <v>1658</v>
      </c>
      <c r="J718" s="36" t="str">
        <f t="shared" si="30"/>
        <v>Medical Education and DrugsMedical Education EstablishmentAप्राध्यापक दंत/ दंतशास्त्र /Professor Dental/DentestryL-14 :144200 -218200</v>
      </c>
      <c r="K718" s="36"/>
      <c r="L718" s="48" t="s">
        <v>243</v>
      </c>
      <c r="M718" s="38" t="s">
        <v>1863</v>
      </c>
      <c r="N718" s="36" t="s">
        <v>32</v>
      </c>
      <c r="O718" s="6" t="s">
        <v>83</v>
      </c>
      <c r="P718" s="7">
        <v>11</v>
      </c>
      <c r="Q718" s="7" t="s">
        <v>34</v>
      </c>
      <c r="R718" s="8"/>
      <c r="S718" s="8"/>
      <c r="T718" s="4" t="s">
        <v>3276</v>
      </c>
      <c r="U718" s="36" t="s">
        <v>35</v>
      </c>
      <c r="V718" s="38"/>
      <c r="W718" s="36"/>
      <c r="X718" s="36"/>
      <c r="Y718" s="36"/>
      <c r="Z718" s="41"/>
      <c r="AA718" s="42" t="e">
        <f>_xlfn.XLOOKUP(C718,#REF!,#REF!,"",0,1)</f>
        <v>#REF!</v>
      </c>
      <c r="AB718" s="43">
        <f t="shared" si="31"/>
        <v>0</v>
      </c>
    </row>
    <row r="719" spans="1:28" ht="169.5" thickBot="1" x14ac:dyDescent="0.3">
      <c r="A719" s="36">
        <v>718</v>
      </c>
      <c r="B719" s="36" t="s">
        <v>24</v>
      </c>
      <c r="C719" s="36" t="s">
        <v>1645</v>
      </c>
      <c r="D719" s="37">
        <v>46014</v>
      </c>
      <c r="E719" s="36" t="s">
        <v>1646</v>
      </c>
      <c r="F719" s="36" t="s">
        <v>1844</v>
      </c>
      <c r="G719" s="36" t="s">
        <v>42</v>
      </c>
      <c r="H719" s="36" t="s">
        <v>1864</v>
      </c>
      <c r="I719" s="36" t="s">
        <v>38</v>
      </c>
      <c r="J719" s="36" t="str">
        <f t="shared" si="30"/>
        <v>Medical Education and DrugsMedical Education EstablishmentB (Gazetted)रक्तसंक्रमण अधिकारी/Blood Transfusion OfficerS20 (56100 - 177500)</v>
      </c>
      <c r="K719" s="36"/>
      <c r="L719" s="36" t="s">
        <v>238</v>
      </c>
      <c r="M719" s="38" t="s">
        <v>1865</v>
      </c>
      <c r="N719" s="36"/>
      <c r="O719" s="6" t="s">
        <v>33</v>
      </c>
      <c r="P719" s="7">
        <v>17</v>
      </c>
      <c r="Q719" s="7" t="s">
        <v>34</v>
      </c>
      <c r="R719" s="8"/>
      <c r="S719" s="8"/>
      <c r="T719" s="7" t="s">
        <v>35</v>
      </c>
      <c r="U719" s="36" t="s">
        <v>35</v>
      </c>
      <c r="V719" s="38"/>
      <c r="W719" s="36"/>
      <c r="X719" s="36"/>
      <c r="Y719" s="36"/>
      <c r="Z719" s="41"/>
      <c r="AA719" s="42" t="e">
        <f>_xlfn.XLOOKUP(C719,#REF!,#REF!,"",0,1)</f>
        <v>#REF!</v>
      </c>
      <c r="AB719" s="43">
        <f t="shared" si="31"/>
        <v>0</v>
      </c>
    </row>
    <row r="720" spans="1:28" ht="156.5" thickBot="1" x14ac:dyDescent="0.3">
      <c r="A720" s="36">
        <v>719</v>
      </c>
      <c r="B720" s="36" t="s">
        <v>24</v>
      </c>
      <c r="C720" s="36" t="s">
        <v>1645</v>
      </c>
      <c r="D720" s="37">
        <v>46014</v>
      </c>
      <c r="E720" s="36" t="s">
        <v>1646</v>
      </c>
      <c r="F720" s="36" t="s">
        <v>1844</v>
      </c>
      <c r="G720" s="36" t="s">
        <v>28</v>
      </c>
      <c r="H720" s="36" t="s">
        <v>1866</v>
      </c>
      <c r="I720" s="36" t="s">
        <v>38</v>
      </c>
      <c r="J720" s="36" t="str">
        <f t="shared" si="30"/>
        <v>Medical Education and DrugsMedical Education EstablishmentAवैद्यकीय अभिलेख अधिकारी/ Medical Record OfficerS20 (56100 - 177500)</v>
      </c>
      <c r="K720" s="36"/>
      <c r="L720" s="36" t="s">
        <v>238</v>
      </c>
      <c r="M720" s="38" t="s">
        <v>1867</v>
      </c>
      <c r="N720" s="36"/>
      <c r="O720" s="6" t="s">
        <v>83</v>
      </c>
      <c r="P720" s="7">
        <v>11</v>
      </c>
      <c r="Q720" s="7" t="s">
        <v>34</v>
      </c>
      <c r="R720" s="8"/>
      <c r="S720" s="8"/>
      <c r="T720" s="7" t="s">
        <v>35</v>
      </c>
      <c r="U720" s="36" t="s">
        <v>35</v>
      </c>
      <c r="V720" s="38"/>
      <c r="W720" s="36"/>
      <c r="X720" s="36"/>
      <c r="Y720" s="36"/>
      <c r="Z720" s="41"/>
      <c r="AA720" s="42" t="e">
        <f>_xlfn.XLOOKUP(C720,#REF!,#REF!,"",0,1)</f>
        <v>#REF!</v>
      </c>
      <c r="AB720" s="43">
        <f t="shared" si="31"/>
        <v>0</v>
      </c>
    </row>
    <row r="721" spans="1:28" ht="130.5" thickBot="1" x14ac:dyDescent="0.3">
      <c r="A721" s="36">
        <v>720</v>
      </c>
      <c r="B721" s="36" t="s">
        <v>24</v>
      </c>
      <c r="C721" s="36" t="s">
        <v>1645</v>
      </c>
      <c r="D721" s="37">
        <v>46014</v>
      </c>
      <c r="E721" s="36" t="s">
        <v>1646</v>
      </c>
      <c r="F721" s="36" t="s">
        <v>1844</v>
      </c>
      <c r="G721" s="36" t="s">
        <v>28</v>
      </c>
      <c r="H721" s="36" t="s">
        <v>1868</v>
      </c>
      <c r="I721" s="36" t="s">
        <v>38</v>
      </c>
      <c r="J721" s="36" t="str">
        <f t="shared" si="30"/>
        <v>Medical Education and DrugsMedical Education EstablishmentAChief Administration OfficerS20 (56100 - 177500)</v>
      </c>
      <c r="K721" s="36"/>
      <c r="L721" s="48" t="s">
        <v>243</v>
      </c>
      <c r="M721" s="38" t="s">
        <v>1869</v>
      </c>
      <c r="N721" s="36" t="s">
        <v>32</v>
      </c>
      <c r="O721" s="6" t="s">
        <v>33</v>
      </c>
      <c r="P721" s="7">
        <v>13</v>
      </c>
      <c r="Q721" s="7" t="s">
        <v>100</v>
      </c>
      <c r="R721" s="7">
        <v>12</v>
      </c>
      <c r="S721" s="8"/>
      <c r="T721" s="4" t="s">
        <v>3276</v>
      </c>
      <c r="U721" s="36" t="s">
        <v>35</v>
      </c>
      <c r="V721" s="38"/>
      <c r="W721" s="36"/>
      <c r="X721" s="36"/>
      <c r="Y721" s="36"/>
      <c r="Z721" s="41"/>
      <c r="AA721" s="42" t="e">
        <f>_xlfn.XLOOKUP(C721,#REF!,#REF!,"",0,1)</f>
        <v>#REF!</v>
      </c>
      <c r="AB721" s="43">
        <f t="shared" si="31"/>
        <v>0</v>
      </c>
    </row>
    <row r="722" spans="1:28" ht="156.5" thickBot="1" x14ac:dyDescent="0.3">
      <c r="A722" s="36">
        <v>721</v>
      </c>
      <c r="B722" s="36" t="s">
        <v>24</v>
      </c>
      <c r="C722" s="36" t="s">
        <v>1645</v>
      </c>
      <c r="D722" s="37">
        <v>46014</v>
      </c>
      <c r="E722" s="36" t="s">
        <v>1646</v>
      </c>
      <c r="F722" s="36" t="s">
        <v>1844</v>
      </c>
      <c r="G722" s="36" t="s">
        <v>28</v>
      </c>
      <c r="H722" s="36" t="s">
        <v>1870</v>
      </c>
      <c r="I722" s="36" t="s">
        <v>242</v>
      </c>
      <c r="J722" s="36" t="str">
        <f t="shared" si="30"/>
        <v>Medical Education and DrugsMedical Education EstablishmentAअधीक्षक, शुश्रुषा सेवा / Superintendent of Nursing ServicesS23 (67700 - 208700)</v>
      </c>
      <c r="K722" s="36"/>
      <c r="L722" s="36" t="s">
        <v>243</v>
      </c>
      <c r="M722" s="38" t="s">
        <v>1871</v>
      </c>
      <c r="N722" s="36" t="s">
        <v>32</v>
      </c>
      <c r="O722" s="6" t="s">
        <v>33</v>
      </c>
      <c r="P722" s="7">
        <v>0</v>
      </c>
      <c r="Q722" s="7" t="s">
        <v>34</v>
      </c>
      <c r="R722" s="8"/>
      <c r="S722" s="8"/>
      <c r="T722" s="4" t="s">
        <v>3276</v>
      </c>
      <c r="U722" s="36" t="s">
        <v>35</v>
      </c>
      <c r="V722" s="38"/>
      <c r="W722" s="36"/>
      <c r="X722" s="36"/>
      <c r="Y722" s="36"/>
      <c r="Z722" s="41"/>
      <c r="AA722" s="42" t="e">
        <f>_xlfn.XLOOKUP(C722,#REF!,#REF!,"",0,1)</f>
        <v>#REF!</v>
      </c>
      <c r="AB722" s="43">
        <f t="shared" si="31"/>
        <v>0</v>
      </c>
    </row>
    <row r="723" spans="1:28" ht="143.5" thickBot="1" x14ac:dyDescent="0.3">
      <c r="A723" s="36">
        <v>722</v>
      </c>
      <c r="B723" s="36" t="s">
        <v>24</v>
      </c>
      <c r="C723" s="36" t="s">
        <v>1645</v>
      </c>
      <c r="D723" s="37">
        <v>46014</v>
      </c>
      <c r="E723" s="36" t="s">
        <v>1646</v>
      </c>
      <c r="F723" s="36" t="s">
        <v>1844</v>
      </c>
      <c r="G723" s="36" t="s">
        <v>28</v>
      </c>
      <c r="H723" s="40" t="s">
        <v>1872</v>
      </c>
      <c r="I723" s="36" t="s">
        <v>242</v>
      </c>
      <c r="J723" s="36" t="str">
        <f t="shared" si="30"/>
        <v>Medical Education and DrugsMedical Education EstablishmentAवैद्यकीय अधीक्षक / Medical SuperintendentS23 (67700 - 208700)</v>
      </c>
      <c r="K723" s="36"/>
      <c r="L723" s="36" t="s">
        <v>238</v>
      </c>
      <c r="M723" s="38" t="s">
        <v>1873</v>
      </c>
      <c r="N723" s="36" t="s">
        <v>744</v>
      </c>
      <c r="O723" s="6" t="s">
        <v>83</v>
      </c>
      <c r="P723" s="8"/>
      <c r="Q723" s="7" t="s">
        <v>34</v>
      </c>
      <c r="R723" s="8"/>
      <c r="S723" s="8"/>
      <c r="T723" s="7" t="s">
        <v>35</v>
      </c>
      <c r="U723" s="36" t="s">
        <v>35</v>
      </c>
      <c r="V723" s="38"/>
      <c r="W723" s="36"/>
      <c r="X723" s="36"/>
      <c r="Y723" s="36"/>
      <c r="Z723" s="41"/>
      <c r="AA723" s="42" t="e">
        <f>_xlfn.XLOOKUP(C723,#REF!,#REF!,"",0,1)</f>
        <v>#REF!</v>
      </c>
      <c r="AB723" s="43">
        <f t="shared" si="31"/>
        <v>0</v>
      </c>
    </row>
    <row r="724" spans="1:28" ht="143.5" thickBot="1" x14ac:dyDescent="0.3">
      <c r="A724" s="36">
        <v>723</v>
      </c>
      <c r="B724" s="36" t="s">
        <v>24</v>
      </c>
      <c r="C724" s="36" t="s">
        <v>1645</v>
      </c>
      <c r="D724" s="37">
        <v>46014</v>
      </c>
      <c r="E724" s="36" t="s">
        <v>1646</v>
      </c>
      <c r="F724" s="36" t="s">
        <v>1844</v>
      </c>
      <c r="G724" s="36" t="s">
        <v>28</v>
      </c>
      <c r="H724" s="36" t="s">
        <v>1874</v>
      </c>
      <c r="I724" s="36" t="s">
        <v>242</v>
      </c>
      <c r="J724" s="36" t="str">
        <f t="shared" si="30"/>
        <v>Medical Education and DrugsMedical Education EstablishmentAउप वैद्यकीय अधीक्षक / Deputy Medical SuperintendentS23 (67700 - 208700)</v>
      </c>
      <c r="K724" s="36"/>
      <c r="L724" s="36" t="s">
        <v>243</v>
      </c>
      <c r="M724" s="38" t="s">
        <v>1875</v>
      </c>
      <c r="N724" s="36" t="s">
        <v>32</v>
      </c>
      <c r="O724" s="6" t="s">
        <v>33</v>
      </c>
      <c r="P724" s="7">
        <v>11</v>
      </c>
      <c r="Q724" s="7" t="s">
        <v>34</v>
      </c>
      <c r="R724" s="8"/>
      <c r="S724" s="8"/>
      <c r="T724" s="4" t="s">
        <v>3276</v>
      </c>
      <c r="U724" s="36" t="s">
        <v>35</v>
      </c>
      <c r="V724" s="38"/>
      <c r="W724" s="36"/>
      <c r="X724" s="36"/>
      <c r="Y724" s="36"/>
      <c r="Z724" s="41"/>
      <c r="AA724" s="42" t="e">
        <f>_xlfn.XLOOKUP(C724,#REF!,#REF!,"",0,1)</f>
        <v>#REF!</v>
      </c>
      <c r="AB724" s="43">
        <f t="shared" si="31"/>
        <v>0</v>
      </c>
    </row>
    <row r="725" spans="1:28" ht="182.5" thickBot="1" x14ac:dyDescent="0.3">
      <c r="A725" s="36">
        <v>724</v>
      </c>
      <c r="B725" s="36" t="s">
        <v>24</v>
      </c>
      <c r="C725" s="36" t="s">
        <v>1645</v>
      </c>
      <c r="D725" s="37">
        <v>46014</v>
      </c>
      <c r="E725" s="36" t="s">
        <v>1646</v>
      </c>
      <c r="F725" s="36" t="s">
        <v>1844</v>
      </c>
      <c r="G725" s="36" t="s">
        <v>42</v>
      </c>
      <c r="H725" s="36" t="s">
        <v>1876</v>
      </c>
      <c r="I725" s="36" t="s">
        <v>737</v>
      </c>
      <c r="J725" s="36" t="str">
        <f t="shared" si="30"/>
        <v>Medical Education and DrugsMedical Education EstablishmentB (Gazetted)सहाय्यक प्राध्यापक (दंत) / Assistant Professor (Dental)AL 10 (57,700 - 1,82,400)</v>
      </c>
      <c r="K725" s="36" t="s">
        <v>1650</v>
      </c>
      <c r="L725" s="36" t="s">
        <v>247</v>
      </c>
      <c r="M725" s="38" t="s">
        <v>1877</v>
      </c>
      <c r="N725" s="36" t="s">
        <v>41</v>
      </c>
      <c r="O725" s="6" t="s">
        <v>83</v>
      </c>
      <c r="P725" s="7">
        <v>80</v>
      </c>
      <c r="Q725" s="7" t="s">
        <v>34</v>
      </c>
      <c r="R725" s="8"/>
      <c r="S725" s="8"/>
      <c r="T725" s="7" t="s">
        <v>35</v>
      </c>
      <c r="U725" s="36" t="s">
        <v>35</v>
      </c>
      <c r="V725" s="38"/>
      <c r="W725" s="36"/>
      <c r="X725" s="36"/>
      <c r="Y725" s="36"/>
      <c r="Z725" s="41"/>
      <c r="AA725" s="42" t="e">
        <f>_xlfn.XLOOKUP(C725,#REF!,#REF!,"",0,1)</f>
        <v>#REF!</v>
      </c>
      <c r="AB725" s="43">
        <f t="shared" si="31"/>
        <v>0</v>
      </c>
    </row>
    <row r="726" spans="1:28" ht="156.5" thickBot="1" x14ac:dyDescent="0.3">
      <c r="A726" s="36">
        <v>725</v>
      </c>
      <c r="B726" s="36" t="s">
        <v>24</v>
      </c>
      <c r="C726" s="36" t="s">
        <v>1645</v>
      </c>
      <c r="D726" s="37">
        <v>46014</v>
      </c>
      <c r="E726" s="36" t="s">
        <v>1646</v>
      </c>
      <c r="F726" s="36" t="s">
        <v>1844</v>
      </c>
      <c r="G726" s="36" t="s">
        <v>42</v>
      </c>
      <c r="H726" s="36" t="s">
        <v>1878</v>
      </c>
      <c r="I726" s="36" t="s">
        <v>737</v>
      </c>
      <c r="J726" s="36" t="str">
        <f t="shared" si="30"/>
        <v>Medical Education and DrugsMedical Education EstablishmentB (Gazetted)सहाय्यक प्राध्यापक / Assistant ProfessorAL 10 (57,700 - 1,82,400)</v>
      </c>
      <c r="K726" s="36" t="s">
        <v>1650</v>
      </c>
      <c r="L726" s="36" t="s">
        <v>247</v>
      </c>
      <c r="M726" s="38" t="s">
        <v>1879</v>
      </c>
      <c r="N726" s="36" t="s">
        <v>41</v>
      </c>
      <c r="O726" s="6" t="s">
        <v>83</v>
      </c>
      <c r="P726" s="7">
        <v>428</v>
      </c>
      <c r="Q726" s="7" t="s">
        <v>34</v>
      </c>
      <c r="R726" s="8"/>
      <c r="S726" s="8"/>
      <c r="T726" s="7" t="s">
        <v>35</v>
      </c>
      <c r="U726" s="36" t="s">
        <v>35</v>
      </c>
      <c r="V726" s="38"/>
      <c r="W726" s="36"/>
      <c r="X726" s="36"/>
      <c r="Y726" s="36"/>
      <c r="Z726" s="41"/>
      <c r="AA726" s="42" t="e">
        <f>_xlfn.XLOOKUP(C726,#REF!,#REF!,"",0,1)</f>
        <v>#REF!</v>
      </c>
      <c r="AB726" s="43">
        <f t="shared" si="31"/>
        <v>0</v>
      </c>
    </row>
    <row r="727" spans="1:28" ht="143.5" thickBot="1" x14ac:dyDescent="0.3">
      <c r="A727" s="36">
        <v>726</v>
      </c>
      <c r="B727" s="36" t="s">
        <v>24</v>
      </c>
      <c r="C727" s="36" t="s">
        <v>1645</v>
      </c>
      <c r="D727" s="37">
        <v>46014</v>
      </c>
      <c r="E727" s="36" t="s">
        <v>1646</v>
      </c>
      <c r="F727" s="36" t="s">
        <v>1844</v>
      </c>
      <c r="G727" s="36" t="s">
        <v>42</v>
      </c>
      <c r="H727" s="36" t="s">
        <v>1880</v>
      </c>
      <c r="I727" s="36" t="s">
        <v>44</v>
      </c>
      <c r="J727" s="36" t="str">
        <f t="shared" si="30"/>
        <v>Medical Education and DrugsMedical Education EstablishmentB (Gazetted)Administration OfficerS15 (41800 - 132300)</v>
      </c>
      <c r="K727" s="36" t="s">
        <v>45</v>
      </c>
      <c r="L727" s="36" t="s">
        <v>247</v>
      </c>
      <c r="M727" s="38" t="s">
        <v>1881</v>
      </c>
      <c r="N727" s="36" t="s">
        <v>47</v>
      </c>
      <c r="O727" s="6" t="s">
        <v>33</v>
      </c>
      <c r="P727" s="7">
        <v>24</v>
      </c>
      <c r="Q727" s="7" t="s">
        <v>34</v>
      </c>
      <c r="R727" s="8"/>
      <c r="S727" s="8"/>
      <c r="T727" s="7" t="s">
        <v>35</v>
      </c>
      <c r="U727" s="36" t="s">
        <v>35</v>
      </c>
      <c r="V727" s="38"/>
      <c r="W727" s="36"/>
      <c r="X727" s="36"/>
      <c r="Y727" s="36"/>
      <c r="Z727" s="41"/>
      <c r="AA727" s="42" t="e">
        <f>_xlfn.XLOOKUP(C727,#REF!,#REF!,"",0,1)</f>
        <v>#REF!</v>
      </c>
      <c r="AB727" s="43">
        <f t="shared" si="31"/>
        <v>0</v>
      </c>
    </row>
    <row r="728" spans="1:28" ht="130.5" thickBot="1" x14ac:dyDescent="0.3">
      <c r="A728" s="36">
        <v>727</v>
      </c>
      <c r="B728" s="36" t="s">
        <v>24</v>
      </c>
      <c r="C728" s="36" t="s">
        <v>1645</v>
      </c>
      <c r="D728" s="37">
        <v>46014</v>
      </c>
      <c r="E728" s="36" t="s">
        <v>1646</v>
      </c>
      <c r="F728" s="36" t="s">
        <v>1844</v>
      </c>
      <c r="G728" s="36" t="s">
        <v>42</v>
      </c>
      <c r="H728" s="40" t="s">
        <v>1882</v>
      </c>
      <c r="I728" s="36" t="s">
        <v>44</v>
      </c>
      <c r="J728" s="36" t="str">
        <f t="shared" si="30"/>
        <v>Medical Education and DrugsMedical Education EstablishmentB (Gazetted)Chief LibrarianS15 (41800 - 132300)</v>
      </c>
      <c r="K728" s="36" t="s">
        <v>45</v>
      </c>
      <c r="L728" s="36" t="s">
        <v>247</v>
      </c>
      <c r="M728" s="38" t="s">
        <v>1883</v>
      </c>
      <c r="N728" s="36" t="s">
        <v>683</v>
      </c>
      <c r="O728" s="6" t="s">
        <v>33</v>
      </c>
      <c r="P728" s="8"/>
      <c r="Q728" s="7" t="s">
        <v>34</v>
      </c>
      <c r="R728" s="8"/>
      <c r="S728" s="8"/>
      <c r="T728" s="7" t="s">
        <v>35</v>
      </c>
      <c r="U728" s="36" t="s">
        <v>35</v>
      </c>
      <c r="V728" s="38"/>
      <c r="W728" s="36"/>
      <c r="X728" s="36"/>
      <c r="Y728" s="36"/>
      <c r="Z728" s="41"/>
      <c r="AA728" s="42" t="e">
        <f>_xlfn.XLOOKUP(C728,#REF!,#REF!,"",0,1)</f>
        <v>#REF!</v>
      </c>
      <c r="AB728" s="43">
        <f t="shared" si="31"/>
        <v>0</v>
      </c>
    </row>
    <row r="729" spans="1:28" ht="169.5" thickBot="1" x14ac:dyDescent="0.3">
      <c r="A729" s="36">
        <v>728</v>
      </c>
      <c r="B729" s="36" t="s">
        <v>24</v>
      </c>
      <c r="C729" s="36" t="s">
        <v>1645</v>
      </c>
      <c r="D729" s="37">
        <v>46014</v>
      </c>
      <c r="E729" s="36" t="s">
        <v>1646</v>
      </c>
      <c r="F729" s="36" t="s">
        <v>1844</v>
      </c>
      <c r="G729" s="36" t="s">
        <v>42</v>
      </c>
      <c r="H729" s="36" t="s">
        <v>1884</v>
      </c>
      <c r="I729" s="36" t="s">
        <v>44</v>
      </c>
      <c r="J729" s="36" t="str">
        <f t="shared" si="30"/>
        <v>Medical Education and DrugsMedical Education EstablishmentB (Gazetted)अभिरक्षक शरीररचना / Curator in AnatomyS15 (41800 - 132300)</v>
      </c>
      <c r="K729" s="36"/>
      <c r="L729" s="36" t="s">
        <v>238</v>
      </c>
      <c r="M729" s="38" t="s">
        <v>1885</v>
      </c>
      <c r="N729" s="36"/>
      <c r="O729" s="6" t="s">
        <v>83</v>
      </c>
      <c r="P729" s="7">
        <v>2</v>
      </c>
      <c r="Q729" s="7" t="s">
        <v>34</v>
      </c>
      <c r="R729" s="8"/>
      <c r="S729" s="8"/>
      <c r="T729" s="7" t="s">
        <v>35</v>
      </c>
      <c r="U729" s="36" t="s">
        <v>35</v>
      </c>
      <c r="V729" s="38"/>
      <c r="W729" s="36"/>
      <c r="X729" s="36"/>
      <c r="Y729" s="36"/>
      <c r="Z729" s="41"/>
      <c r="AA729" s="42" t="e">
        <f>_xlfn.XLOOKUP(C729,#REF!,#REF!,"",0,1)</f>
        <v>#REF!</v>
      </c>
      <c r="AB729" s="43">
        <f t="shared" si="31"/>
        <v>0</v>
      </c>
    </row>
    <row r="730" spans="1:28" ht="169.5" thickBot="1" x14ac:dyDescent="0.3">
      <c r="A730" s="36">
        <v>729</v>
      </c>
      <c r="B730" s="36" t="s">
        <v>24</v>
      </c>
      <c r="C730" s="36" t="s">
        <v>1645</v>
      </c>
      <c r="D730" s="37">
        <v>46014</v>
      </c>
      <c r="E730" s="36" t="s">
        <v>1646</v>
      </c>
      <c r="F730" s="36" t="s">
        <v>1844</v>
      </c>
      <c r="G730" s="36" t="s">
        <v>42</v>
      </c>
      <c r="H730" s="36" t="s">
        <v>1886</v>
      </c>
      <c r="I730" s="36" t="s">
        <v>44</v>
      </c>
      <c r="J730" s="36" t="str">
        <f t="shared" si="30"/>
        <v>Medical Education and DrugsMedical Education EstablishmentB (Gazetted)अभिरक्षक विकृती शास्त्रज्ञ / Curator-in-PathologyS15 (41800 - 132300)</v>
      </c>
      <c r="K730" s="36"/>
      <c r="L730" s="36" t="s">
        <v>238</v>
      </c>
      <c r="M730" s="38" t="s">
        <v>1887</v>
      </c>
      <c r="N730" s="36"/>
      <c r="O730" s="6" t="s">
        <v>83</v>
      </c>
      <c r="P730" s="7">
        <v>0</v>
      </c>
      <c r="Q730" s="7" t="s">
        <v>34</v>
      </c>
      <c r="R730" s="8"/>
      <c r="S730" s="8"/>
      <c r="T730" s="7" t="s">
        <v>2395</v>
      </c>
      <c r="U730" s="36" t="s">
        <v>35</v>
      </c>
      <c r="V730" s="38"/>
      <c r="W730" s="36"/>
      <c r="X730" s="36"/>
      <c r="Y730" s="36"/>
      <c r="Z730" s="41"/>
      <c r="AA730" s="42" t="e">
        <f>_xlfn.XLOOKUP(C730,#REF!,#REF!,"",0,1)</f>
        <v>#REF!</v>
      </c>
      <c r="AB730" s="43">
        <f t="shared" si="31"/>
        <v>0</v>
      </c>
    </row>
    <row r="731" spans="1:28" ht="156.5" thickBot="1" x14ac:dyDescent="0.3">
      <c r="A731" s="36">
        <v>730</v>
      </c>
      <c r="B731" s="36" t="s">
        <v>24</v>
      </c>
      <c r="C731" s="36" t="s">
        <v>1645</v>
      </c>
      <c r="D731" s="37">
        <v>46014</v>
      </c>
      <c r="E731" s="36" t="s">
        <v>1646</v>
      </c>
      <c r="F731" s="36" t="s">
        <v>1844</v>
      </c>
      <c r="G731" s="36" t="s">
        <v>42</v>
      </c>
      <c r="H731" s="36" t="s">
        <v>1888</v>
      </c>
      <c r="I731" s="36" t="s">
        <v>44</v>
      </c>
      <c r="J731" s="36" t="str">
        <f t="shared" si="30"/>
        <v>Medical Education and DrugsMedical Education EstablishmentB (Gazetted)औषधनिर्माता वर्ग 2 / Phramacist Class 2S15 (41800 - 132300)</v>
      </c>
      <c r="K731" s="36" t="s">
        <v>1695</v>
      </c>
      <c r="L731" s="36" t="s">
        <v>247</v>
      </c>
      <c r="M731" s="38" t="s">
        <v>1889</v>
      </c>
      <c r="N731" s="36" t="s">
        <v>60</v>
      </c>
      <c r="O731" s="6" t="s">
        <v>33</v>
      </c>
      <c r="P731" s="7">
        <v>3</v>
      </c>
      <c r="Q731" s="7" t="s">
        <v>34</v>
      </c>
      <c r="R731" s="8"/>
      <c r="S731" s="8"/>
      <c r="T731" s="7" t="s">
        <v>35</v>
      </c>
      <c r="U731" s="36" t="s">
        <v>35</v>
      </c>
      <c r="V731" s="38"/>
      <c r="W731" s="36"/>
      <c r="X731" s="36"/>
      <c r="Y731" s="36"/>
      <c r="Z731" s="41"/>
      <c r="AA731" s="42" t="e">
        <f>_xlfn.XLOOKUP(C731,#REF!,#REF!,"",0,1)</f>
        <v>#REF!</v>
      </c>
      <c r="AB731" s="43">
        <f t="shared" si="31"/>
        <v>0</v>
      </c>
    </row>
    <row r="732" spans="1:28" ht="130.5" thickBot="1" x14ac:dyDescent="0.3">
      <c r="A732" s="36">
        <v>731</v>
      </c>
      <c r="B732" s="36" t="s">
        <v>24</v>
      </c>
      <c r="C732" s="36" t="s">
        <v>1645</v>
      </c>
      <c r="D732" s="37">
        <v>46014</v>
      </c>
      <c r="E732" s="36" t="s">
        <v>1646</v>
      </c>
      <c r="F732" s="36" t="s">
        <v>1844</v>
      </c>
      <c r="G732" s="36" t="s">
        <v>42</v>
      </c>
      <c r="H732" s="36" t="s">
        <v>1890</v>
      </c>
      <c r="I732" s="36" t="s">
        <v>44</v>
      </c>
      <c r="J732" s="36" t="str">
        <f t="shared" si="30"/>
        <v>Medical Education and DrugsMedical Education EstablishmentB (Gazetted)जीव रसायन शास्त्रज्ञ / BiochemistS15 (41800 - 132300)</v>
      </c>
      <c r="K732" s="36" t="s">
        <v>1679</v>
      </c>
      <c r="L732" s="36" t="s">
        <v>247</v>
      </c>
      <c r="M732" s="38" t="s">
        <v>1891</v>
      </c>
      <c r="N732" s="36" t="s">
        <v>1811</v>
      </c>
      <c r="O732" s="6" t="s">
        <v>33</v>
      </c>
      <c r="P732" s="7">
        <v>15</v>
      </c>
      <c r="Q732" s="7" t="s">
        <v>34</v>
      </c>
      <c r="R732" s="8"/>
      <c r="S732" s="8"/>
      <c r="T732" s="7" t="s">
        <v>35</v>
      </c>
      <c r="U732" s="36" t="s">
        <v>35</v>
      </c>
      <c r="V732" s="38"/>
      <c r="W732" s="36"/>
      <c r="X732" s="36"/>
      <c r="Y732" s="36"/>
      <c r="Z732" s="41"/>
      <c r="AA732" s="42" t="e">
        <f>_xlfn.XLOOKUP(C732,#REF!,#REF!,"",0,1)</f>
        <v>#REF!</v>
      </c>
      <c r="AB732" s="43">
        <f t="shared" si="31"/>
        <v>0</v>
      </c>
    </row>
    <row r="733" spans="1:28" ht="169.5" thickBot="1" x14ac:dyDescent="0.3">
      <c r="A733" s="36">
        <v>732</v>
      </c>
      <c r="B733" s="36" t="s">
        <v>24</v>
      </c>
      <c r="C733" s="36" t="s">
        <v>1645</v>
      </c>
      <c r="D733" s="37">
        <v>46014</v>
      </c>
      <c r="E733" s="36" t="s">
        <v>1646</v>
      </c>
      <c r="F733" s="36" t="s">
        <v>1844</v>
      </c>
      <c r="G733" s="36" t="s">
        <v>42</v>
      </c>
      <c r="H733" s="36" t="s">
        <v>1892</v>
      </c>
      <c r="I733" s="36" t="s">
        <v>44</v>
      </c>
      <c r="J733" s="36" t="str">
        <f t="shared" si="30"/>
        <v>Medical Education and DrugsMedical Education EstablishmentB (Gazetted)भौतिकशास्त्रवेत्ता (शरीरक्रिया) / Physicist (Physiology)S15 (41800 - 132300)</v>
      </c>
      <c r="K733" s="36"/>
      <c r="L733" s="36" t="s">
        <v>238</v>
      </c>
      <c r="M733" s="38" t="s">
        <v>1893</v>
      </c>
      <c r="N733" s="36" t="s">
        <v>41</v>
      </c>
      <c r="O733" s="6" t="s">
        <v>33</v>
      </c>
      <c r="P733" s="7">
        <v>0</v>
      </c>
      <c r="Q733" s="7" t="s">
        <v>34</v>
      </c>
      <c r="R733" s="8"/>
      <c r="S733" s="8"/>
      <c r="T733" s="7" t="s">
        <v>2395</v>
      </c>
      <c r="U733" s="36" t="s">
        <v>35</v>
      </c>
      <c r="V733" s="38"/>
      <c r="W733" s="36"/>
      <c r="X733" s="36"/>
      <c r="Y733" s="36"/>
      <c r="Z733" s="41"/>
      <c r="AA733" s="42" t="e">
        <f>_xlfn.XLOOKUP(C733,#REF!,#REF!,"",0,1)</f>
        <v>#REF!</v>
      </c>
      <c r="AB733" s="43">
        <f t="shared" si="31"/>
        <v>0</v>
      </c>
    </row>
    <row r="734" spans="1:28" ht="156.5" thickBot="1" x14ac:dyDescent="0.3">
      <c r="A734" s="36">
        <v>733</v>
      </c>
      <c r="B734" s="36" t="s">
        <v>24</v>
      </c>
      <c r="C734" s="36" t="s">
        <v>1645</v>
      </c>
      <c r="D734" s="37">
        <v>46014</v>
      </c>
      <c r="E734" s="36" t="s">
        <v>1646</v>
      </c>
      <c r="F734" s="36" t="s">
        <v>1844</v>
      </c>
      <c r="G734" s="36" t="s">
        <v>42</v>
      </c>
      <c r="H734" s="36" t="s">
        <v>1894</v>
      </c>
      <c r="I734" s="36" t="s">
        <v>44</v>
      </c>
      <c r="J734" s="36" t="str">
        <f t="shared" si="30"/>
        <v>Medical Education and DrugsMedical Education EstablishmentB (Gazetted)भौतिकशास्त्रवेत्ता / Physicist (Radiotherapy)S15 (41800 - 132300)</v>
      </c>
      <c r="K734" s="36"/>
      <c r="L734" s="36" t="s">
        <v>238</v>
      </c>
      <c r="M734" s="38" t="s">
        <v>1895</v>
      </c>
      <c r="N734" s="36"/>
      <c r="O734" s="6" t="s">
        <v>83</v>
      </c>
      <c r="P734" s="7">
        <v>0</v>
      </c>
      <c r="Q734" s="7" t="s">
        <v>34</v>
      </c>
      <c r="R734" s="8"/>
      <c r="S734" s="8"/>
      <c r="T734" s="7" t="s">
        <v>2395</v>
      </c>
      <c r="U734" s="36" t="s">
        <v>35</v>
      </c>
      <c r="V734" s="38"/>
      <c r="W734" s="36"/>
      <c r="X734" s="36"/>
      <c r="Y734" s="36"/>
      <c r="Z734" s="41"/>
      <c r="AA734" s="42" t="e">
        <f>_xlfn.XLOOKUP(C734,#REF!,#REF!,"",0,1)</f>
        <v>#REF!</v>
      </c>
      <c r="AB734" s="43">
        <f t="shared" si="31"/>
        <v>0</v>
      </c>
    </row>
    <row r="735" spans="1:28" ht="169.5" thickBot="1" x14ac:dyDescent="0.3">
      <c r="A735" s="36">
        <v>734</v>
      </c>
      <c r="B735" s="36" t="s">
        <v>24</v>
      </c>
      <c r="C735" s="36" t="s">
        <v>1645</v>
      </c>
      <c r="D735" s="37">
        <v>46014</v>
      </c>
      <c r="E735" s="36" t="s">
        <v>1646</v>
      </c>
      <c r="F735" s="36" t="s">
        <v>1844</v>
      </c>
      <c r="G735" s="36" t="s">
        <v>42</v>
      </c>
      <c r="H735" s="36" t="s">
        <v>1896</v>
      </c>
      <c r="I735" s="36" t="s">
        <v>44</v>
      </c>
      <c r="J735" s="36" t="str">
        <f t="shared" si="30"/>
        <v>Medical Education and DrugsMedical Education EstablishmentB (Gazetted)वैद्यकीय अभिलेख ग्रंथपाल / Medical Record LibrarianS15 (41800 - 132300)</v>
      </c>
      <c r="K735" s="36"/>
      <c r="L735" s="36" t="s">
        <v>238</v>
      </c>
      <c r="M735" s="38" t="s">
        <v>1897</v>
      </c>
      <c r="N735" s="36"/>
      <c r="O735" s="6" t="s">
        <v>33</v>
      </c>
      <c r="P735" s="7">
        <v>3</v>
      </c>
      <c r="Q735" s="7" t="s">
        <v>34</v>
      </c>
      <c r="R735" s="8"/>
      <c r="S735" s="8"/>
      <c r="T735" s="7" t="s">
        <v>35</v>
      </c>
      <c r="U735" s="36" t="s">
        <v>35</v>
      </c>
      <c r="V735" s="38"/>
      <c r="W735" s="36"/>
      <c r="X735" s="36"/>
      <c r="Y735" s="36"/>
      <c r="Z735" s="41"/>
      <c r="AA735" s="42" t="e">
        <f>_xlfn.XLOOKUP(C735,#REF!,#REF!,"",0,1)</f>
        <v>#REF!</v>
      </c>
      <c r="AB735" s="43">
        <f t="shared" si="31"/>
        <v>0</v>
      </c>
    </row>
    <row r="736" spans="1:28" ht="156.5" thickBot="1" x14ac:dyDescent="0.3">
      <c r="A736" s="36">
        <v>735</v>
      </c>
      <c r="B736" s="36" t="s">
        <v>24</v>
      </c>
      <c r="C736" s="36" t="s">
        <v>1645</v>
      </c>
      <c r="D736" s="37">
        <v>46014</v>
      </c>
      <c r="E736" s="36" t="s">
        <v>1646</v>
      </c>
      <c r="F736" s="36" t="s">
        <v>1844</v>
      </c>
      <c r="G736" s="36" t="s">
        <v>42</v>
      </c>
      <c r="H736" s="36" t="s">
        <v>1898</v>
      </c>
      <c r="I736" s="36" t="s">
        <v>44</v>
      </c>
      <c r="J736" s="36" t="str">
        <f t="shared" si="30"/>
        <v>Medical Education and DrugsMedical Education EstablishmentB (Gazetted)वरिष्ठ क्ष-किरण चित्रकार/ Senior RadiographerS15 (41800 - 132300)</v>
      </c>
      <c r="K736" s="36"/>
      <c r="L736" s="36" t="s">
        <v>238</v>
      </c>
      <c r="M736" s="38" t="s">
        <v>1899</v>
      </c>
      <c r="N736" s="36"/>
      <c r="O736" s="6" t="s">
        <v>33</v>
      </c>
      <c r="P736" s="7">
        <v>3</v>
      </c>
      <c r="Q736" s="7" t="s">
        <v>34</v>
      </c>
      <c r="R736" s="8"/>
      <c r="S736" s="8"/>
      <c r="T736" s="7" t="s">
        <v>35</v>
      </c>
      <c r="U736" s="36" t="s">
        <v>35</v>
      </c>
      <c r="V736" s="38"/>
      <c r="W736" s="36"/>
      <c r="X736" s="36"/>
      <c r="Y736" s="36"/>
      <c r="Z736" s="41"/>
      <c r="AA736" s="42" t="e">
        <f>_xlfn.XLOOKUP(C736,#REF!,#REF!,"",0,1)</f>
        <v>#REF!</v>
      </c>
      <c r="AB736" s="43">
        <f t="shared" si="31"/>
        <v>0</v>
      </c>
    </row>
    <row r="737" spans="1:28" ht="143.5" thickBot="1" x14ac:dyDescent="0.3">
      <c r="A737" s="36">
        <v>736</v>
      </c>
      <c r="B737" s="36" t="s">
        <v>24</v>
      </c>
      <c r="C737" s="36" t="s">
        <v>1645</v>
      </c>
      <c r="D737" s="37">
        <v>46014</v>
      </c>
      <c r="E737" s="36" t="s">
        <v>1646</v>
      </c>
      <c r="F737" s="36" t="s">
        <v>1844</v>
      </c>
      <c r="G737" s="36" t="s">
        <v>42</v>
      </c>
      <c r="H737" s="36" t="s">
        <v>1900</v>
      </c>
      <c r="I737" s="36" t="s">
        <v>44</v>
      </c>
      <c r="J737" s="36" t="str">
        <f t="shared" si="30"/>
        <v>Medical Education and DrugsMedical Education EstablishmentB (Gazetted)रसायनशास्त्रज्ञ /ChemistS15 (41800 - 132300)</v>
      </c>
      <c r="K737" s="36" t="s">
        <v>1695</v>
      </c>
      <c r="L737" s="36" t="s">
        <v>247</v>
      </c>
      <c r="M737" s="38" t="s">
        <v>1901</v>
      </c>
      <c r="N737" s="36" t="s">
        <v>1811</v>
      </c>
      <c r="O737" s="6" t="s">
        <v>33</v>
      </c>
      <c r="P737" s="7">
        <v>5</v>
      </c>
      <c r="Q737" s="7" t="s">
        <v>34</v>
      </c>
      <c r="R737" s="8"/>
      <c r="S737" s="8"/>
      <c r="T737" s="7" t="s">
        <v>35</v>
      </c>
      <c r="U737" s="36" t="s">
        <v>35</v>
      </c>
      <c r="V737" s="38"/>
      <c r="W737" s="36"/>
      <c r="X737" s="36"/>
      <c r="Y737" s="36"/>
      <c r="Z737" s="41"/>
      <c r="AA737" s="42" t="e">
        <f>_xlfn.XLOOKUP(C737,#REF!,#REF!,"",0,1)</f>
        <v>#REF!</v>
      </c>
      <c r="AB737" s="43">
        <f t="shared" si="31"/>
        <v>0</v>
      </c>
    </row>
    <row r="738" spans="1:28" ht="143.5" thickBot="1" x14ac:dyDescent="0.3">
      <c r="A738" s="36">
        <v>737</v>
      </c>
      <c r="B738" s="36" t="s">
        <v>24</v>
      </c>
      <c r="C738" s="36" t="s">
        <v>1645</v>
      </c>
      <c r="D738" s="37">
        <v>46014</v>
      </c>
      <c r="E738" s="36" t="s">
        <v>1646</v>
      </c>
      <c r="F738" s="36" t="s">
        <v>1844</v>
      </c>
      <c r="G738" s="36" t="s">
        <v>42</v>
      </c>
      <c r="H738" s="36" t="s">
        <v>1902</v>
      </c>
      <c r="I738" s="36" t="s">
        <v>44</v>
      </c>
      <c r="J738" s="36" t="str">
        <f t="shared" si="30"/>
        <v>Medical Education and DrugsMedical Education EstablishmentB (Gazetted)Clinical PsychologistS15 (41800 - 132300)</v>
      </c>
      <c r="K738" s="36" t="s">
        <v>1033</v>
      </c>
      <c r="L738" s="36" t="s">
        <v>247</v>
      </c>
      <c r="M738" s="38" t="s">
        <v>1903</v>
      </c>
      <c r="N738" s="36" t="s">
        <v>41</v>
      </c>
      <c r="O738" s="6" t="s">
        <v>33</v>
      </c>
      <c r="P738" s="7">
        <v>21</v>
      </c>
      <c r="Q738" s="7" t="s">
        <v>34</v>
      </c>
      <c r="R738" s="8"/>
      <c r="S738" s="8"/>
      <c r="T738" s="7" t="s">
        <v>35</v>
      </c>
      <c r="U738" s="36" t="s">
        <v>35</v>
      </c>
      <c r="V738" s="38"/>
      <c r="W738" s="36"/>
      <c r="X738" s="36"/>
      <c r="Y738" s="36"/>
      <c r="Z738" s="41"/>
      <c r="AA738" s="42" t="e">
        <f>_xlfn.XLOOKUP(C738,#REF!,#REF!,"",0,1)</f>
        <v>#REF!</v>
      </c>
      <c r="AB738" s="43">
        <f t="shared" si="31"/>
        <v>0</v>
      </c>
    </row>
    <row r="739" spans="1:28" ht="156.5" thickBot="1" x14ac:dyDescent="0.3">
      <c r="A739" s="36">
        <v>738</v>
      </c>
      <c r="B739" s="36" t="s">
        <v>24</v>
      </c>
      <c r="C739" s="36" t="s">
        <v>1645</v>
      </c>
      <c r="D739" s="37">
        <v>46014</v>
      </c>
      <c r="E739" s="36" t="s">
        <v>1646</v>
      </c>
      <c r="F739" s="36" t="s">
        <v>1844</v>
      </c>
      <c r="G739" s="36" t="s">
        <v>42</v>
      </c>
      <c r="H739" s="36" t="s">
        <v>1904</v>
      </c>
      <c r="I739" s="36" t="s">
        <v>44</v>
      </c>
      <c r="J739" s="36" t="str">
        <f t="shared" si="30"/>
        <v>Medical Education and DrugsMedical Education EstablishmentB (Gazetted)सांख्यिकी नि अधिव्याख्याता / StatisticianS15 (41800 - 132300)</v>
      </c>
      <c r="K739" s="36" t="s">
        <v>455</v>
      </c>
      <c r="L739" s="36" t="s">
        <v>247</v>
      </c>
      <c r="M739" s="38" t="s">
        <v>1905</v>
      </c>
      <c r="N739" s="36" t="s">
        <v>41</v>
      </c>
      <c r="O739" s="6" t="s">
        <v>83</v>
      </c>
      <c r="P739" s="7">
        <v>27</v>
      </c>
      <c r="Q739" s="7" t="s">
        <v>34</v>
      </c>
      <c r="R739" s="8"/>
      <c r="S739" s="8"/>
      <c r="T739" s="7" t="s">
        <v>35</v>
      </c>
      <c r="U739" s="36" t="s">
        <v>35</v>
      </c>
      <c r="V739" s="38"/>
      <c r="W739" s="36"/>
      <c r="X739" s="36"/>
      <c r="Y739" s="36"/>
      <c r="Z739" s="41"/>
      <c r="AA739" s="42" t="e">
        <f>_xlfn.XLOOKUP(C739,#REF!,#REF!,"",0,1)</f>
        <v>#REF!</v>
      </c>
      <c r="AB739" s="43">
        <f t="shared" si="31"/>
        <v>0</v>
      </c>
    </row>
    <row r="740" spans="1:28" ht="130.5" thickBot="1" x14ac:dyDescent="0.3">
      <c r="A740" s="36">
        <v>739</v>
      </c>
      <c r="B740" s="36" t="s">
        <v>24</v>
      </c>
      <c r="C740" s="36" t="s">
        <v>1645</v>
      </c>
      <c r="D740" s="37">
        <v>46014</v>
      </c>
      <c r="E740" s="36" t="s">
        <v>1646</v>
      </c>
      <c r="F740" s="36" t="s">
        <v>1844</v>
      </c>
      <c r="G740" s="36" t="s">
        <v>42</v>
      </c>
      <c r="H740" s="40" t="s">
        <v>1906</v>
      </c>
      <c r="I740" s="36" t="s">
        <v>54</v>
      </c>
      <c r="J740" s="36" t="str">
        <f t="shared" si="30"/>
        <v>Medical Education and DrugsMedical Education EstablishmentB (Gazetted)विधी अधिकारी/ Law OfficerS16 (44900 - 142400)</v>
      </c>
      <c r="K740" s="36" t="s">
        <v>408</v>
      </c>
      <c r="L740" s="36" t="s">
        <v>247</v>
      </c>
      <c r="M740" s="38" t="s">
        <v>1907</v>
      </c>
      <c r="N740" s="36" t="s">
        <v>410</v>
      </c>
      <c r="O740" s="6" t="s">
        <v>33</v>
      </c>
      <c r="P740" s="8"/>
      <c r="Q740" s="7" t="s">
        <v>34</v>
      </c>
      <c r="R740" s="8"/>
      <c r="S740" s="8"/>
      <c r="T740" s="7" t="s">
        <v>35</v>
      </c>
      <c r="U740" s="36" t="s">
        <v>35</v>
      </c>
      <c r="V740" s="38"/>
      <c r="W740" s="36"/>
      <c r="X740" s="36"/>
      <c r="Y740" s="36"/>
      <c r="Z740" s="41"/>
      <c r="AA740" s="42" t="e">
        <f>_xlfn.XLOOKUP(C740,#REF!,#REF!,"",0,1)</f>
        <v>#REF!</v>
      </c>
      <c r="AB740" s="43">
        <f t="shared" si="31"/>
        <v>0</v>
      </c>
    </row>
    <row r="741" spans="1:28" ht="156.5" thickBot="1" x14ac:dyDescent="0.3">
      <c r="A741" s="36">
        <v>740</v>
      </c>
      <c r="B741" s="36" t="s">
        <v>24</v>
      </c>
      <c r="C741" s="36" t="s">
        <v>1645</v>
      </c>
      <c r="D741" s="37">
        <v>46014</v>
      </c>
      <c r="E741" s="36" t="s">
        <v>1646</v>
      </c>
      <c r="F741" s="36" t="s">
        <v>1844</v>
      </c>
      <c r="G741" s="36" t="s">
        <v>42</v>
      </c>
      <c r="H741" s="40" t="s">
        <v>1908</v>
      </c>
      <c r="I741" s="36" t="s">
        <v>372</v>
      </c>
      <c r="J741" s="36" t="str">
        <f t="shared" si="30"/>
        <v>Medical Education and DrugsMedical Education EstablishmentB (Gazetted)अधिसेविका वर्ग 2 श्रेणी 2 /Metron Claas IIS17 (47600 - 151100)</v>
      </c>
      <c r="K741" s="36"/>
      <c r="L741" s="36" t="s">
        <v>243</v>
      </c>
      <c r="M741" s="38" t="s">
        <v>1909</v>
      </c>
      <c r="N741" s="36" t="s">
        <v>32</v>
      </c>
      <c r="O741" s="6" t="s">
        <v>33</v>
      </c>
      <c r="P741" s="8"/>
      <c r="Q741" s="7" t="s">
        <v>34</v>
      </c>
      <c r="R741" s="8"/>
      <c r="S741" s="8"/>
      <c r="T741" s="4" t="s">
        <v>3276</v>
      </c>
      <c r="U741" s="36" t="s">
        <v>35</v>
      </c>
      <c r="V741" s="38"/>
      <c r="W741" s="36"/>
      <c r="X741" s="36"/>
      <c r="Y741" s="36"/>
      <c r="Z741" s="41"/>
      <c r="AA741" s="42" t="e">
        <f>_xlfn.XLOOKUP(C741,#REF!,#REF!,"",0,1)</f>
        <v>#REF!</v>
      </c>
      <c r="AB741" s="43">
        <f t="shared" si="31"/>
        <v>0</v>
      </c>
    </row>
    <row r="742" spans="1:28" ht="182.5" thickBot="1" x14ac:dyDescent="0.3">
      <c r="A742" s="36">
        <v>741</v>
      </c>
      <c r="B742" s="36" t="s">
        <v>24</v>
      </c>
      <c r="C742" s="36" t="s">
        <v>1645</v>
      </c>
      <c r="D742" s="37">
        <v>46014</v>
      </c>
      <c r="E742" s="36" t="s">
        <v>1646</v>
      </c>
      <c r="F742" s="36" t="s">
        <v>1844</v>
      </c>
      <c r="G742" s="36" t="s">
        <v>42</v>
      </c>
      <c r="H742" s="36" t="s">
        <v>1910</v>
      </c>
      <c r="I742" s="36" t="s">
        <v>38</v>
      </c>
      <c r="J742" s="36" t="str">
        <f t="shared" si="30"/>
        <v>Medical Education and DrugsMedical Education EstablishmentB (Gazetted)रेडीऐशन सेफटी अधिकारी / Raidiation Safety OfficerS20 (56100 - 177500)</v>
      </c>
      <c r="K742" s="36"/>
      <c r="L742" s="36" t="s">
        <v>243</v>
      </c>
      <c r="M742" s="38" t="s">
        <v>1911</v>
      </c>
      <c r="N742" s="36" t="s">
        <v>32</v>
      </c>
      <c r="O742" s="6" t="s">
        <v>83</v>
      </c>
      <c r="P742" s="7">
        <v>0</v>
      </c>
      <c r="Q742" s="7" t="s">
        <v>34</v>
      </c>
      <c r="R742" s="8"/>
      <c r="S742" s="8"/>
      <c r="T742" s="4" t="s">
        <v>3276</v>
      </c>
      <c r="U742" s="36" t="s">
        <v>35</v>
      </c>
      <c r="V742" s="38"/>
      <c r="W742" s="36"/>
      <c r="X742" s="36"/>
      <c r="Y742" s="36"/>
      <c r="Z742" s="41"/>
      <c r="AA742" s="42" t="e">
        <f>_xlfn.XLOOKUP(C742,#REF!,#REF!,"",0,1)</f>
        <v>#REF!</v>
      </c>
      <c r="AB742" s="43">
        <f t="shared" si="31"/>
        <v>0</v>
      </c>
    </row>
    <row r="743" spans="1:28" ht="143.5" thickBot="1" x14ac:dyDescent="0.3">
      <c r="A743" s="36">
        <v>742</v>
      </c>
      <c r="B743" s="36" t="s">
        <v>24</v>
      </c>
      <c r="C743" s="36" t="s">
        <v>1645</v>
      </c>
      <c r="D743" s="37">
        <v>46014</v>
      </c>
      <c r="E743" s="36" t="s">
        <v>1646</v>
      </c>
      <c r="F743" s="36" t="s">
        <v>1844</v>
      </c>
      <c r="G743" s="36" t="s">
        <v>42</v>
      </c>
      <c r="H743" s="36" t="s">
        <v>1912</v>
      </c>
      <c r="I743" s="36" t="s">
        <v>38</v>
      </c>
      <c r="J743" s="36" t="str">
        <f t="shared" si="30"/>
        <v>Medical Education and DrugsMedical Education EstablishmentB (Gazetted)दंत शल्यचिकित्सक / Dental SurgeonS20 (56100 - 177500)</v>
      </c>
      <c r="K743" s="36" t="s">
        <v>1913</v>
      </c>
      <c r="L743" s="36" t="s">
        <v>247</v>
      </c>
      <c r="M743" s="38" t="s">
        <v>1914</v>
      </c>
      <c r="N743" s="36"/>
      <c r="O743" s="6" t="s">
        <v>33</v>
      </c>
      <c r="P743" s="7">
        <v>24</v>
      </c>
      <c r="Q743" s="7" t="s">
        <v>34</v>
      </c>
      <c r="R743" s="8"/>
      <c r="S743" s="8"/>
      <c r="T743" s="7" t="s">
        <v>35</v>
      </c>
      <c r="U743" s="36" t="s">
        <v>35</v>
      </c>
      <c r="V743" s="38"/>
      <c r="W743" s="36"/>
      <c r="X743" s="36"/>
      <c r="Y743" s="36"/>
      <c r="Z743" s="41"/>
      <c r="AA743" s="42" t="e">
        <f>_xlfn.XLOOKUP(C743,#REF!,#REF!,"",0,1)</f>
        <v>#REF!</v>
      </c>
      <c r="AB743" s="43">
        <f t="shared" si="31"/>
        <v>0</v>
      </c>
    </row>
    <row r="744" spans="1:28" ht="156.5" thickBot="1" x14ac:dyDescent="0.3">
      <c r="A744" s="36">
        <v>743</v>
      </c>
      <c r="B744" s="36" t="s">
        <v>24</v>
      </c>
      <c r="C744" s="36" t="s">
        <v>1645</v>
      </c>
      <c r="D744" s="37">
        <v>46014</v>
      </c>
      <c r="E744" s="36" t="s">
        <v>1646</v>
      </c>
      <c r="F744" s="36" t="s">
        <v>1844</v>
      </c>
      <c r="G744" s="36" t="s">
        <v>42</v>
      </c>
      <c r="H744" s="36" t="s">
        <v>1915</v>
      </c>
      <c r="I744" s="36" t="s">
        <v>38</v>
      </c>
      <c r="J744" s="36" t="str">
        <f t="shared" si="30"/>
        <v>Medical Education and DrugsMedical Education EstablishmentB (Gazetted)वैद्यकीय अधिकारी / Medical OfficerS20 (56100 - 177500)</v>
      </c>
      <c r="K744" s="36" t="s">
        <v>1702</v>
      </c>
      <c r="L744" s="36" t="s">
        <v>247</v>
      </c>
      <c r="M744" s="38" t="s">
        <v>1916</v>
      </c>
      <c r="N744" s="36" t="s">
        <v>1704</v>
      </c>
      <c r="O744" s="6" t="s">
        <v>33</v>
      </c>
      <c r="P744" s="7">
        <v>297</v>
      </c>
      <c r="Q744" s="7" t="s">
        <v>100</v>
      </c>
      <c r="R744" s="7">
        <v>297</v>
      </c>
      <c r="S744" s="8"/>
      <c r="T744" s="7" t="s">
        <v>61</v>
      </c>
      <c r="U744" s="36" t="s">
        <v>35</v>
      </c>
      <c r="V744" s="38"/>
      <c r="W744" s="36"/>
      <c r="X744" s="36"/>
      <c r="Y744" s="36"/>
      <c r="Z744" s="41"/>
      <c r="AA744" s="42" t="e">
        <f>_xlfn.XLOOKUP(C744,#REF!,#REF!,"",0,1)</f>
        <v>#REF!</v>
      </c>
      <c r="AB744" s="43">
        <f t="shared" si="31"/>
        <v>0</v>
      </c>
    </row>
    <row r="745" spans="1:28" ht="104.5" thickBot="1" x14ac:dyDescent="0.3">
      <c r="A745" s="36">
        <v>744</v>
      </c>
      <c r="B745" s="36" t="s">
        <v>24</v>
      </c>
      <c r="C745" s="36" t="s">
        <v>1645</v>
      </c>
      <c r="D745" s="37">
        <v>46014</v>
      </c>
      <c r="E745" s="36" t="s">
        <v>1646</v>
      </c>
      <c r="F745" s="36" t="s">
        <v>1844</v>
      </c>
      <c r="G745" s="36" t="s">
        <v>55</v>
      </c>
      <c r="H745" s="36" t="s">
        <v>1917</v>
      </c>
      <c r="I745" s="36" t="s">
        <v>276</v>
      </c>
      <c r="J745" s="36" t="str">
        <f t="shared" si="30"/>
        <v>Medical Education and DrugsMedical Education EstablishmentCऔषधनिर्माता / PhramacistS10 (29200 - 92300)</v>
      </c>
      <c r="K745" s="36" t="s">
        <v>377</v>
      </c>
      <c r="L745" s="36" t="s">
        <v>225</v>
      </c>
      <c r="M745" s="38" t="s">
        <v>1918</v>
      </c>
      <c r="N745" s="36" t="s">
        <v>41</v>
      </c>
      <c r="O745" s="6" t="s">
        <v>33</v>
      </c>
      <c r="P745" s="7">
        <v>3</v>
      </c>
      <c r="Q745" s="7" t="s">
        <v>34</v>
      </c>
      <c r="R745" s="8"/>
      <c r="S745" s="8"/>
      <c r="T745" s="7" t="s">
        <v>35</v>
      </c>
      <c r="U745" s="36" t="s">
        <v>35</v>
      </c>
      <c r="V745" s="38" t="s">
        <v>1919</v>
      </c>
      <c r="W745" s="36"/>
      <c r="X745" s="36" t="s">
        <v>1920</v>
      </c>
      <c r="Y745" s="36" t="s">
        <v>1921</v>
      </c>
      <c r="Z745" s="41"/>
      <c r="AA745" s="42" t="e">
        <f>_xlfn.XLOOKUP(C745,#REF!,#REF!,"",0,1)</f>
        <v>#REF!</v>
      </c>
      <c r="AB745" s="43">
        <f t="shared" si="31"/>
        <v>0</v>
      </c>
    </row>
    <row r="746" spans="1:28" ht="117.5" thickBot="1" x14ac:dyDescent="0.3">
      <c r="A746" s="36">
        <v>745</v>
      </c>
      <c r="B746" s="36" t="s">
        <v>24</v>
      </c>
      <c r="C746" s="36" t="s">
        <v>1645</v>
      </c>
      <c r="D746" s="37">
        <v>46014</v>
      </c>
      <c r="E746" s="36" t="s">
        <v>1646</v>
      </c>
      <c r="F746" s="36" t="s">
        <v>1844</v>
      </c>
      <c r="G746" s="36" t="s">
        <v>55</v>
      </c>
      <c r="H746" s="36" t="s">
        <v>1922</v>
      </c>
      <c r="I746" s="36" t="s">
        <v>276</v>
      </c>
      <c r="J746" s="36" t="str">
        <f t="shared" si="30"/>
        <v>Medical Education and DrugsMedical Education EstablishmentCदंत तंत्रज्ञ / Dental TechnicianS10 (29200 - 92300)</v>
      </c>
      <c r="K746" s="36" t="s">
        <v>1923</v>
      </c>
      <c r="L746" s="36" t="s">
        <v>225</v>
      </c>
      <c r="M746" s="38" t="s">
        <v>1924</v>
      </c>
      <c r="N746" s="36" t="s">
        <v>41</v>
      </c>
      <c r="O746" s="6" t="s">
        <v>83</v>
      </c>
      <c r="P746" s="7">
        <v>0</v>
      </c>
      <c r="Q746" s="7" t="s">
        <v>34</v>
      </c>
      <c r="R746" s="8"/>
      <c r="S746" s="8"/>
      <c r="T746" s="7" t="s">
        <v>2395</v>
      </c>
      <c r="U746" s="36" t="s">
        <v>35</v>
      </c>
      <c r="V746" s="38" t="s">
        <v>1924</v>
      </c>
      <c r="W746" s="36"/>
      <c r="X746" s="36" t="s">
        <v>150</v>
      </c>
      <c r="Y746" s="36" t="s">
        <v>150</v>
      </c>
      <c r="Z746" s="41"/>
      <c r="AA746" s="42" t="e">
        <f>_xlfn.XLOOKUP(C746,#REF!,#REF!,"",0,1)</f>
        <v>#REF!</v>
      </c>
      <c r="AB746" s="43">
        <f t="shared" si="31"/>
        <v>0</v>
      </c>
    </row>
    <row r="747" spans="1:28" ht="130.5" thickBot="1" x14ac:dyDescent="0.3">
      <c r="A747" s="36">
        <v>746</v>
      </c>
      <c r="B747" s="36" t="s">
        <v>24</v>
      </c>
      <c r="C747" s="36" t="s">
        <v>1645</v>
      </c>
      <c r="D747" s="37">
        <v>46014</v>
      </c>
      <c r="E747" s="36" t="s">
        <v>1646</v>
      </c>
      <c r="F747" s="36" t="s">
        <v>1844</v>
      </c>
      <c r="G747" s="36" t="s">
        <v>55</v>
      </c>
      <c r="H747" s="36" t="s">
        <v>1925</v>
      </c>
      <c r="I747" s="36" t="s">
        <v>276</v>
      </c>
      <c r="J747" s="36" t="str">
        <f t="shared" si="30"/>
        <v>Medical Education and DrugsMedical Education EstablishmentCसहायक ग्रंथपाल / Assistant Librarian (Grade I)S10 (29200 - 92300)</v>
      </c>
      <c r="K747" s="36" t="s">
        <v>170</v>
      </c>
      <c r="L747" s="36" t="s">
        <v>228</v>
      </c>
      <c r="M747" s="38" t="s">
        <v>1926</v>
      </c>
      <c r="N747" s="36" t="s">
        <v>172</v>
      </c>
      <c r="O747" s="6" t="s">
        <v>33</v>
      </c>
      <c r="P747" s="7">
        <v>0</v>
      </c>
      <c r="Q747" s="7" t="s">
        <v>34</v>
      </c>
      <c r="R747" s="8"/>
      <c r="S747" s="8"/>
      <c r="T747" s="7" t="s">
        <v>2395</v>
      </c>
      <c r="U747" s="36" t="s">
        <v>35</v>
      </c>
      <c r="V747" s="38" t="s">
        <v>1926</v>
      </c>
      <c r="W747" s="36"/>
      <c r="X747" s="36" t="s">
        <v>150</v>
      </c>
      <c r="Y747" s="36" t="s">
        <v>150</v>
      </c>
      <c r="Z747" s="41"/>
      <c r="AA747" s="42" t="e">
        <f>_xlfn.XLOOKUP(C747,#REF!,#REF!,"",0,1)</f>
        <v>#REF!</v>
      </c>
      <c r="AB747" s="43">
        <f t="shared" si="31"/>
        <v>0</v>
      </c>
    </row>
    <row r="748" spans="1:28" ht="182.5" thickBot="1" x14ac:dyDescent="0.3">
      <c r="A748" s="36">
        <v>747</v>
      </c>
      <c r="B748" s="36" t="s">
        <v>24</v>
      </c>
      <c r="C748" s="36" t="s">
        <v>1645</v>
      </c>
      <c r="D748" s="37">
        <v>46014</v>
      </c>
      <c r="E748" s="36" t="s">
        <v>1646</v>
      </c>
      <c r="F748" s="36" t="s">
        <v>1844</v>
      </c>
      <c r="G748" s="36" t="s">
        <v>55</v>
      </c>
      <c r="H748" s="36" t="s">
        <v>1927</v>
      </c>
      <c r="I748" s="36" t="s">
        <v>276</v>
      </c>
      <c r="J748" s="36" t="str">
        <f t="shared" si="30"/>
        <v>Medical Education and DrugsMedical Education EstablishmentCकलाकार/चित्रकार/ छायाचित्रकार नि कलाकार / PhotoGrapher &amp; ArtistS10 (29200 - 92300)</v>
      </c>
      <c r="K748" s="36" t="s">
        <v>657</v>
      </c>
      <c r="L748" s="36" t="s">
        <v>225</v>
      </c>
      <c r="M748" s="38" t="s">
        <v>1928</v>
      </c>
      <c r="N748" s="36" t="s">
        <v>659</v>
      </c>
      <c r="O748" s="6" t="s">
        <v>33</v>
      </c>
      <c r="P748" s="7">
        <v>21</v>
      </c>
      <c r="Q748" s="7" t="s">
        <v>34</v>
      </c>
      <c r="R748" s="8"/>
      <c r="S748" s="8"/>
      <c r="T748" s="7" t="s">
        <v>35</v>
      </c>
      <c r="U748" s="36" t="s">
        <v>35</v>
      </c>
      <c r="V748" s="38" t="s">
        <v>1929</v>
      </c>
      <c r="W748" s="36"/>
      <c r="X748" s="36" t="s">
        <v>1930</v>
      </c>
      <c r="Y748" s="36" t="s">
        <v>1931</v>
      </c>
      <c r="Z748" s="41"/>
      <c r="AA748" s="42" t="e">
        <f>_xlfn.XLOOKUP(C748,#REF!,#REF!,"",0,1)</f>
        <v>#REF!</v>
      </c>
      <c r="AB748" s="43">
        <f t="shared" si="31"/>
        <v>0</v>
      </c>
    </row>
    <row r="749" spans="1:28" ht="169.5" thickBot="1" x14ac:dyDescent="0.3">
      <c r="A749" s="36">
        <v>748</v>
      </c>
      <c r="B749" s="36" t="s">
        <v>24</v>
      </c>
      <c r="C749" s="36" t="s">
        <v>1645</v>
      </c>
      <c r="D749" s="37">
        <v>46014</v>
      </c>
      <c r="E749" s="36" t="s">
        <v>1646</v>
      </c>
      <c r="F749" s="36" t="s">
        <v>1844</v>
      </c>
      <c r="G749" s="36" t="s">
        <v>55</v>
      </c>
      <c r="H749" s="36" t="s">
        <v>1932</v>
      </c>
      <c r="I749" s="36" t="s">
        <v>276</v>
      </c>
      <c r="J749" s="36" t="str">
        <f t="shared" si="30"/>
        <v>Medical Education and DrugsMedical Education EstablishmentCमहिला अधिक्षिका/वॉर्डन/वसतीगृह अधिक्षिका/स्त्री अधिक्षिका / Lady WardenS10 (29200 - 92300)</v>
      </c>
      <c r="K749" s="36" t="s">
        <v>1933</v>
      </c>
      <c r="L749" s="36" t="s">
        <v>228</v>
      </c>
      <c r="M749" s="38" t="s">
        <v>1934</v>
      </c>
      <c r="N749" s="36" t="s">
        <v>199</v>
      </c>
      <c r="O749" s="9"/>
      <c r="P749" s="7">
        <v>4</v>
      </c>
      <c r="Q749" s="7" t="s">
        <v>34</v>
      </c>
      <c r="R749" s="8"/>
      <c r="S749" s="8"/>
      <c r="T749" s="7" t="s">
        <v>35</v>
      </c>
      <c r="U749" s="36" t="s">
        <v>35</v>
      </c>
      <c r="V749" s="38" t="s">
        <v>1935</v>
      </c>
      <c r="W749" s="36"/>
      <c r="X749" s="36" t="s">
        <v>1936</v>
      </c>
      <c r="Y749" s="36" t="s">
        <v>1937</v>
      </c>
      <c r="Z749" s="41"/>
      <c r="AA749" s="42" t="e">
        <f>_xlfn.XLOOKUP(C749,#REF!,#REF!,"",0,1)</f>
        <v>#REF!</v>
      </c>
      <c r="AB749" s="43">
        <f t="shared" si="31"/>
        <v>0</v>
      </c>
    </row>
    <row r="750" spans="1:28" ht="130.5" thickBot="1" x14ac:dyDescent="0.3">
      <c r="A750" s="36">
        <v>749</v>
      </c>
      <c r="B750" s="36" t="s">
        <v>24</v>
      </c>
      <c r="C750" s="36" t="s">
        <v>1645</v>
      </c>
      <c r="D750" s="37">
        <v>46014</v>
      </c>
      <c r="E750" s="36" t="s">
        <v>1646</v>
      </c>
      <c r="F750" s="36" t="s">
        <v>1844</v>
      </c>
      <c r="G750" s="36" t="s">
        <v>55</v>
      </c>
      <c r="H750" s="36" t="s">
        <v>1938</v>
      </c>
      <c r="I750" s="36" t="s">
        <v>276</v>
      </c>
      <c r="J750" s="36" t="str">
        <f t="shared" si="30"/>
        <v>Medical Education and DrugsMedical Education EstablishmentCनेत्रकिचकिस्ता सहाय्यक / Opthalmic AssistantS10 (29200 - 92300)</v>
      </c>
      <c r="K750" s="36"/>
      <c r="L750" s="36" t="s">
        <v>238</v>
      </c>
      <c r="M750" s="38" t="s">
        <v>1939</v>
      </c>
      <c r="N750" s="36" t="s">
        <v>283</v>
      </c>
      <c r="O750" s="6" t="s">
        <v>33</v>
      </c>
      <c r="P750" s="7">
        <v>0</v>
      </c>
      <c r="Q750" s="7" t="s">
        <v>34</v>
      </c>
      <c r="R750" s="8"/>
      <c r="S750" s="8"/>
      <c r="T750" s="7" t="s">
        <v>2395</v>
      </c>
      <c r="U750" s="36" t="s">
        <v>35</v>
      </c>
      <c r="V750" s="38"/>
      <c r="W750" s="36"/>
      <c r="X750" s="36"/>
      <c r="Y750" s="36"/>
      <c r="Z750" s="41"/>
      <c r="AA750" s="42" t="e">
        <f>_xlfn.XLOOKUP(C750,#REF!,#REF!,"",0,1)</f>
        <v>#REF!</v>
      </c>
      <c r="AB750" s="43">
        <f t="shared" si="31"/>
        <v>0</v>
      </c>
    </row>
    <row r="751" spans="1:28" ht="143.5" thickBot="1" x14ac:dyDescent="0.3">
      <c r="A751" s="36">
        <v>750</v>
      </c>
      <c r="B751" s="36" t="s">
        <v>24</v>
      </c>
      <c r="C751" s="36" t="s">
        <v>1645</v>
      </c>
      <c r="D751" s="37">
        <v>46014</v>
      </c>
      <c r="E751" s="36" t="s">
        <v>1646</v>
      </c>
      <c r="F751" s="36" t="s">
        <v>1844</v>
      </c>
      <c r="G751" s="36" t="s">
        <v>55</v>
      </c>
      <c r="H751" s="36" t="s">
        <v>1940</v>
      </c>
      <c r="I751" s="36" t="s">
        <v>57</v>
      </c>
      <c r="J751" s="36" t="str">
        <f t="shared" si="30"/>
        <v>Medical Education and DrugsMedical Education EstablishmentCसांख्यिकी सहायक / Statistical AssistantS13 (35400 - 112400)</v>
      </c>
      <c r="K751" s="36" t="s">
        <v>115</v>
      </c>
      <c r="L751" s="36" t="s">
        <v>225</v>
      </c>
      <c r="M751" s="38" t="s">
        <v>1941</v>
      </c>
      <c r="N751" s="36" t="s">
        <v>179</v>
      </c>
      <c r="O751" s="6" t="s">
        <v>33</v>
      </c>
      <c r="P751" s="7">
        <v>5</v>
      </c>
      <c r="Q751" s="7" t="s">
        <v>34</v>
      </c>
      <c r="R751" s="8"/>
      <c r="S751" s="8"/>
      <c r="T751" s="7" t="s">
        <v>35</v>
      </c>
      <c r="U751" s="36" t="s">
        <v>35</v>
      </c>
      <c r="V751" s="38" t="s">
        <v>1942</v>
      </c>
      <c r="W751" s="36"/>
      <c r="X751" s="36" t="s">
        <v>1943</v>
      </c>
      <c r="Y751" s="36" t="s">
        <v>1944</v>
      </c>
      <c r="Z751" s="41"/>
      <c r="AA751" s="42" t="e">
        <f>_xlfn.XLOOKUP(C751,#REF!,#REF!,"",0,1)</f>
        <v>#REF!</v>
      </c>
      <c r="AB751" s="43">
        <f t="shared" si="31"/>
        <v>0</v>
      </c>
    </row>
    <row r="752" spans="1:28" ht="169.5" thickBot="1" x14ac:dyDescent="0.3">
      <c r="A752" s="36">
        <v>751</v>
      </c>
      <c r="B752" s="36" t="s">
        <v>24</v>
      </c>
      <c r="C752" s="36" t="s">
        <v>1645</v>
      </c>
      <c r="D752" s="37">
        <v>46014</v>
      </c>
      <c r="E752" s="36" t="s">
        <v>1646</v>
      </c>
      <c r="F752" s="36" t="s">
        <v>1844</v>
      </c>
      <c r="G752" s="36" t="s">
        <v>55</v>
      </c>
      <c r="H752" s="36" t="s">
        <v>1945</v>
      </c>
      <c r="I752" s="36" t="s">
        <v>57</v>
      </c>
      <c r="J752" s="36" t="str">
        <f t="shared" si="30"/>
        <v>Medical Education and DrugsMedical Education EstablishmentCक्ष किरण तंत्रज्ञ / X- Ray TechnicianS13 (35400 - 112400)</v>
      </c>
      <c r="K752" s="36" t="s">
        <v>1744</v>
      </c>
      <c r="L752" s="36" t="s">
        <v>225</v>
      </c>
      <c r="M752" s="38" t="s">
        <v>1946</v>
      </c>
      <c r="N752" s="36" t="s">
        <v>1947</v>
      </c>
      <c r="O752" s="6" t="s">
        <v>83</v>
      </c>
      <c r="P752" s="7">
        <v>38</v>
      </c>
      <c r="Q752" s="7" t="s">
        <v>34</v>
      </c>
      <c r="R752" s="8"/>
      <c r="S752" s="8"/>
      <c r="T752" s="7" t="s">
        <v>35</v>
      </c>
      <c r="U752" s="36" t="s">
        <v>35</v>
      </c>
      <c r="V752" s="38" t="s">
        <v>1948</v>
      </c>
      <c r="W752" s="36"/>
      <c r="X752" s="36" t="s">
        <v>1949</v>
      </c>
      <c r="Y752" s="36" t="s">
        <v>1950</v>
      </c>
      <c r="Z752" s="41"/>
      <c r="AA752" s="42" t="e">
        <f>_xlfn.XLOOKUP(C752,#REF!,#REF!,"",0,1)</f>
        <v>#REF!</v>
      </c>
      <c r="AB752" s="43">
        <f t="shared" si="31"/>
        <v>0</v>
      </c>
    </row>
    <row r="753" spans="1:28" ht="156.5" thickBot="1" x14ac:dyDescent="0.3">
      <c r="A753" s="36">
        <v>752</v>
      </c>
      <c r="B753" s="36" t="s">
        <v>24</v>
      </c>
      <c r="C753" s="36" t="s">
        <v>1645</v>
      </c>
      <c r="D753" s="37">
        <v>46014</v>
      </c>
      <c r="E753" s="36" t="s">
        <v>1646</v>
      </c>
      <c r="F753" s="36" t="s">
        <v>1844</v>
      </c>
      <c r="G753" s="36" t="s">
        <v>55</v>
      </c>
      <c r="H753" s="36" t="s">
        <v>1951</v>
      </c>
      <c r="I753" s="36" t="s">
        <v>57</v>
      </c>
      <c r="J753" s="36" t="str">
        <f t="shared" si="30"/>
        <v>Medical Education and DrugsMedical Education EstablishmentCएम आर आय तंत्रज्ञ / M R I TechnicianS13 (35400 - 112400)</v>
      </c>
      <c r="K753" s="36" t="s">
        <v>1744</v>
      </c>
      <c r="L753" s="36" t="s">
        <v>225</v>
      </c>
      <c r="M753" s="38" t="s">
        <v>1952</v>
      </c>
      <c r="N753" s="36" t="s">
        <v>1947</v>
      </c>
      <c r="O753" s="6" t="s">
        <v>33</v>
      </c>
      <c r="P753" s="7">
        <v>2</v>
      </c>
      <c r="Q753" s="7" t="s">
        <v>34</v>
      </c>
      <c r="R753" s="8"/>
      <c r="S753" s="8"/>
      <c r="T753" s="7" t="s">
        <v>35</v>
      </c>
      <c r="U753" s="36" t="s">
        <v>35</v>
      </c>
      <c r="V753" s="38" t="s">
        <v>1952</v>
      </c>
      <c r="W753" s="36"/>
      <c r="X753" s="36" t="s">
        <v>150</v>
      </c>
      <c r="Y753" s="36" t="s">
        <v>150</v>
      </c>
      <c r="Z753" s="41"/>
      <c r="AA753" s="42" t="e">
        <f>_xlfn.XLOOKUP(C753,#REF!,#REF!,"",0,1)</f>
        <v>#REF!</v>
      </c>
      <c r="AB753" s="43">
        <f t="shared" si="31"/>
        <v>0</v>
      </c>
    </row>
    <row r="754" spans="1:28" ht="130.5" thickBot="1" x14ac:dyDescent="0.3">
      <c r="A754" s="36">
        <v>753</v>
      </c>
      <c r="B754" s="36" t="s">
        <v>24</v>
      </c>
      <c r="C754" s="36" t="s">
        <v>1645</v>
      </c>
      <c r="D754" s="37">
        <v>46014</v>
      </c>
      <c r="E754" s="36" t="s">
        <v>1646</v>
      </c>
      <c r="F754" s="36" t="s">
        <v>1844</v>
      </c>
      <c r="G754" s="36" t="s">
        <v>55</v>
      </c>
      <c r="H754" s="36" t="s">
        <v>1953</v>
      </c>
      <c r="I754" s="36" t="s">
        <v>57</v>
      </c>
      <c r="J754" s="36" t="str">
        <f t="shared" si="30"/>
        <v>Medical Education and DrugsMedical Education EstablishmentCई.सी.जी. तंत्रज्ञ / E C G TechnicianS13 (35400 - 112400)</v>
      </c>
      <c r="K754" s="36" t="s">
        <v>1744</v>
      </c>
      <c r="L754" s="36" t="s">
        <v>225</v>
      </c>
      <c r="M754" s="38" t="s">
        <v>1954</v>
      </c>
      <c r="N754" s="36" t="s">
        <v>41</v>
      </c>
      <c r="O754" s="6" t="s">
        <v>33</v>
      </c>
      <c r="P754" s="7">
        <v>16</v>
      </c>
      <c r="Q754" s="7" t="s">
        <v>34</v>
      </c>
      <c r="R754" s="8"/>
      <c r="S754" s="8"/>
      <c r="T754" s="7" t="s">
        <v>35</v>
      </c>
      <c r="U754" s="36" t="s">
        <v>35</v>
      </c>
      <c r="V754" s="38" t="s">
        <v>1954</v>
      </c>
      <c r="W754" s="36"/>
      <c r="X754" s="36" t="s">
        <v>1955</v>
      </c>
      <c r="Y754" s="36" t="s">
        <v>1950</v>
      </c>
      <c r="Z754" s="41"/>
      <c r="AA754" s="42" t="e">
        <f>_xlfn.XLOOKUP(C754,#REF!,#REF!,"",0,1)</f>
        <v>#REF!</v>
      </c>
      <c r="AB754" s="43">
        <f t="shared" si="31"/>
        <v>0</v>
      </c>
    </row>
    <row r="755" spans="1:28" ht="117.5" thickBot="1" x14ac:dyDescent="0.3">
      <c r="A755" s="36">
        <v>754</v>
      </c>
      <c r="B755" s="36" t="s">
        <v>24</v>
      </c>
      <c r="C755" s="36" t="s">
        <v>1645</v>
      </c>
      <c r="D755" s="37">
        <v>46014</v>
      </c>
      <c r="E755" s="36" t="s">
        <v>1646</v>
      </c>
      <c r="F755" s="36" t="s">
        <v>1844</v>
      </c>
      <c r="G755" s="36" t="s">
        <v>55</v>
      </c>
      <c r="H755" s="36" t="s">
        <v>1956</v>
      </c>
      <c r="I755" s="36" t="s">
        <v>57</v>
      </c>
      <c r="J755" s="36" t="str">
        <f t="shared" si="30"/>
        <v>Medical Education and DrugsMedical Education EstablishmentCकिरणोपचार तंत्रज्ञS13 (35400 - 112400)</v>
      </c>
      <c r="K755" s="36" t="s">
        <v>377</v>
      </c>
      <c r="L755" s="36" t="s">
        <v>225</v>
      </c>
      <c r="M755" s="38" t="s">
        <v>1957</v>
      </c>
      <c r="N755" s="36" t="s">
        <v>41</v>
      </c>
      <c r="O755" s="6" t="s">
        <v>33</v>
      </c>
      <c r="P755" s="7">
        <v>8</v>
      </c>
      <c r="Q755" s="7" t="s">
        <v>34</v>
      </c>
      <c r="R755" s="8"/>
      <c r="S755" s="8"/>
      <c r="T755" s="7" t="s">
        <v>35</v>
      </c>
      <c r="U755" s="36" t="s">
        <v>35</v>
      </c>
      <c r="V755" s="38" t="s">
        <v>1957</v>
      </c>
      <c r="W755" s="36"/>
      <c r="X755" s="36" t="s">
        <v>1949</v>
      </c>
      <c r="Y755" s="36" t="s">
        <v>1950</v>
      </c>
      <c r="Z755" s="41"/>
      <c r="AA755" s="42" t="e">
        <f>_xlfn.XLOOKUP(C755,#REF!,#REF!,"",0,1)</f>
        <v>#REF!</v>
      </c>
      <c r="AB755" s="43">
        <f t="shared" si="31"/>
        <v>0</v>
      </c>
    </row>
    <row r="756" spans="1:28" ht="130.5" thickBot="1" x14ac:dyDescent="0.3">
      <c r="A756" s="36">
        <v>755</v>
      </c>
      <c r="B756" s="36" t="s">
        <v>24</v>
      </c>
      <c r="C756" s="36" t="s">
        <v>1645</v>
      </c>
      <c r="D756" s="37">
        <v>46014</v>
      </c>
      <c r="E756" s="36" t="s">
        <v>1646</v>
      </c>
      <c r="F756" s="36" t="s">
        <v>1844</v>
      </c>
      <c r="G756" s="36" t="s">
        <v>55</v>
      </c>
      <c r="H756" s="36" t="s">
        <v>1958</v>
      </c>
      <c r="I756" s="36" t="s">
        <v>57</v>
      </c>
      <c r="J756" s="36" t="str">
        <f t="shared" si="30"/>
        <v>Medical Education and DrugsMedical Education EstablishmentCडायलिसिस तंत्रज्ञ / Dialysis TechnicianS13 (35400 - 112400)</v>
      </c>
      <c r="K756" s="36" t="s">
        <v>377</v>
      </c>
      <c r="L756" s="36" t="s">
        <v>225</v>
      </c>
      <c r="M756" s="38" t="s">
        <v>1959</v>
      </c>
      <c r="N756" s="36" t="s">
        <v>41</v>
      </c>
      <c r="O756" s="6" t="s">
        <v>83</v>
      </c>
      <c r="P756" s="7">
        <v>4</v>
      </c>
      <c r="Q756" s="7" t="s">
        <v>34</v>
      </c>
      <c r="R756" s="8"/>
      <c r="S756" s="8"/>
      <c r="T756" s="7" t="s">
        <v>35</v>
      </c>
      <c r="U756" s="36" t="s">
        <v>35</v>
      </c>
      <c r="V756" s="38" t="s">
        <v>1960</v>
      </c>
      <c r="W756" s="36"/>
      <c r="X756" s="36" t="s">
        <v>150</v>
      </c>
      <c r="Y756" s="36" t="s">
        <v>150</v>
      </c>
      <c r="Z756" s="41"/>
      <c r="AA756" s="42" t="e">
        <f>_xlfn.XLOOKUP(C756,#REF!,#REF!,"",0,1)</f>
        <v>#REF!</v>
      </c>
      <c r="AB756" s="43">
        <f t="shared" si="31"/>
        <v>0</v>
      </c>
    </row>
    <row r="757" spans="1:28" ht="143.5" thickBot="1" x14ac:dyDescent="0.3">
      <c r="A757" s="36">
        <v>756</v>
      </c>
      <c r="B757" s="36" t="s">
        <v>24</v>
      </c>
      <c r="C757" s="36" t="s">
        <v>1645</v>
      </c>
      <c r="D757" s="37">
        <v>46014</v>
      </c>
      <c r="E757" s="36" t="s">
        <v>1646</v>
      </c>
      <c r="F757" s="36" t="s">
        <v>1844</v>
      </c>
      <c r="G757" s="36" t="s">
        <v>55</v>
      </c>
      <c r="H757" s="36" t="s">
        <v>1961</v>
      </c>
      <c r="I757" s="36" t="s">
        <v>57</v>
      </c>
      <c r="J757" s="36" t="str">
        <f t="shared" si="30"/>
        <v>Medical Education and DrugsMedical Education EstablishmentCप्रयोगशाळा तंत्रज्ञ / Laboratory TechnicianS13 (35400 - 112400)</v>
      </c>
      <c r="K757" s="36" t="s">
        <v>1744</v>
      </c>
      <c r="L757" s="36" t="s">
        <v>225</v>
      </c>
      <c r="M757" s="38" t="s">
        <v>1962</v>
      </c>
      <c r="N757" s="36" t="s">
        <v>41</v>
      </c>
      <c r="O757" s="6" t="s">
        <v>83</v>
      </c>
      <c r="P757" s="7">
        <v>0</v>
      </c>
      <c r="Q757" s="7" t="s">
        <v>34</v>
      </c>
      <c r="R757" s="8"/>
      <c r="S757" s="8"/>
      <c r="T757" s="7" t="s">
        <v>2395</v>
      </c>
      <c r="U757" s="36" t="s">
        <v>35</v>
      </c>
      <c r="V757" s="38" t="s">
        <v>1962</v>
      </c>
      <c r="W757" s="36"/>
      <c r="X757" s="36" t="s">
        <v>1963</v>
      </c>
      <c r="Y757" s="36" t="s">
        <v>1964</v>
      </c>
      <c r="Z757" s="41"/>
      <c r="AA757" s="42" t="e">
        <f>_xlfn.XLOOKUP(C757,#REF!,#REF!,"",0,1)</f>
        <v>#REF!</v>
      </c>
      <c r="AB757" s="43">
        <f t="shared" si="31"/>
        <v>0</v>
      </c>
    </row>
    <row r="758" spans="1:28" ht="143.5" thickBot="1" x14ac:dyDescent="0.3">
      <c r="A758" s="36">
        <v>757</v>
      </c>
      <c r="B758" s="36" t="s">
        <v>24</v>
      </c>
      <c r="C758" s="36" t="s">
        <v>1645</v>
      </c>
      <c r="D758" s="37">
        <v>46014</v>
      </c>
      <c r="E758" s="36" t="s">
        <v>1646</v>
      </c>
      <c r="F758" s="36" t="s">
        <v>1844</v>
      </c>
      <c r="G758" s="36" t="s">
        <v>55</v>
      </c>
      <c r="H758" s="36" t="s">
        <v>1965</v>
      </c>
      <c r="I758" s="36" t="s">
        <v>57</v>
      </c>
      <c r="J758" s="36" t="str">
        <f t="shared" si="30"/>
        <v>Medical Education and DrugsMedical Education EstablishmentCबधिरीकरण तंत्रज्ञ / Anesthesia TechnicianS13 (35400 - 112400)</v>
      </c>
      <c r="K758" s="36" t="s">
        <v>1744</v>
      </c>
      <c r="L758" s="36" t="s">
        <v>225</v>
      </c>
      <c r="M758" s="38" t="s">
        <v>1966</v>
      </c>
      <c r="N758" s="36" t="s">
        <v>41</v>
      </c>
      <c r="O758" s="6" t="s">
        <v>83</v>
      </c>
      <c r="P758" s="7">
        <v>0</v>
      </c>
      <c r="Q758" s="7" t="s">
        <v>34</v>
      </c>
      <c r="R758" s="8"/>
      <c r="S758" s="8"/>
      <c r="T758" s="7" t="s">
        <v>2395</v>
      </c>
      <c r="U758" s="36" t="s">
        <v>35</v>
      </c>
      <c r="V758" s="38" t="s">
        <v>1966</v>
      </c>
      <c r="W758" s="36"/>
      <c r="X758" s="36" t="s">
        <v>1967</v>
      </c>
      <c r="Y758" s="36" t="s">
        <v>1964</v>
      </c>
      <c r="Z758" s="41"/>
      <c r="AA758" s="42" t="e">
        <f>_xlfn.XLOOKUP(C758,#REF!,#REF!,"",0,1)</f>
        <v>#REF!</v>
      </c>
      <c r="AB758" s="43">
        <f t="shared" si="31"/>
        <v>0</v>
      </c>
    </row>
    <row r="759" spans="1:28" ht="130.5" thickBot="1" x14ac:dyDescent="0.3">
      <c r="A759" s="36">
        <v>758</v>
      </c>
      <c r="B759" s="36" t="s">
        <v>24</v>
      </c>
      <c r="C759" s="36" t="s">
        <v>1645</v>
      </c>
      <c r="D759" s="37">
        <v>46014</v>
      </c>
      <c r="E759" s="36" t="s">
        <v>1646</v>
      </c>
      <c r="F759" s="36" t="s">
        <v>1844</v>
      </c>
      <c r="G759" s="36" t="s">
        <v>55</v>
      </c>
      <c r="H759" s="36" t="s">
        <v>1968</v>
      </c>
      <c r="I759" s="36" t="s">
        <v>57</v>
      </c>
      <c r="J759" s="36" t="str">
        <f t="shared" si="30"/>
        <v>Medical Education and DrugsMedical Education EstablishmentCरक्तपेढी तंत्रज्ञ / Blood Bank TechnicianS13 (35400 - 112400)</v>
      </c>
      <c r="K759" s="36" t="s">
        <v>1744</v>
      </c>
      <c r="L759" s="36" t="s">
        <v>225</v>
      </c>
      <c r="M759" s="38" t="s">
        <v>1962</v>
      </c>
      <c r="N759" s="36" t="s">
        <v>41</v>
      </c>
      <c r="O759" s="6" t="s">
        <v>33</v>
      </c>
      <c r="P759" s="7">
        <v>15</v>
      </c>
      <c r="Q759" s="7" t="s">
        <v>34</v>
      </c>
      <c r="R759" s="8"/>
      <c r="S759" s="8"/>
      <c r="T759" s="7" t="s">
        <v>35</v>
      </c>
      <c r="U759" s="36" t="s">
        <v>35</v>
      </c>
      <c r="V759" s="38" t="s">
        <v>1969</v>
      </c>
      <c r="W759" s="36"/>
      <c r="X759" s="36" t="s">
        <v>1970</v>
      </c>
      <c r="Y759" s="36" t="s">
        <v>1964</v>
      </c>
      <c r="Z759" s="41"/>
      <c r="AA759" s="42" t="e">
        <f>_xlfn.XLOOKUP(C759,#REF!,#REF!,"",0,1)</f>
        <v>#REF!</v>
      </c>
      <c r="AB759" s="43">
        <f t="shared" si="31"/>
        <v>0</v>
      </c>
    </row>
    <row r="760" spans="1:28" ht="130.5" thickBot="1" x14ac:dyDescent="0.3">
      <c r="A760" s="36">
        <v>759</v>
      </c>
      <c r="B760" s="36" t="s">
        <v>24</v>
      </c>
      <c r="C760" s="36" t="s">
        <v>1645</v>
      </c>
      <c r="D760" s="37">
        <v>46014</v>
      </c>
      <c r="E760" s="36" t="s">
        <v>1646</v>
      </c>
      <c r="F760" s="36" t="s">
        <v>1844</v>
      </c>
      <c r="G760" s="36" t="s">
        <v>55</v>
      </c>
      <c r="H760" s="36" t="s">
        <v>1971</v>
      </c>
      <c r="I760" s="36" t="s">
        <v>57</v>
      </c>
      <c r="J760" s="36" t="str">
        <f t="shared" si="30"/>
        <v>Medical Education and DrugsMedical Education EstablishmentCसी.टी.स्कॅन तंत्रज्ञ / C T Scan TechnicianS13 (35400 - 112400)</v>
      </c>
      <c r="K760" s="36" t="s">
        <v>1744</v>
      </c>
      <c r="L760" s="36" t="s">
        <v>225</v>
      </c>
      <c r="M760" s="38" t="s">
        <v>1972</v>
      </c>
      <c r="N760" s="36" t="s">
        <v>41</v>
      </c>
      <c r="O760" s="6" t="s">
        <v>33</v>
      </c>
      <c r="P760" s="7">
        <v>9</v>
      </c>
      <c r="Q760" s="7" t="s">
        <v>34</v>
      </c>
      <c r="R760" s="8"/>
      <c r="S760" s="8"/>
      <c r="T760" s="7" t="s">
        <v>35</v>
      </c>
      <c r="U760" s="36" t="s">
        <v>35</v>
      </c>
      <c r="V760" s="38" t="s">
        <v>1972</v>
      </c>
      <c r="W760" s="36"/>
      <c r="X760" s="36" t="s">
        <v>150</v>
      </c>
      <c r="Y760" s="36" t="s">
        <v>150</v>
      </c>
      <c r="Z760" s="41"/>
      <c r="AA760" s="42" t="e">
        <f>_xlfn.XLOOKUP(C760,#REF!,#REF!,"",0,1)</f>
        <v>#REF!</v>
      </c>
      <c r="AB760" s="43">
        <f t="shared" si="31"/>
        <v>0</v>
      </c>
    </row>
    <row r="761" spans="1:28" ht="130.5" thickBot="1" x14ac:dyDescent="0.3">
      <c r="A761" s="36">
        <v>760</v>
      </c>
      <c r="B761" s="36" t="s">
        <v>24</v>
      </c>
      <c r="C761" s="36" t="s">
        <v>1645</v>
      </c>
      <c r="D761" s="37">
        <v>46014</v>
      </c>
      <c r="E761" s="36" t="s">
        <v>1646</v>
      </c>
      <c r="F761" s="36" t="s">
        <v>1844</v>
      </c>
      <c r="G761" s="36" t="s">
        <v>55</v>
      </c>
      <c r="H761" s="36" t="s">
        <v>1973</v>
      </c>
      <c r="I761" s="36" t="s">
        <v>57</v>
      </c>
      <c r="J761" s="36" t="str">
        <f t="shared" si="30"/>
        <v>Medical Education and DrugsMedical Education EstablishmentCअधिपरिचारीका / Staff NurseS13 (35400 - 112400)</v>
      </c>
      <c r="K761" s="36" t="s">
        <v>1738</v>
      </c>
      <c r="L761" s="36" t="s">
        <v>225</v>
      </c>
      <c r="M761" s="38" t="s">
        <v>1974</v>
      </c>
      <c r="N761" s="36" t="s">
        <v>1740</v>
      </c>
      <c r="O761" s="6" t="s">
        <v>33</v>
      </c>
      <c r="P761" s="7">
        <v>4889</v>
      </c>
      <c r="Q761" s="7" t="s">
        <v>34</v>
      </c>
      <c r="R761" s="8"/>
      <c r="S761" s="8"/>
      <c r="T761" s="7" t="s">
        <v>61</v>
      </c>
      <c r="U761" s="36" t="s">
        <v>35</v>
      </c>
      <c r="V761" s="38" t="s">
        <v>1974</v>
      </c>
      <c r="W761" s="36"/>
      <c r="X761" s="36" t="s">
        <v>1975</v>
      </c>
      <c r="Y761" s="36" t="s">
        <v>1976</v>
      </c>
      <c r="Z761" s="41"/>
      <c r="AA761" s="42" t="e">
        <f>_xlfn.XLOOKUP(C761,#REF!,#REF!,"",0,1)</f>
        <v>#REF!</v>
      </c>
      <c r="AB761" s="43">
        <f t="shared" si="31"/>
        <v>0</v>
      </c>
    </row>
    <row r="762" spans="1:28" ht="130.5" thickBot="1" x14ac:dyDescent="0.3">
      <c r="A762" s="36">
        <v>761</v>
      </c>
      <c r="B762" s="36" t="s">
        <v>24</v>
      </c>
      <c r="C762" s="36" t="s">
        <v>1645</v>
      </c>
      <c r="D762" s="37">
        <v>46014</v>
      </c>
      <c r="E762" s="36" t="s">
        <v>1646</v>
      </c>
      <c r="F762" s="36" t="s">
        <v>1844</v>
      </c>
      <c r="G762" s="36" t="s">
        <v>55</v>
      </c>
      <c r="H762" s="36" t="s">
        <v>1977</v>
      </c>
      <c r="I762" s="36" t="s">
        <v>57</v>
      </c>
      <c r="J762" s="36" t="str">
        <f t="shared" si="30"/>
        <v>Medical Education and DrugsMedical Education EstablishmentCश्रवणमापक तंत्रज्ञ /Speech TherapistS13 (35400 - 112400)</v>
      </c>
      <c r="K762" s="36" t="s">
        <v>1764</v>
      </c>
      <c r="L762" s="36" t="s">
        <v>225</v>
      </c>
      <c r="M762" s="38" t="s">
        <v>1978</v>
      </c>
      <c r="N762" s="36" t="s">
        <v>60</v>
      </c>
      <c r="O762" s="6" t="s">
        <v>33</v>
      </c>
      <c r="P762" s="7">
        <v>17</v>
      </c>
      <c r="Q762" s="7" t="s">
        <v>34</v>
      </c>
      <c r="R762" s="8"/>
      <c r="S762" s="8"/>
      <c r="T762" s="7" t="s">
        <v>35</v>
      </c>
      <c r="U762" s="36" t="s">
        <v>35</v>
      </c>
      <c r="V762" s="38" t="s">
        <v>1979</v>
      </c>
      <c r="W762" s="36"/>
      <c r="X762" s="36" t="s">
        <v>1980</v>
      </c>
      <c r="Y762" s="36" t="s">
        <v>1981</v>
      </c>
      <c r="Z762" s="41"/>
      <c r="AA762" s="42" t="e">
        <f>_xlfn.XLOOKUP(C762,#REF!,#REF!,"",0,1)</f>
        <v>#REF!</v>
      </c>
      <c r="AB762" s="43">
        <f t="shared" si="31"/>
        <v>0</v>
      </c>
    </row>
    <row r="763" spans="1:28" ht="117.5" thickBot="1" x14ac:dyDescent="0.3">
      <c r="A763" s="36">
        <v>762</v>
      </c>
      <c r="B763" s="36" t="s">
        <v>24</v>
      </c>
      <c r="C763" s="36" t="s">
        <v>1645</v>
      </c>
      <c r="D763" s="37">
        <v>46014</v>
      </c>
      <c r="E763" s="36" t="s">
        <v>1646</v>
      </c>
      <c r="F763" s="36" t="s">
        <v>1844</v>
      </c>
      <c r="G763" s="36" t="s">
        <v>55</v>
      </c>
      <c r="H763" s="36" t="s">
        <v>1982</v>
      </c>
      <c r="I763" s="36" t="s">
        <v>57</v>
      </c>
      <c r="J763" s="36" t="str">
        <f t="shared" si="30"/>
        <v>Medical Education and DrugsMedical Education EstablishmentCसंग्रहालय सहाय्यकS13 (35400 - 112400)</v>
      </c>
      <c r="K763" s="36"/>
      <c r="L763" s="36" t="s">
        <v>238</v>
      </c>
      <c r="M763" s="38" t="s">
        <v>1983</v>
      </c>
      <c r="N763" s="36" t="s">
        <v>283</v>
      </c>
      <c r="O763" s="6" t="s">
        <v>33</v>
      </c>
      <c r="P763" s="7">
        <v>2</v>
      </c>
      <c r="Q763" s="7" t="s">
        <v>34</v>
      </c>
      <c r="R763" s="8"/>
      <c r="S763" s="8"/>
      <c r="T763" s="7" t="s">
        <v>35</v>
      </c>
      <c r="U763" s="36" t="s">
        <v>35</v>
      </c>
      <c r="V763" s="38"/>
      <c r="W763" s="36"/>
      <c r="X763" s="36"/>
      <c r="Y763" s="36"/>
      <c r="Z763" s="41"/>
      <c r="AA763" s="42" t="e">
        <f>_xlfn.XLOOKUP(C763,#REF!,#REF!,"",0,1)</f>
        <v>#REF!</v>
      </c>
      <c r="AB763" s="43">
        <f t="shared" si="31"/>
        <v>0</v>
      </c>
    </row>
    <row r="764" spans="1:28" ht="117.5" thickBot="1" x14ac:dyDescent="0.3">
      <c r="A764" s="44">
        <v>763</v>
      </c>
      <c r="B764" s="44" t="s">
        <v>24</v>
      </c>
      <c r="C764" s="36" t="s">
        <v>1645</v>
      </c>
      <c r="D764" s="37">
        <v>46014</v>
      </c>
      <c r="E764" s="44" t="s">
        <v>1646</v>
      </c>
      <c r="F764" s="44" t="s">
        <v>1844</v>
      </c>
      <c r="G764" s="44" t="s">
        <v>55</v>
      </c>
      <c r="H764" s="44" t="s">
        <v>1984</v>
      </c>
      <c r="I764" s="44" t="s">
        <v>57</v>
      </c>
      <c r="J764" s="44" t="str">
        <f t="shared" si="30"/>
        <v>Medical Education and DrugsMedical Education EstablishmentCलोहार / BlacksmithS13 (35400 - 112400)</v>
      </c>
      <c r="K764" s="44"/>
      <c r="L764" s="44" t="s">
        <v>261</v>
      </c>
      <c r="M764" s="45" t="s">
        <v>1985</v>
      </c>
      <c r="N764" s="44" t="s">
        <v>113</v>
      </c>
      <c r="O764" s="11" t="s">
        <v>33</v>
      </c>
      <c r="P764" s="12">
        <v>4</v>
      </c>
      <c r="Q764" s="12" t="s">
        <v>34</v>
      </c>
      <c r="R764" s="13"/>
      <c r="S764" s="13"/>
      <c r="T764" s="4" t="s">
        <v>3276</v>
      </c>
      <c r="U764" s="44" t="s">
        <v>35</v>
      </c>
      <c r="V764" s="45"/>
      <c r="W764" s="44"/>
      <c r="X764" s="44"/>
      <c r="Y764" s="44"/>
      <c r="Z764" s="41"/>
      <c r="AA764" s="42" t="e">
        <f>_xlfn.XLOOKUP(C764,#REF!,#REF!,"",0,1)</f>
        <v>#REF!</v>
      </c>
      <c r="AB764" s="43">
        <f t="shared" si="31"/>
        <v>0</v>
      </c>
    </row>
    <row r="765" spans="1:28" ht="117.5" thickBot="1" x14ac:dyDescent="0.3">
      <c r="A765" s="36">
        <v>764</v>
      </c>
      <c r="B765" s="36" t="s">
        <v>24</v>
      </c>
      <c r="C765" s="36" t="s">
        <v>1645</v>
      </c>
      <c r="D765" s="37">
        <v>46014</v>
      </c>
      <c r="E765" s="36" t="s">
        <v>1646</v>
      </c>
      <c r="F765" s="36" t="s">
        <v>1844</v>
      </c>
      <c r="G765" s="36" t="s">
        <v>55</v>
      </c>
      <c r="H765" s="36" t="s">
        <v>1986</v>
      </c>
      <c r="I765" s="36" t="s">
        <v>67</v>
      </c>
      <c r="J765" s="36" t="str">
        <f t="shared" si="30"/>
        <v>Medical Education and DrugsMedical Education EstablishmentCआहारतज्ञ / DieticianS14 (38600 - 122800)</v>
      </c>
      <c r="K765" s="36" t="s">
        <v>1749</v>
      </c>
      <c r="L765" s="36" t="s">
        <v>225</v>
      </c>
      <c r="M765" s="38" t="s">
        <v>1987</v>
      </c>
      <c r="N765" s="36" t="s">
        <v>41</v>
      </c>
      <c r="O765" s="6" t="s">
        <v>33</v>
      </c>
      <c r="P765" s="7">
        <v>0</v>
      </c>
      <c r="Q765" s="7" t="s">
        <v>34</v>
      </c>
      <c r="R765" s="8"/>
      <c r="S765" s="8"/>
      <c r="T765" s="7" t="s">
        <v>2395</v>
      </c>
      <c r="U765" s="36" t="s">
        <v>35</v>
      </c>
      <c r="V765" s="38" t="s">
        <v>1751</v>
      </c>
      <c r="W765" s="36"/>
      <c r="X765" s="36" t="s">
        <v>1752</v>
      </c>
      <c r="Y765" s="36" t="s">
        <v>1753</v>
      </c>
      <c r="Z765" s="41"/>
      <c r="AA765" s="42" t="e">
        <f>_xlfn.XLOOKUP(C765,#REF!,#REF!,"",0,1)</f>
        <v>#REF!</v>
      </c>
      <c r="AB765" s="43">
        <f t="shared" si="31"/>
        <v>0</v>
      </c>
    </row>
    <row r="766" spans="1:28" ht="117.5" thickBot="1" x14ac:dyDescent="0.3">
      <c r="A766" s="36">
        <v>765</v>
      </c>
      <c r="B766" s="36" t="s">
        <v>24</v>
      </c>
      <c r="C766" s="36" t="s">
        <v>1645</v>
      </c>
      <c r="D766" s="37">
        <v>46014</v>
      </c>
      <c r="E766" s="36" t="s">
        <v>1646</v>
      </c>
      <c r="F766" s="36" t="s">
        <v>1844</v>
      </c>
      <c r="G766" s="36" t="s">
        <v>55</v>
      </c>
      <c r="H766" s="36" t="s">
        <v>1988</v>
      </c>
      <c r="I766" s="36" t="s">
        <v>67</v>
      </c>
      <c r="J766" s="36" t="str">
        <f t="shared" si="30"/>
        <v>Medical Education and DrugsMedical Education EstablishmentCग्रंथपाल / LibrarianS14 (38600 - 122800)</v>
      </c>
      <c r="K766" s="36" t="s">
        <v>170</v>
      </c>
      <c r="L766" s="36" t="s">
        <v>228</v>
      </c>
      <c r="M766" s="38" t="s">
        <v>1989</v>
      </c>
      <c r="N766" s="36" t="s">
        <v>172</v>
      </c>
      <c r="O766" s="6" t="s">
        <v>33</v>
      </c>
      <c r="P766" s="7">
        <v>0</v>
      </c>
      <c r="Q766" s="7" t="s">
        <v>34</v>
      </c>
      <c r="R766" s="8"/>
      <c r="S766" s="8"/>
      <c r="T766" s="7" t="s">
        <v>2395</v>
      </c>
      <c r="U766" s="36" t="s">
        <v>35</v>
      </c>
      <c r="V766" s="38" t="s">
        <v>1989</v>
      </c>
      <c r="W766" s="36"/>
      <c r="X766" s="36" t="s">
        <v>150</v>
      </c>
      <c r="Y766" s="36" t="s">
        <v>150</v>
      </c>
      <c r="Z766" s="41"/>
      <c r="AA766" s="42" t="e">
        <f>_xlfn.XLOOKUP(C766,#REF!,#REF!,"",0,1)</f>
        <v>#REF!</v>
      </c>
      <c r="AB766" s="43">
        <f t="shared" si="31"/>
        <v>0</v>
      </c>
    </row>
    <row r="767" spans="1:28" ht="169.5" thickBot="1" x14ac:dyDescent="0.3">
      <c r="A767" s="36">
        <v>766</v>
      </c>
      <c r="B767" s="36" t="s">
        <v>24</v>
      </c>
      <c r="C767" s="36" t="s">
        <v>1645</v>
      </c>
      <c r="D767" s="37">
        <v>46014</v>
      </c>
      <c r="E767" s="36" t="s">
        <v>1646</v>
      </c>
      <c r="F767" s="36" t="s">
        <v>1844</v>
      </c>
      <c r="G767" s="36" t="s">
        <v>55</v>
      </c>
      <c r="H767" s="36" t="s">
        <v>1990</v>
      </c>
      <c r="I767" s="36" t="s">
        <v>67</v>
      </c>
      <c r="J767" s="36" t="str">
        <f t="shared" si="30"/>
        <v>Medical Education and DrugsMedical Education EstablishmentCसमाजसेवा अधिक्षक (मनोविकृती) / Social Service Superintendent (Phychiatric)S14 (38600 - 122800)</v>
      </c>
      <c r="K767" s="36" t="s">
        <v>1991</v>
      </c>
      <c r="L767" s="36" t="s">
        <v>225</v>
      </c>
      <c r="M767" s="38" t="s">
        <v>1992</v>
      </c>
      <c r="N767" s="36" t="s">
        <v>60</v>
      </c>
      <c r="O767" s="6" t="s">
        <v>33</v>
      </c>
      <c r="P767" s="7">
        <v>2</v>
      </c>
      <c r="Q767" s="7" t="s">
        <v>34</v>
      </c>
      <c r="R767" s="8"/>
      <c r="S767" s="8"/>
      <c r="T767" s="7" t="s">
        <v>35</v>
      </c>
      <c r="U767" s="36" t="s">
        <v>35</v>
      </c>
      <c r="V767" s="38" t="s">
        <v>1993</v>
      </c>
      <c r="W767" s="36"/>
      <c r="X767" s="36" t="s">
        <v>1994</v>
      </c>
      <c r="Y767" s="36" t="s">
        <v>1995</v>
      </c>
      <c r="Z767" s="41"/>
      <c r="AA767" s="42" t="e">
        <f>_xlfn.XLOOKUP(C767,#REF!,#REF!,"",0,1)</f>
        <v>#REF!</v>
      </c>
      <c r="AB767" s="43">
        <f t="shared" si="31"/>
        <v>0</v>
      </c>
    </row>
    <row r="768" spans="1:28" ht="169.5" thickBot="1" x14ac:dyDescent="0.3">
      <c r="A768" s="36">
        <v>767</v>
      </c>
      <c r="B768" s="36" t="s">
        <v>24</v>
      </c>
      <c r="C768" s="36" t="s">
        <v>1645</v>
      </c>
      <c r="D768" s="37">
        <v>46014</v>
      </c>
      <c r="E768" s="36" t="s">
        <v>1646</v>
      </c>
      <c r="F768" s="36" t="s">
        <v>1844</v>
      </c>
      <c r="G768" s="36" t="s">
        <v>55</v>
      </c>
      <c r="H768" s="36" t="s">
        <v>1996</v>
      </c>
      <c r="I768" s="36" t="s">
        <v>67</v>
      </c>
      <c r="J768" s="36" t="str">
        <f t="shared" si="30"/>
        <v>Medical Education and DrugsMedical Education EstablishmentCसमाजसेवा अधिक्षक (वैद्यकीय) /Social Service Superintendent (Medical)S14 (38600 - 122800)</v>
      </c>
      <c r="K768" s="36" t="s">
        <v>1991</v>
      </c>
      <c r="L768" s="36" t="s">
        <v>225</v>
      </c>
      <c r="M768" s="38" t="s">
        <v>1997</v>
      </c>
      <c r="N768" s="36" t="s">
        <v>60</v>
      </c>
      <c r="O768" s="6" t="s">
        <v>33</v>
      </c>
      <c r="P768" s="7">
        <v>0</v>
      </c>
      <c r="Q768" s="7" t="s">
        <v>34</v>
      </c>
      <c r="R768" s="8"/>
      <c r="S768" s="8"/>
      <c r="T768" s="7" t="s">
        <v>2395</v>
      </c>
      <c r="U768" s="36" t="s">
        <v>35</v>
      </c>
      <c r="V768" s="38" t="s">
        <v>1998</v>
      </c>
      <c r="W768" s="36"/>
      <c r="X768" s="36" t="s">
        <v>1999</v>
      </c>
      <c r="Y768" s="50">
        <v>31758</v>
      </c>
      <c r="Z768" s="41"/>
      <c r="AA768" s="42" t="e">
        <f>_xlfn.XLOOKUP(C768,#REF!,#REF!,"",0,1)</f>
        <v>#REF!</v>
      </c>
      <c r="AB768" s="43">
        <f t="shared" si="31"/>
        <v>0</v>
      </c>
    </row>
    <row r="769" spans="1:28" ht="130.5" thickBot="1" x14ac:dyDescent="0.3">
      <c r="A769" s="36">
        <v>768</v>
      </c>
      <c r="B769" s="36" t="s">
        <v>24</v>
      </c>
      <c r="C769" s="36" t="s">
        <v>1645</v>
      </c>
      <c r="D769" s="37">
        <v>46014</v>
      </c>
      <c r="E769" s="36" t="s">
        <v>1646</v>
      </c>
      <c r="F769" s="36" t="s">
        <v>1844</v>
      </c>
      <c r="G769" s="36" t="s">
        <v>55</v>
      </c>
      <c r="H769" s="36" t="s">
        <v>2000</v>
      </c>
      <c r="I769" s="36" t="s">
        <v>67</v>
      </c>
      <c r="J769" s="36" t="str">
        <f t="shared" si="30"/>
        <v>Medical Education and DrugsMedical Education EstablishmentCभौतिकोपचार तज्ञ /PhysiotheapstS14 (38600 - 122800)</v>
      </c>
      <c r="K769" s="36" t="s">
        <v>1764</v>
      </c>
      <c r="L769" s="36" t="s">
        <v>225</v>
      </c>
      <c r="M769" s="38" t="s">
        <v>2001</v>
      </c>
      <c r="N769" s="36" t="s">
        <v>41</v>
      </c>
      <c r="O769" s="6" t="s">
        <v>33</v>
      </c>
      <c r="P769" s="7">
        <v>0</v>
      </c>
      <c r="Q769" s="7" t="s">
        <v>34</v>
      </c>
      <c r="R769" s="8"/>
      <c r="S769" s="8"/>
      <c r="T769" s="7" t="s">
        <v>2395</v>
      </c>
      <c r="U769" s="36" t="s">
        <v>35</v>
      </c>
      <c r="V769" s="38" t="s">
        <v>2002</v>
      </c>
      <c r="W769" s="36"/>
      <c r="X769" s="36" t="s">
        <v>2003</v>
      </c>
      <c r="Y769" s="36" t="s">
        <v>1931</v>
      </c>
      <c r="Z769" s="41"/>
      <c r="AA769" s="42" t="e">
        <f>_xlfn.XLOOKUP(C769,#REF!,#REF!,"",0,1)</f>
        <v>#REF!</v>
      </c>
      <c r="AB769" s="43">
        <f t="shared" si="31"/>
        <v>0</v>
      </c>
    </row>
    <row r="770" spans="1:28" ht="143.5" thickBot="1" x14ac:dyDescent="0.3">
      <c r="A770" s="36">
        <v>769</v>
      </c>
      <c r="B770" s="36" t="s">
        <v>24</v>
      </c>
      <c r="C770" s="36" t="s">
        <v>1645</v>
      </c>
      <c r="D770" s="37">
        <v>46014</v>
      </c>
      <c r="E770" s="36" t="s">
        <v>1646</v>
      </c>
      <c r="F770" s="36" t="s">
        <v>1844</v>
      </c>
      <c r="G770" s="36" t="s">
        <v>55</v>
      </c>
      <c r="H770" s="36" t="s">
        <v>2004</v>
      </c>
      <c r="I770" s="36" t="s">
        <v>67</v>
      </c>
      <c r="J770" s="36" t="str">
        <f t="shared" ref="J770:J833" si="32">_xlfn.CONCAT(E770:I770)</f>
        <v>Medical Education and DrugsMedical Education EstablishmentCव्यवसायोपचार तज्ञ / Occupational TherapistS14 (38600 - 122800)</v>
      </c>
      <c r="K770" s="36" t="s">
        <v>1764</v>
      </c>
      <c r="L770" s="36" t="s">
        <v>225</v>
      </c>
      <c r="M770" s="38" t="s">
        <v>2005</v>
      </c>
      <c r="N770" s="36" t="s">
        <v>41</v>
      </c>
      <c r="O770" s="6" t="s">
        <v>33</v>
      </c>
      <c r="P770" s="7">
        <v>4</v>
      </c>
      <c r="Q770" s="7" t="s">
        <v>34</v>
      </c>
      <c r="R770" s="8"/>
      <c r="S770" s="8"/>
      <c r="T770" s="7" t="s">
        <v>35</v>
      </c>
      <c r="U770" s="36" t="s">
        <v>35</v>
      </c>
      <c r="V770" s="38" t="s">
        <v>2006</v>
      </c>
      <c r="W770" s="36"/>
      <c r="X770" s="36" t="s">
        <v>2007</v>
      </c>
      <c r="Y770" s="36" t="s">
        <v>2008</v>
      </c>
      <c r="Z770" s="41"/>
      <c r="AA770" s="42" t="e">
        <f>_xlfn.XLOOKUP(C770,#REF!,#REF!,"",0,1)</f>
        <v>#REF!</v>
      </c>
      <c r="AB770" s="43">
        <f t="shared" ref="AB770:AB773" si="33">IFERROR(FLOOR(P770*AA770,1),0)</f>
        <v>0</v>
      </c>
    </row>
    <row r="771" spans="1:28" ht="156.5" thickBot="1" x14ac:dyDescent="0.3">
      <c r="A771" s="36">
        <v>770</v>
      </c>
      <c r="B771" s="36" t="s">
        <v>24</v>
      </c>
      <c r="C771" s="36" t="s">
        <v>1645</v>
      </c>
      <c r="D771" s="37">
        <v>46014</v>
      </c>
      <c r="E771" s="36" t="s">
        <v>1646</v>
      </c>
      <c r="F771" s="36" t="s">
        <v>1844</v>
      </c>
      <c r="G771" s="36" t="s">
        <v>55</v>
      </c>
      <c r="H771" s="36" t="s">
        <v>2009</v>
      </c>
      <c r="I771" s="36" t="s">
        <v>67</v>
      </c>
      <c r="J771" s="36" t="str">
        <f t="shared" si="32"/>
        <v>Medical Education and DrugsMedical Education EstablishmentCशारिरिक शिक्षण निर्देशक / Physical Trainer InstructorS14 (38600 - 122800)</v>
      </c>
      <c r="K771" s="36"/>
      <c r="L771" s="36" t="s">
        <v>238</v>
      </c>
      <c r="M771" s="38" t="s">
        <v>2010</v>
      </c>
      <c r="N771" s="36" t="s">
        <v>283</v>
      </c>
      <c r="O771" s="6" t="s">
        <v>33</v>
      </c>
      <c r="P771" s="7">
        <v>0</v>
      </c>
      <c r="Q771" s="7" t="s">
        <v>34</v>
      </c>
      <c r="R771" s="8"/>
      <c r="S771" s="8"/>
      <c r="T771" s="7" t="s">
        <v>2395</v>
      </c>
      <c r="U771" s="36" t="s">
        <v>35</v>
      </c>
      <c r="V771" s="38"/>
      <c r="W771" s="36"/>
      <c r="X771" s="36"/>
      <c r="Y771" s="36"/>
      <c r="Z771" s="41"/>
      <c r="AA771" s="42" t="e">
        <f>_xlfn.XLOOKUP(C771,#REF!,#REF!,"",0,1)</f>
        <v>#REF!</v>
      </c>
      <c r="AB771" s="43">
        <f t="shared" si="33"/>
        <v>0</v>
      </c>
    </row>
    <row r="772" spans="1:28" ht="143.5" thickBot="1" x14ac:dyDescent="0.3">
      <c r="A772" s="36">
        <v>771</v>
      </c>
      <c r="B772" s="36" t="s">
        <v>24</v>
      </c>
      <c r="C772" s="36" t="s">
        <v>1645</v>
      </c>
      <c r="D772" s="37">
        <v>46014</v>
      </c>
      <c r="E772" s="36" t="s">
        <v>1646</v>
      </c>
      <c r="F772" s="36" t="s">
        <v>1844</v>
      </c>
      <c r="G772" s="36" t="s">
        <v>55</v>
      </c>
      <c r="H772" s="36" t="s">
        <v>2011</v>
      </c>
      <c r="I772" s="36" t="s">
        <v>44</v>
      </c>
      <c r="J772" s="36" t="str">
        <f t="shared" si="32"/>
        <v>Medical Education and DrugsMedical Education EstablishmentCसंशोधन सहाय्यक / Research AssistantS15 (41800 - 132300)</v>
      </c>
      <c r="K772" s="36" t="s">
        <v>115</v>
      </c>
      <c r="L772" s="36" t="s">
        <v>225</v>
      </c>
      <c r="M772" s="38" t="s">
        <v>2012</v>
      </c>
      <c r="N772" s="36" t="s">
        <v>179</v>
      </c>
      <c r="O772" s="6" t="s">
        <v>83</v>
      </c>
      <c r="P772" s="7">
        <v>2</v>
      </c>
      <c r="Q772" s="7" t="s">
        <v>34</v>
      </c>
      <c r="R772" s="8"/>
      <c r="S772" s="8"/>
      <c r="T772" s="7" t="s">
        <v>35</v>
      </c>
      <c r="U772" s="36" t="s">
        <v>35</v>
      </c>
      <c r="V772" s="38" t="s">
        <v>2013</v>
      </c>
      <c r="W772" s="36"/>
      <c r="X772" s="36" t="s">
        <v>2014</v>
      </c>
      <c r="Y772" s="36" t="s">
        <v>2015</v>
      </c>
      <c r="Z772" s="41"/>
      <c r="AA772" s="42" t="e">
        <f>_xlfn.XLOOKUP(C772,#REF!,#REF!,"",0,1)</f>
        <v>#REF!</v>
      </c>
      <c r="AB772" s="43">
        <f t="shared" si="33"/>
        <v>0</v>
      </c>
    </row>
    <row r="773" spans="1:28" ht="156.5" thickBot="1" x14ac:dyDescent="0.3">
      <c r="A773" s="36">
        <v>772</v>
      </c>
      <c r="B773" s="36" t="s">
        <v>24</v>
      </c>
      <c r="C773" s="36" t="s">
        <v>1645</v>
      </c>
      <c r="D773" s="37">
        <v>46014</v>
      </c>
      <c r="E773" s="36" t="s">
        <v>1646</v>
      </c>
      <c r="F773" s="36" t="s">
        <v>1844</v>
      </c>
      <c r="G773" s="36" t="s">
        <v>55</v>
      </c>
      <c r="H773" s="36" t="s">
        <v>2016</v>
      </c>
      <c r="I773" s="36" t="s">
        <v>44</v>
      </c>
      <c r="J773" s="36" t="str">
        <f t="shared" si="32"/>
        <v>Medical Education and DrugsMedical Education EstablishmentCलघुलेखक (निम्नश्रेणी) / Stenographer (Lower Grade)S15 (41800 - 132300)</v>
      </c>
      <c r="K773" s="36" t="s">
        <v>68</v>
      </c>
      <c r="L773" s="36" t="s">
        <v>231</v>
      </c>
      <c r="M773" s="38" t="s">
        <v>2017</v>
      </c>
      <c r="N773" s="36" t="s">
        <v>70</v>
      </c>
      <c r="O773" s="6" t="s">
        <v>33</v>
      </c>
      <c r="P773" s="7">
        <v>5</v>
      </c>
      <c r="Q773" s="7" t="s">
        <v>34</v>
      </c>
      <c r="R773" s="8"/>
      <c r="S773" s="8"/>
      <c r="T773" s="4" t="s">
        <v>3276</v>
      </c>
      <c r="U773" s="36" t="s">
        <v>35</v>
      </c>
      <c r="V773" s="38"/>
      <c r="W773" s="36"/>
      <c r="X773" s="36"/>
      <c r="Y773" s="36"/>
      <c r="Z773" s="41"/>
      <c r="AA773" s="42" t="e">
        <f>_xlfn.XLOOKUP(C773,#REF!,#REF!,"",0,1)</f>
        <v>#REF!</v>
      </c>
      <c r="AB773" s="43">
        <f t="shared" si="33"/>
        <v>0</v>
      </c>
    </row>
    <row r="774" spans="1:28" ht="117.5" thickBot="1" x14ac:dyDescent="0.3">
      <c r="A774" s="36">
        <v>773</v>
      </c>
      <c r="B774" s="36" t="s">
        <v>584</v>
      </c>
      <c r="C774" s="36" t="s">
        <v>1645</v>
      </c>
      <c r="D774" s="37">
        <v>46014</v>
      </c>
      <c r="E774" s="36" t="s">
        <v>1646</v>
      </c>
      <c r="F774" s="36" t="s">
        <v>1844</v>
      </c>
      <c r="G774" s="36" t="s">
        <v>55</v>
      </c>
      <c r="H774" s="36" t="s">
        <v>2018</v>
      </c>
      <c r="I774" s="36" t="s">
        <v>44</v>
      </c>
      <c r="J774" s="36" t="str">
        <f t="shared" si="32"/>
        <v>Medical Education and DrugsMedical Education EstablishmentCपाठयनिर्देशिका / TutorS15 (41800 - 132300)</v>
      </c>
      <c r="K774" s="36"/>
      <c r="L774" s="36"/>
      <c r="M774" s="38" t="s">
        <v>2019</v>
      </c>
      <c r="N774" s="36" t="s">
        <v>32</v>
      </c>
      <c r="O774" s="6" t="s">
        <v>33</v>
      </c>
      <c r="P774" s="7">
        <v>0</v>
      </c>
      <c r="Q774" s="7" t="s">
        <v>34</v>
      </c>
      <c r="R774" s="8"/>
      <c r="S774" s="8"/>
      <c r="T774" s="4" t="s">
        <v>3276</v>
      </c>
      <c r="U774" s="36" t="s">
        <v>35</v>
      </c>
      <c r="V774" s="38"/>
      <c r="W774" s="36"/>
      <c r="X774" s="36"/>
      <c r="Y774" s="36"/>
      <c r="Z774" s="41"/>
      <c r="AA774" s="42" t="e">
        <f>_xlfn.XLOOKUP(C774,#REF!,#REF!,"",0,1)</f>
        <v>#REF!</v>
      </c>
      <c r="AB774" s="43">
        <f t="shared" ref="AB774:AB833" si="34">IFERROR(FLOOR(P774*AA774,1),0)</f>
        <v>0</v>
      </c>
    </row>
    <row r="775" spans="1:28" ht="156.5" thickBot="1" x14ac:dyDescent="0.3">
      <c r="A775" s="36">
        <v>774</v>
      </c>
      <c r="B775" s="36" t="s">
        <v>24</v>
      </c>
      <c r="C775" s="36" t="s">
        <v>1645</v>
      </c>
      <c r="D775" s="37">
        <v>46014</v>
      </c>
      <c r="E775" s="36" t="s">
        <v>1646</v>
      </c>
      <c r="F775" s="36" t="s">
        <v>1844</v>
      </c>
      <c r="G775" s="36" t="s">
        <v>55</v>
      </c>
      <c r="H775" s="36" t="s">
        <v>2020</v>
      </c>
      <c r="I775" s="36" t="s">
        <v>54</v>
      </c>
      <c r="J775" s="36" t="str">
        <f t="shared" si="32"/>
        <v>Medical Education and DrugsMedical Education EstablishmentCलघुलेखक (उच्चश्रेणी) / Stenographer (Higher Grade)S16 (44900 - 142400)</v>
      </c>
      <c r="K775" s="36" t="s">
        <v>68</v>
      </c>
      <c r="L775" s="36" t="s">
        <v>231</v>
      </c>
      <c r="M775" s="38" t="s">
        <v>2021</v>
      </c>
      <c r="N775" s="36" t="s">
        <v>70</v>
      </c>
      <c r="O775" s="6" t="s">
        <v>33</v>
      </c>
      <c r="P775" s="7">
        <v>0</v>
      </c>
      <c r="Q775" s="7" t="s">
        <v>34</v>
      </c>
      <c r="R775" s="8"/>
      <c r="S775" s="8"/>
      <c r="T775" s="4" t="s">
        <v>3276</v>
      </c>
      <c r="U775" s="36" t="s">
        <v>35</v>
      </c>
      <c r="V775" s="38"/>
      <c r="W775" s="36"/>
      <c r="X775" s="36"/>
      <c r="Y775" s="36"/>
      <c r="Z775" s="41"/>
      <c r="AA775" s="42" t="e">
        <f>_xlfn.XLOOKUP(C775,#REF!,#REF!,"",0,1)</f>
        <v>#REF!</v>
      </c>
      <c r="AB775" s="43">
        <f t="shared" si="34"/>
        <v>0</v>
      </c>
    </row>
    <row r="776" spans="1:28" ht="156.5" thickBot="1" x14ac:dyDescent="0.3">
      <c r="A776" s="36">
        <v>775</v>
      </c>
      <c r="B776" s="36" t="s">
        <v>584</v>
      </c>
      <c r="C776" s="36" t="s">
        <v>1645</v>
      </c>
      <c r="D776" s="37">
        <v>46014</v>
      </c>
      <c r="E776" s="36" t="s">
        <v>1646</v>
      </c>
      <c r="F776" s="36" t="s">
        <v>1844</v>
      </c>
      <c r="G776" s="36" t="s">
        <v>55</v>
      </c>
      <c r="H776" s="36" t="s">
        <v>2022</v>
      </c>
      <c r="I776" s="36" t="s">
        <v>54</v>
      </c>
      <c r="J776" s="36" t="str">
        <f t="shared" si="32"/>
        <v>Medical Education and DrugsMedical Education EstablishmentCसार्वजनिक आरोग्य परिचारीका / Public Health NurseS16 (44900 - 142400)</v>
      </c>
      <c r="K776" s="36"/>
      <c r="L776" s="36"/>
      <c r="M776" s="38" t="s">
        <v>2023</v>
      </c>
      <c r="N776" s="36" t="s">
        <v>32</v>
      </c>
      <c r="O776" s="6" t="s">
        <v>33</v>
      </c>
      <c r="P776" s="7">
        <v>0</v>
      </c>
      <c r="Q776" s="7" t="s">
        <v>34</v>
      </c>
      <c r="R776" s="8"/>
      <c r="S776" s="8"/>
      <c r="T776" s="4" t="s">
        <v>3276</v>
      </c>
      <c r="U776" s="36" t="s">
        <v>35</v>
      </c>
      <c r="V776" s="38"/>
      <c r="W776" s="36"/>
      <c r="X776" s="36"/>
      <c r="Y776" s="36"/>
      <c r="Z776" s="41"/>
      <c r="AA776" s="42" t="e">
        <f>_xlfn.XLOOKUP(C776,#REF!,#REF!,"",0,1)</f>
        <v>#REF!</v>
      </c>
      <c r="AB776" s="43">
        <f t="shared" si="34"/>
        <v>0</v>
      </c>
    </row>
    <row r="777" spans="1:28" ht="143.5" thickBot="1" x14ac:dyDescent="0.3">
      <c r="A777" s="36">
        <v>776</v>
      </c>
      <c r="B777" s="36" t="s">
        <v>584</v>
      </c>
      <c r="C777" s="36" t="s">
        <v>1645</v>
      </c>
      <c r="D777" s="37">
        <v>46014</v>
      </c>
      <c r="E777" s="36" t="s">
        <v>1646</v>
      </c>
      <c r="F777" s="36" t="s">
        <v>1844</v>
      </c>
      <c r="G777" s="36" t="s">
        <v>55</v>
      </c>
      <c r="H777" s="36" t="s">
        <v>2024</v>
      </c>
      <c r="I777" s="36" t="s">
        <v>54</v>
      </c>
      <c r="J777" s="36" t="str">
        <f t="shared" si="32"/>
        <v>Medical Education and DrugsMedical Education EstablishmentCबालरोग परिचारीका / Paediatric NurseS16 (44900 - 142400)</v>
      </c>
      <c r="K777" s="36"/>
      <c r="L777" s="36"/>
      <c r="M777" s="38" t="s">
        <v>2025</v>
      </c>
      <c r="N777" s="36" t="s">
        <v>32</v>
      </c>
      <c r="O777" s="6" t="s">
        <v>33</v>
      </c>
      <c r="P777" s="7">
        <v>0</v>
      </c>
      <c r="Q777" s="7" t="s">
        <v>34</v>
      </c>
      <c r="R777" s="8"/>
      <c r="S777" s="8"/>
      <c r="T777" s="4" t="s">
        <v>3276</v>
      </c>
      <c r="U777" s="36" t="s">
        <v>35</v>
      </c>
      <c r="V777" s="38"/>
      <c r="W777" s="36"/>
      <c r="X777" s="36"/>
      <c r="Y777" s="36"/>
      <c r="Z777" s="41"/>
      <c r="AA777" s="42" t="e">
        <f>_xlfn.XLOOKUP(C777,#REF!,#REF!,"",0,1)</f>
        <v>#REF!</v>
      </c>
      <c r="AB777" s="43">
        <f t="shared" si="34"/>
        <v>0</v>
      </c>
    </row>
    <row r="778" spans="1:28" ht="143.5" thickBot="1" x14ac:dyDescent="0.3">
      <c r="A778" s="36">
        <v>777</v>
      </c>
      <c r="B778" s="36" t="s">
        <v>584</v>
      </c>
      <c r="C778" s="36" t="s">
        <v>1645</v>
      </c>
      <c r="D778" s="37">
        <v>46014</v>
      </c>
      <c r="E778" s="36" t="s">
        <v>1646</v>
      </c>
      <c r="F778" s="36" t="s">
        <v>1844</v>
      </c>
      <c r="G778" s="36" t="s">
        <v>55</v>
      </c>
      <c r="H778" s="36" t="s">
        <v>2026</v>
      </c>
      <c r="I778" s="36" t="s">
        <v>54</v>
      </c>
      <c r="J778" s="36" t="str">
        <f t="shared" si="32"/>
        <v>Medical Education and DrugsMedical Education EstablishmentCमानसोपचार परिचारीका / Psyschiatric NurseS16 (44900 - 142400)</v>
      </c>
      <c r="K778" s="36"/>
      <c r="L778" s="36"/>
      <c r="M778" s="38" t="s">
        <v>2027</v>
      </c>
      <c r="N778" s="36" t="s">
        <v>32</v>
      </c>
      <c r="O778" s="6" t="s">
        <v>33</v>
      </c>
      <c r="P778" s="7">
        <v>0</v>
      </c>
      <c r="Q778" s="7" t="s">
        <v>34</v>
      </c>
      <c r="R778" s="8"/>
      <c r="S778" s="8"/>
      <c r="T778" s="4" t="s">
        <v>3276</v>
      </c>
      <c r="U778" s="36" t="s">
        <v>35</v>
      </c>
      <c r="V778" s="38"/>
      <c r="W778" s="36"/>
      <c r="X778" s="36"/>
      <c r="Y778" s="36"/>
      <c r="Z778" s="41"/>
      <c r="AA778" s="42" t="e">
        <f>_xlfn.XLOOKUP(C778,#REF!,#REF!,"",0,1)</f>
        <v>#REF!</v>
      </c>
      <c r="AB778" s="43">
        <f t="shared" si="34"/>
        <v>0</v>
      </c>
    </row>
    <row r="779" spans="1:28" ht="143.5" thickBot="1" x14ac:dyDescent="0.3">
      <c r="A779" s="36">
        <v>778</v>
      </c>
      <c r="B779" s="36" t="s">
        <v>584</v>
      </c>
      <c r="C779" s="36" t="s">
        <v>1645</v>
      </c>
      <c r="D779" s="37">
        <v>46014</v>
      </c>
      <c r="E779" s="36" t="s">
        <v>1646</v>
      </c>
      <c r="F779" s="36" t="s">
        <v>1844</v>
      </c>
      <c r="G779" s="36" t="s">
        <v>55</v>
      </c>
      <c r="H779" s="36" t="s">
        <v>2028</v>
      </c>
      <c r="I779" s="36" t="s">
        <v>372</v>
      </c>
      <c r="J779" s="36" t="str">
        <f t="shared" si="32"/>
        <v>Medical Education and DrugsMedical Education EstablishmentCसहाय्यक अधिसेविका /Asssistantt MatronS17 (47600 - 151100)</v>
      </c>
      <c r="K779" s="36"/>
      <c r="L779" s="36"/>
      <c r="M779" s="38" t="s">
        <v>2029</v>
      </c>
      <c r="N779" s="36" t="s">
        <v>32</v>
      </c>
      <c r="O779" s="6" t="s">
        <v>33</v>
      </c>
      <c r="P779" s="7">
        <v>0</v>
      </c>
      <c r="Q779" s="7" t="s">
        <v>34</v>
      </c>
      <c r="R779" s="8"/>
      <c r="S779" s="8"/>
      <c r="T779" s="4" t="s">
        <v>3276</v>
      </c>
      <c r="U779" s="36" t="s">
        <v>35</v>
      </c>
      <c r="V779" s="38"/>
      <c r="W779" s="36"/>
      <c r="X779" s="36"/>
      <c r="Y779" s="36"/>
      <c r="Z779" s="41"/>
      <c r="AA779" s="42" t="e">
        <f>_xlfn.XLOOKUP(C779,#REF!,#REF!,"",0,1)</f>
        <v>#REF!</v>
      </c>
      <c r="AB779" s="43">
        <f t="shared" si="34"/>
        <v>0</v>
      </c>
    </row>
    <row r="780" spans="1:28" ht="130.5" thickBot="1" x14ac:dyDescent="0.3">
      <c r="A780" s="36">
        <v>779</v>
      </c>
      <c r="B780" s="36" t="s">
        <v>24</v>
      </c>
      <c r="C780" s="36" t="s">
        <v>1645</v>
      </c>
      <c r="D780" s="37">
        <v>46014</v>
      </c>
      <c r="E780" s="36" t="s">
        <v>1646</v>
      </c>
      <c r="F780" s="36" t="s">
        <v>1844</v>
      </c>
      <c r="G780" s="36" t="s">
        <v>55</v>
      </c>
      <c r="H780" s="36" t="s">
        <v>2030</v>
      </c>
      <c r="I780" s="36" t="s">
        <v>74</v>
      </c>
      <c r="J780" s="36" t="str">
        <f t="shared" si="32"/>
        <v>Medical Education and DrugsMedical Education EstablishmentCअंधारखोली सहाय्यक / Dark Room AssistantS6 (19900 - 63200)</v>
      </c>
      <c r="K780" s="36" t="s">
        <v>377</v>
      </c>
      <c r="L780" s="36" t="s">
        <v>225</v>
      </c>
      <c r="M780" s="38" t="s">
        <v>1972</v>
      </c>
      <c r="N780" s="36" t="s">
        <v>41</v>
      </c>
      <c r="O780" s="6" t="s">
        <v>33</v>
      </c>
      <c r="P780" s="7">
        <v>11</v>
      </c>
      <c r="Q780" s="7" t="s">
        <v>34</v>
      </c>
      <c r="R780" s="8"/>
      <c r="S780" s="8"/>
      <c r="T780" s="7" t="s">
        <v>35</v>
      </c>
      <c r="U780" s="36" t="s">
        <v>35</v>
      </c>
      <c r="V780" s="38" t="s">
        <v>1972</v>
      </c>
      <c r="W780" s="36"/>
      <c r="X780" s="36" t="s">
        <v>150</v>
      </c>
      <c r="Y780" s="36" t="s">
        <v>150</v>
      </c>
      <c r="Z780" s="41"/>
      <c r="AA780" s="42" t="e">
        <f>_xlfn.XLOOKUP(C780,#REF!,#REF!,"",0,1)</f>
        <v>#REF!</v>
      </c>
      <c r="AB780" s="43">
        <f t="shared" si="34"/>
        <v>0</v>
      </c>
    </row>
    <row r="781" spans="1:28" ht="104.5" thickBot="1" x14ac:dyDescent="0.3">
      <c r="A781" s="36">
        <v>780</v>
      </c>
      <c r="B781" s="36" t="s">
        <v>24</v>
      </c>
      <c r="C781" s="36" t="s">
        <v>1645</v>
      </c>
      <c r="D781" s="37">
        <v>46014</v>
      </c>
      <c r="E781" s="36" t="s">
        <v>1646</v>
      </c>
      <c r="F781" s="36" t="s">
        <v>1844</v>
      </c>
      <c r="G781" s="36" t="s">
        <v>55</v>
      </c>
      <c r="H781" s="36" t="s">
        <v>2031</v>
      </c>
      <c r="I781" s="36" t="s">
        <v>74</v>
      </c>
      <c r="J781" s="36" t="str">
        <f t="shared" si="32"/>
        <v>Medical Education and DrugsMedical Education EstablishmentCकनिष्ठ लिपिक / Junior ClerkS6 (19900 - 63200)</v>
      </c>
      <c r="K781" s="36" t="s">
        <v>75</v>
      </c>
      <c r="L781" s="36" t="s">
        <v>228</v>
      </c>
      <c r="M781" s="38" t="s">
        <v>2032</v>
      </c>
      <c r="N781" s="36" t="s">
        <v>70</v>
      </c>
      <c r="O781" s="6" t="s">
        <v>33</v>
      </c>
      <c r="P781" s="7">
        <v>685</v>
      </c>
      <c r="Q781" s="7" t="s">
        <v>34</v>
      </c>
      <c r="R781" s="8"/>
      <c r="S781" s="8"/>
      <c r="T781" s="7" t="s">
        <v>35</v>
      </c>
      <c r="U781" s="36" t="s">
        <v>35</v>
      </c>
      <c r="V781" s="38" t="s">
        <v>125</v>
      </c>
      <c r="W781" s="36"/>
      <c r="X781" s="36" t="s">
        <v>77</v>
      </c>
      <c r="Y781" s="36" t="s">
        <v>78</v>
      </c>
      <c r="Z781" s="41"/>
      <c r="AA781" s="42" t="e">
        <f>_xlfn.XLOOKUP(C781,#REF!,#REF!,"",0,1)</f>
        <v>#REF!</v>
      </c>
      <c r="AB781" s="43">
        <f t="shared" si="34"/>
        <v>0</v>
      </c>
    </row>
    <row r="782" spans="1:28" ht="130.5" thickBot="1" x14ac:dyDescent="0.3">
      <c r="A782" s="36">
        <v>781</v>
      </c>
      <c r="B782" s="36" t="s">
        <v>24</v>
      </c>
      <c r="C782" s="36" t="s">
        <v>1645</v>
      </c>
      <c r="D782" s="37">
        <v>46014</v>
      </c>
      <c r="E782" s="36" t="s">
        <v>1646</v>
      </c>
      <c r="F782" s="36" t="s">
        <v>1844</v>
      </c>
      <c r="G782" s="36" t="s">
        <v>55</v>
      </c>
      <c r="H782" s="36" t="s">
        <v>2033</v>
      </c>
      <c r="I782" s="36" t="s">
        <v>74</v>
      </c>
      <c r="J782" s="36" t="str">
        <f t="shared" si="32"/>
        <v>Medical Education and DrugsMedical Education EstablishmentCग्रंथालय सहाय्यक / Library AssistantS6 (19900 - 63200)</v>
      </c>
      <c r="K782" s="36" t="s">
        <v>170</v>
      </c>
      <c r="L782" s="36" t="s">
        <v>228</v>
      </c>
      <c r="M782" s="38" t="s">
        <v>2034</v>
      </c>
      <c r="N782" s="36" t="s">
        <v>172</v>
      </c>
      <c r="O782" s="6" t="s">
        <v>33</v>
      </c>
      <c r="P782" s="7">
        <v>10</v>
      </c>
      <c r="Q782" s="7" t="s">
        <v>34</v>
      </c>
      <c r="R782" s="8"/>
      <c r="S782" s="8"/>
      <c r="T782" s="7" t="s">
        <v>35</v>
      </c>
      <c r="U782" s="36" t="s">
        <v>35</v>
      </c>
      <c r="V782" s="38" t="s">
        <v>2034</v>
      </c>
      <c r="W782" s="36"/>
      <c r="X782" s="36" t="s">
        <v>150</v>
      </c>
      <c r="Y782" s="36" t="s">
        <v>150</v>
      </c>
      <c r="Z782" s="41"/>
      <c r="AA782" s="42" t="e">
        <f>_xlfn.XLOOKUP(C782,#REF!,#REF!,"",0,1)</f>
        <v>#REF!</v>
      </c>
      <c r="AB782" s="43">
        <f t="shared" si="34"/>
        <v>0</v>
      </c>
    </row>
    <row r="783" spans="1:28" ht="91.5" thickBot="1" x14ac:dyDescent="0.3">
      <c r="A783" s="36">
        <v>782</v>
      </c>
      <c r="B783" s="36" t="s">
        <v>24</v>
      </c>
      <c r="C783" s="36" t="s">
        <v>1645</v>
      </c>
      <c r="D783" s="37">
        <v>46014</v>
      </c>
      <c r="E783" s="36" t="s">
        <v>1646</v>
      </c>
      <c r="F783" s="36" t="s">
        <v>1844</v>
      </c>
      <c r="G783" s="36" t="s">
        <v>55</v>
      </c>
      <c r="H783" s="36" t="s">
        <v>2035</v>
      </c>
      <c r="I783" s="36" t="s">
        <v>74</v>
      </c>
      <c r="J783" s="36" t="str">
        <f t="shared" si="32"/>
        <v>Medical Education and DrugsMedical Education EstablishmentCग्रंथसुचिकारS6 (19900 - 63200)</v>
      </c>
      <c r="K783" s="36" t="s">
        <v>170</v>
      </c>
      <c r="L783" s="36" t="s">
        <v>228</v>
      </c>
      <c r="M783" s="38" t="s">
        <v>2034</v>
      </c>
      <c r="N783" s="36" t="s">
        <v>172</v>
      </c>
      <c r="O783" s="6" t="s">
        <v>33</v>
      </c>
      <c r="P783" s="7">
        <v>0</v>
      </c>
      <c r="Q783" s="7" t="s">
        <v>34</v>
      </c>
      <c r="R783" s="8"/>
      <c r="S783" s="8"/>
      <c r="T783" s="7" t="s">
        <v>2395</v>
      </c>
      <c r="U783" s="36" t="s">
        <v>35</v>
      </c>
      <c r="V783" s="38" t="s">
        <v>2034</v>
      </c>
      <c r="W783" s="36"/>
      <c r="X783" s="36" t="s">
        <v>150</v>
      </c>
      <c r="Y783" s="36" t="s">
        <v>150</v>
      </c>
      <c r="Z783" s="41"/>
      <c r="AA783" s="42" t="e">
        <f>_xlfn.XLOOKUP(C783,#REF!,#REF!,"",0,1)</f>
        <v>#REF!</v>
      </c>
      <c r="AB783" s="43">
        <f t="shared" si="34"/>
        <v>0</v>
      </c>
    </row>
    <row r="784" spans="1:28" ht="130.5" thickBot="1" x14ac:dyDescent="0.3">
      <c r="A784" s="36">
        <v>783</v>
      </c>
      <c r="B784" s="36" t="s">
        <v>24</v>
      </c>
      <c r="C784" s="36" t="s">
        <v>1645</v>
      </c>
      <c r="D784" s="37">
        <v>46014</v>
      </c>
      <c r="E784" s="36" t="s">
        <v>1646</v>
      </c>
      <c r="F784" s="36" t="s">
        <v>1844</v>
      </c>
      <c r="G784" s="36" t="s">
        <v>55</v>
      </c>
      <c r="H784" s="36" t="s">
        <v>2036</v>
      </c>
      <c r="I784" s="36" t="s">
        <v>74</v>
      </c>
      <c r="J784" s="36" t="str">
        <f t="shared" si="32"/>
        <v>Medical Education and DrugsMedical Education EstablishmentCजनरेटर ऑपरेटर / Generator OperatorS6 (19900 - 63200)</v>
      </c>
      <c r="K784" s="36" t="s">
        <v>1385</v>
      </c>
      <c r="L784" s="36" t="s">
        <v>225</v>
      </c>
      <c r="M784" s="38" t="s">
        <v>2037</v>
      </c>
      <c r="N784" s="36" t="s">
        <v>505</v>
      </c>
      <c r="O784" s="6" t="s">
        <v>33</v>
      </c>
      <c r="P784" s="7">
        <v>0</v>
      </c>
      <c r="Q784" s="7" t="s">
        <v>34</v>
      </c>
      <c r="R784" s="8"/>
      <c r="S784" s="8"/>
      <c r="T784" s="7" t="s">
        <v>2395</v>
      </c>
      <c r="U784" s="36" t="s">
        <v>35</v>
      </c>
      <c r="V784" s="38" t="s">
        <v>2038</v>
      </c>
      <c r="W784" s="36"/>
      <c r="X784" s="36" t="s">
        <v>150</v>
      </c>
      <c r="Y784" s="36" t="s">
        <v>150</v>
      </c>
      <c r="Z784" s="41"/>
      <c r="AA784" s="42" t="e">
        <f>_xlfn.XLOOKUP(C784,#REF!,#REF!,"",0,1)</f>
        <v>#REF!</v>
      </c>
      <c r="AB784" s="43">
        <f t="shared" si="34"/>
        <v>0</v>
      </c>
    </row>
    <row r="785" spans="1:28" ht="130.5" thickBot="1" x14ac:dyDescent="0.3">
      <c r="A785" s="36">
        <v>784</v>
      </c>
      <c r="B785" s="36" t="s">
        <v>1547</v>
      </c>
      <c r="C785" s="36" t="s">
        <v>1645</v>
      </c>
      <c r="D785" s="37">
        <v>46014</v>
      </c>
      <c r="E785" s="36" t="s">
        <v>1646</v>
      </c>
      <c r="F785" s="36" t="s">
        <v>1844</v>
      </c>
      <c r="G785" s="36" t="s">
        <v>55</v>
      </c>
      <c r="H785" s="36" t="s">
        <v>2039</v>
      </c>
      <c r="I785" s="36" t="s">
        <v>74</v>
      </c>
      <c r="J785" s="36" t="str">
        <f t="shared" si="32"/>
        <v>Medical Education and DrugsMedical Education EstablishmentCविद्युत जनित्र चालक / Generator OperatorS6 (19900 - 63200)</v>
      </c>
      <c r="K785" s="36" t="s">
        <v>127</v>
      </c>
      <c r="L785" s="36" t="s">
        <v>225</v>
      </c>
      <c r="M785" s="38" t="s">
        <v>2040</v>
      </c>
      <c r="N785" s="36" t="s">
        <v>129</v>
      </c>
      <c r="O785" s="6" t="s">
        <v>33</v>
      </c>
      <c r="P785" s="8"/>
      <c r="Q785" s="7" t="s">
        <v>34</v>
      </c>
      <c r="R785" s="8"/>
      <c r="S785" s="8"/>
      <c r="T785" s="7" t="s">
        <v>35</v>
      </c>
      <c r="U785" s="36" t="s">
        <v>35</v>
      </c>
      <c r="V785" s="38" t="s">
        <v>2041</v>
      </c>
      <c r="W785" s="36"/>
      <c r="X785" s="36" t="s">
        <v>2042</v>
      </c>
      <c r="Y785" s="36" t="s">
        <v>502</v>
      </c>
      <c r="Z785" s="41"/>
      <c r="AA785" s="42" t="e">
        <f>_xlfn.XLOOKUP(C785,#REF!,#REF!,"",0,1)</f>
        <v>#REF!</v>
      </c>
      <c r="AB785" s="43">
        <f t="shared" si="34"/>
        <v>0</v>
      </c>
    </row>
    <row r="786" spans="1:28" ht="143.5" thickBot="1" x14ac:dyDescent="0.3">
      <c r="A786" s="36">
        <v>785</v>
      </c>
      <c r="B786" s="36" t="s">
        <v>24</v>
      </c>
      <c r="C786" s="36" t="s">
        <v>1645</v>
      </c>
      <c r="D786" s="37">
        <v>46014</v>
      </c>
      <c r="E786" s="36" t="s">
        <v>1646</v>
      </c>
      <c r="F786" s="36" t="s">
        <v>1844</v>
      </c>
      <c r="G786" s="36" t="s">
        <v>55</v>
      </c>
      <c r="H786" s="36" t="s">
        <v>2043</v>
      </c>
      <c r="I786" s="36" t="s">
        <v>74</v>
      </c>
      <c r="J786" s="36" t="str">
        <f t="shared" si="32"/>
        <v>Medical Education and DrugsMedical Education EstablishmentCविजतंत्री /ElectricianS6 (19900 - 63200)</v>
      </c>
      <c r="K786" s="36" t="s">
        <v>127</v>
      </c>
      <c r="L786" s="36" t="s">
        <v>225</v>
      </c>
      <c r="M786" s="38" t="s">
        <v>2044</v>
      </c>
      <c r="N786" s="36" t="s">
        <v>129</v>
      </c>
      <c r="O786" s="6" t="s">
        <v>33</v>
      </c>
      <c r="P786" s="7">
        <v>29</v>
      </c>
      <c r="Q786" s="7" t="s">
        <v>34</v>
      </c>
      <c r="R786" s="8"/>
      <c r="S786" s="8"/>
      <c r="T786" s="7" t="s">
        <v>35</v>
      </c>
      <c r="U786" s="36" t="s">
        <v>35</v>
      </c>
      <c r="V786" s="38" t="s">
        <v>2045</v>
      </c>
      <c r="W786" s="36"/>
      <c r="X786" s="36" t="s">
        <v>2046</v>
      </c>
      <c r="Y786" s="36" t="s">
        <v>502</v>
      </c>
      <c r="Z786" s="41"/>
      <c r="AA786" s="42" t="e">
        <f>_xlfn.XLOOKUP(C786,#REF!,#REF!,"",0,1)</f>
        <v>#REF!</v>
      </c>
      <c r="AB786" s="43">
        <f t="shared" si="34"/>
        <v>0</v>
      </c>
    </row>
    <row r="787" spans="1:28" ht="104.5" thickBot="1" x14ac:dyDescent="0.3">
      <c r="A787" s="36">
        <v>786</v>
      </c>
      <c r="B787" s="36" t="s">
        <v>24</v>
      </c>
      <c r="C787" s="36" t="s">
        <v>1645</v>
      </c>
      <c r="D787" s="37">
        <v>46014</v>
      </c>
      <c r="E787" s="36" t="s">
        <v>1646</v>
      </c>
      <c r="F787" s="36" t="s">
        <v>1844</v>
      </c>
      <c r="G787" s="36" t="s">
        <v>55</v>
      </c>
      <c r="H787" s="36" t="s">
        <v>2047</v>
      </c>
      <c r="I787" s="36" t="s">
        <v>74</v>
      </c>
      <c r="J787" s="36" t="str">
        <f t="shared" si="32"/>
        <v>Medical Education and DrugsMedical Education EstablishmentCसुतार / CarpenterS6 (19900 - 63200)</v>
      </c>
      <c r="K787" s="36" t="s">
        <v>127</v>
      </c>
      <c r="L787" s="36" t="s">
        <v>225</v>
      </c>
      <c r="M787" s="38" t="s">
        <v>2048</v>
      </c>
      <c r="N787" s="36" t="s">
        <v>41</v>
      </c>
      <c r="O787" s="6" t="s">
        <v>33</v>
      </c>
      <c r="P787" s="7">
        <v>7</v>
      </c>
      <c r="Q787" s="7" t="s">
        <v>34</v>
      </c>
      <c r="R787" s="8"/>
      <c r="S787" s="8"/>
      <c r="T787" s="7" t="s">
        <v>35</v>
      </c>
      <c r="U787" s="36" t="s">
        <v>35</v>
      </c>
      <c r="V787" s="38" t="s">
        <v>2049</v>
      </c>
      <c r="W787" s="36"/>
      <c r="X787" s="36" t="s">
        <v>2050</v>
      </c>
      <c r="Y787" s="36" t="s">
        <v>502</v>
      </c>
      <c r="Z787" s="41"/>
      <c r="AA787" s="42" t="e">
        <f>_xlfn.XLOOKUP(C787,#REF!,#REF!,"",0,1)</f>
        <v>#REF!</v>
      </c>
      <c r="AB787" s="43">
        <f t="shared" si="34"/>
        <v>0</v>
      </c>
    </row>
    <row r="788" spans="1:28" ht="91.5" thickBot="1" x14ac:dyDescent="0.3">
      <c r="A788" s="36">
        <v>787</v>
      </c>
      <c r="B788" s="36" t="s">
        <v>24</v>
      </c>
      <c r="C788" s="36" t="s">
        <v>1645</v>
      </c>
      <c r="D788" s="37">
        <v>46014</v>
      </c>
      <c r="E788" s="36" t="s">
        <v>1646</v>
      </c>
      <c r="F788" s="36" t="s">
        <v>1844</v>
      </c>
      <c r="G788" s="36" t="s">
        <v>55</v>
      </c>
      <c r="H788" s="36" t="s">
        <v>2051</v>
      </c>
      <c r="I788" s="36" t="s">
        <v>74</v>
      </c>
      <c r="J788" s="36" t="str">
        <f t="shared" si="32"/>
        <v>Medical Education and DrugsMedical Education EstablishmentCशिंपी / TailorS6 (19900 - 63200)</v>
      </c>
      <c r="K788" s="36"/>
      <c r="L788" s="36" t="s">
        <v>238</v>
      </c>
      <c r="M788" s="38" t="s">
        <v>2010</v>
      </c>
      <c r="N788" s="36" t="s">
        <v>283</v>
      </c>
      <c r="O788" s="6" t="s">
        <v>33</v>
      </c>
      <c r="P788" s="7">
        <v>1</v>
      </c>
      <c r="Q788" s="7" t="s">
        <v>34</v>
      </c>
      <c r="R788" s="8"/>
      <c r="S788" s="8"/>
      <c r="T788" s="7" t="s">
        <v>2395</v>
      </c>
      <c r="U788" s="36" t="s">
        <v>35</v>
      </c>
      <c r="V788" s="38"/>
      <c r="W788" s="36"/>
      <c r="X788" s="36"/>
      <c r="Y788" s="36"/>
      <c r="Z788" s="41"/>
      <c r="AA788" s="42" t="e">
        <f>_xlfn.XLOOKUP(C788,#REF!,#REF!,"",0,1)</f>
        <v>#REF!</v>
      </c>
      <c r="AB788" s="43">
        <f t="shared" si="34"/>
        <v>0</v>
      </c>
    </row>
    <row r="789" spans="1:28" ht="182.5" thickBot="1" x14ac:dyDescent="0.3">
      <c r="A789" s="36">
        <v>788</v>
      </c>
      <c r="B789" s="36" t="s">
        <v>494</v>
      </c>
      <c r="C789" s="36" t="s">
        <v>1645</v>
      </c>
      <c r="D789" s="37">
        <v>46014</v>
      </c>
      <c r="E789" s="36" t="s">
        <v>1646</v>
      </c>
      <c r="F789" s="36" t="s">
        <v>1844</v>
      </c>
      <c r="G789" s="36" t="s">
        <v>55</v>
      </c>
      <c r="H789" s="36" t="s">
        <v>2052</v>
      </c>
      <c r="I789" s="36" t="s">
        <v>74</v>
      </c>
      <c r="J789" s="36" t="str">
        <f t="shared" si="32"/>
        <v>Medical Education and DrugsMedical Education EstablishmentCवाहन चालक / DriverS6 (19900 - 63200)</v>
      </c>
      <c r="K789" s="36"/>
      <c r="L789" s="36"/>
      <c r="M789" s="38" t="s">
        <v>2053</v>
      </c>
      <c r="N789" s="36"/>
      <c r="O789" s="6" t="s">
        <v>33</v>
      </c>
      <c r="P789" s="8"/>
      <c r="Q789" s="7" t="s">
        <v>34</v>
      </c>
      <c r="R789" s="8"/>
      <c r="S789" s="8"/>
      <c r="T789" s="4" t="s">
        <v>3276</v>
      </c>
      <c r="U789" s="36" t="s">
        <v>35</v>
      </c>
      <c r="V789" s="38"/>
      <c r="W789" s="36"/>
      <c r="X789" s="36"/>
      <c r="Y789" s="36"/>
      <c r="Z789" s="41"/>
      <c r="AA789" s="42" t="e">
        <f>_xlfn.XLOOKUP(C789,#REF!,#REF!,"",0,1)</f>
        <v>#REF!</v>
      </c>
      <c r="AB789" s="43">
        <f t="shared" si="34"/>
        <v>0</v>
      </c>
    </row>
    <row r="790" spans="1:28" ht="117.5" thickBot="1" x14ac:dyDescent="0.3">
      <c r="A790" s="44">
        <v>789</v>
      </c>
      <c r="B790" s="44" t="s">
        <v>24</v>
      </c>
      <c r="C790" s="36" t="s">
        <v>1645</v>
      </c>
      <c r="D790" s="37">
        <v>46014</v>
      </c>
      <c r="E790" s="44" t="s">
        <v>1646</v>
      </c>
      <c r="F790" s="44" t="s">
        <v>1844</v>
      </c>
      <c r="G790" s="44" t="s">
        <v>55</v>
      </c>
      <c r="H790" s="44" t="s">
        <v>2054</v>
      </c>
      <c r="I790" s="44" t="s">
        <v>74</v>
      </c>
      <c r="J790" s="44" t="str">
        <f t="shared" si="32"/>
        <v>Medical Education and DrugsMedical Education EstablishmentCदुरध्वनी चालक / Telephone OperatorS6 (19900 - 63200)</v>
      </c>
      <c r="K790" s="44"/>
      <c r="L790" s="44" t="s">
        <v>261</v>
      </c>
      <c r="M790" s="45" t="s">
        <v>2055</v>
      </c>
      <c r="N790" s="44" t="s">
        <v>113</v>
      </c>
      <c r="O790" s="11" t="s">
        <v>33</v>
      </c>
      <c r="P790" s="12">
        <v>17</v>
      </c>
      <c r="Q790" s="12" t="s">
        <v>34</v>
      </c>
      <c r="R790" s="13"/>
      <c r="S790" s="13"/>
      <c r="T790" s="4" t="s">
        <v>3276</v>
      </c>
      <c r="U790" s="44" t="s">
        <v>35</v>
      </c>
      <c r="V790" s="45"/>
      <c r="W790" s="44"/>
      <c r="X790" s="44"/>
      <c r="Y790" s="44"/>
      <c r="Z790" s="41"/>
      <c r="AA790" s="42" t="e">
        <f>_xlfn.XLOOKUP(C790,#REF!,#REF!,"",0,1)</f>
        <v>#REF!</v>
      </c>
      <c r="AB790" s="43">
        <f t="shared" si="34"/>
        <v>0</v>
      </c>
    </row>
    <row r="791" spans="1:28" ht="104.5" thickBot="1" x14ac:dyDescent="0.3">
      <c r="A791" s="44">
        <v>790</v>
      </c>
      <c r="B791" s="44" t="s">
        <v>24</v>
      </c>
      <c r="C791" s="36" t="s">
        <v>1645</v>
      </c>
      <c r="D791" s="37">
        <v>46014</v>
      </c>
      <c r="E791" s="44" t="s">
        <v>1646</v>
      </c>
      <c r="F791" s="44" t="s">
        <v>1844</v>
      </c>
      <c r="G791" s="44" t="s">
        <v>55</v>
      </c>
      <c r="H791" s="44" t="s">
        <v>2056</v>
      </c>
      <c r="I791" s="44" t="s">
        <v>74</v>
      </c>
      <c r="J791" s="44" t="str">
        <f t="shared" si="32"/>
        <v>Medical Education and DrugsMedical Education EstablishmentCनळ कारागीर / PlumberS6 (19900 - 63200)</v>
      </c>
      <c r="K791" s="44"/>
      <c r="L791" s="44" t="s">
        <v>261</v>
      </c>
      <c r="M791" s="45" t="s">
        <v>2057</v>
      </c>
      <c r="N791" s="44" t="s">
        <v>113</v>
      </c>
      <c r="O791" s="11" t="s">
        <v>33</v>
      </c>
      <c r="P791" s="12">
        <v>12</v>
      </c>
      <c r="Q791" s="12" t="s">
        <v>34</v>
      </c>
      <c r="R791" s="13"/>
      <c r="S791" s="13"/>
      <c r="T791" s="4" t="s">
        <v>3276</v>
      </c>
      <c r="U791" s="44" t="s">
        <v>35</v>
      </c>
      <c r="V791" s="45"/>
      <c r="W791" s="44"/>
      <c r="X791" s="44"/>
      <c r="Y791" s="44"/>
      <c r="Z791" s="41"/>
      <c r="AA791" s="42" t="e">
        <f>_xlfn.XLOOKUP(C791,#REF!,#REF!,"",0,1)</f>
        <v>#REF!</v>
      </c>
      <c r="AB791" s="43">
        <f t="shared" si="34"/>
        <v>0</v>
      </c>
    </row>
    <row r="792" spans="1:28" ht="91.5" thickBot="1" x14ac:dyDescent="0.3">
      <c r="A792" s="44">
        <v>791</v>
      </c>
      <c r="B792" s="44" t="s">
        <v>24</v>
      </c>
      <c r="C792" s="36" t="s">
        <v>1645</v>
      </c>
      <c r="D792" s="37">
        <v>46014</v>
      </c>
      <c r="E792" s="44" t="s">
        <v>1646</v>
      </c>
      <c r="F792" s="44" t="s">
        <v>1844</v>
      </c>
      <c r="G792" s="44" t="s">
        <v>55</v>
      </c>
      <c r="H792" s="44" t="s">
        <v>2058</v>
      </c>
      <c r="I792" s="44" t="s">
        <v>74</v>
      </c>
      <c r="J792" s="44" t="str">
        <f t="shared" si="32"/>
        <v>Medical Education and DrugsMedical Education EstablishmentCजोडारीS6 (19900 - 63200)</v>
      </c>
      <c r="K792" s="44"/>
      <c r="L792" s="44" t="s">
        <v>261</v>
      </c>
      <c r="M792" s="45" t="s">
        <v>2059</v>
      </c>
      <c r="N792" s="44" t="s">
        <v>113</v>
      </c>
      <c r="O792" s="11" t="s">
        <v>33</v>
      </c>
      <c r="P792" s="12">
        <v>2</v>
      </c>
      <c r="Q792" s="12" t="s">
        <v>34</v>
      </c>
      <c r="R792" s="13"/>
      <c r="S792" s="13"/>
      <c r="T792" s="4" t="s">
        <v>3276</v>
      </c>
      <c r="U792" s="44" t="s">
        <v>35</v>
      </c>
      <c r="V792" s="45"/>
      <c r="W792" s="44"/>
      <c r="X792" s="44"/>
      <c r="Y792" s="44"/>
      <c r="Z792" s="41"/>
      <c r="AA792" s="42" t="e">
        <f>_xlfn.XLOOKUP(C792,#REF!,#REF!,"",0,1)</f>
        <v>#REF!</v>
      </c>
      <c r="AB792" s="43">
        <f t="shared" si="34"/>
        <v>0</v>
      </c>
    </row>
    <row r="793" spans="1:28" ht="104.5" thickBot="1" x14ac:dyDescent="0.3">
      <c r="A793" s="36">
        <v>792</v>
      </c>
      <c r="B793" s="36" t="s">
        <v>24</v>
      </c>
      <c r="C793" s="36" t="s">
        <v>1645</v>
      </c>
      <c r="D793" s="37">
        <v>46014</v>
      </c>
      <c r="E793" s="36" t="s">
        <v>1646</v>
      </c>
      <c r="F793" s="36" t="s">
        <v>1844</v>
      </c>
      <c r="G793" s="36" t="s">
        <v>55</v>
      </c>
      <c r="H793" s="36" t="s">
        <v>2060</v>
      </c>
      <c r="I793" s="36" t="s">
        <v>169</v>
      </c>
      <c r="J793" s="36" t="str">
        <f t="shared" si="32"/>
        <v>Medical Education and DrugsMedical Education EstablishmentCवस्त्रपाल / Linen KeeperS7 (21700 - 69100)</v>
      </c>
      <c r="K793" s="36" t="s">
        <v>197</v>
      </c>
      <c r="L793" s="36" t="s">
        <v>228</v>
      </c>
      <c r="M793" s="38" t="s">
        <v>2061</v>
      </c>
      <c r="N793" s="36" t="s">
        <v>199</v>
      </c>
      <c r="O793" s="6" t="s">
        <v>33</v>
      </c>
      <c r="P793" s="7">
        <v>46</v>
      </c>
      <c r="Q793" s="7" t="s">
        <v>34</v>
      </c>
      <c r="R793" s="8"/>
      <c r="S793" s="8"/>
      <c r="T793" s="7" t="s">
        <v>35</v>
      </c>
      <c r="U793" s="36" t="s">
        <v>35</v>
      </c>
      <c r="V793" s="38" t="s">
        <v>2062</v>
      </c>
      <c r="W793" s="36"/>
      <c r="X793" s="36" t="s">
        <v>2063</v>
      </c>
      <c r="Y793" s="36" t="s">
        <v>2064</v>
      </c>
      <c r="Z793" s="41"/>
      <c r="AA793" s="42" t="e">
        <f>_xlfn.XLOOKUP(C793,#REF!,#REF!,"",0,1)</f>
        <v>#REF!</v>
      </c>
      <c r="AB793" s="43">
        <f t="shared" si="34"/>
        <v>0</v>
      </c>
    </row>
    <row r="794" spans="1:28" ht="130.5" thickBot="1" x14ac:dyDescent="0.3">
      <c r="A794" s="36">
        <v>793</v>
      </c>
      <c r="B794" s="36" t="s">
        <v>24</v>
      </c>
      <c r="C794" s="36" t="s">
        <v>1645</v>
      </c>
      <c r="D794" s="37">
        <v>46014</v>
      </c>
      <c r="E794" s="36" t="s">
        <v>1646</v>
      </c>
      <c r="F794" s="36" t="s">
        <v>1844</v>
      </c>
      <c r="G794" s="36" t="s">
        <v>55</v>
      </c>
      <c r="H794" s="36" t="s">
        <v>2065</v>
      </c>
      <c r="I794" s="36" t="s">
        <v>169</v>
      </c>
      <c r="J794" s="36" t="str">
        <f t="shared" si="32"/>
        <v>Medical Education and DrugsMedical Education EstablishmentCप्रयोगशाळा सहायक / Laboratory AssistantS7 (21700 - 69100)</v>
      </c>
      <c r="K794" s="36" t="s">
        <v>1744</v>
      </c>
      <c r="L794" s="36" t="s">
        <v>225</v>
      </c>
      <c r="M794" s="38" t="s">
        <v>1962</v>
      </c>
      <c r="N794" s="36" t="s">
        <v>41</v>
      </c>
      <c r="O794" s="6" t="s">
        <v>83</v>
      </c>
      <c r="P794" s="7">
        <v>0</v>
      </c>
      <c r="Q794" s="7" t="s">
        <v>34</v>
      </c>
      <c r="R794" s="8"/>
      <c r="S794" s="8"/>
      <c r="T794" s="7" t="s">
        <v>2395</v>
      </c>
      <c r="U794" s="36" t="s">
        <v>35</v>
      </c>
      <c r="V794" s="38" t="s">
        <v>2066</v>
      </c>
      <c r="W794" s="36"/>
      <c r="X794" s="36" t="s">
        <v>2067</v>
      </c>
      <c r="Y794" s="36" t="s">
        <v>2068</v>
      </c>
      <c r="Z794" s="41"/>
      <c r="AA794" s="42" t="e">
        <f>_xlfn.XLOOKUP(C794,#REF!,#REF!,"",0,1)</f>
        <v>#REF!</v>
      </c>
      <c r="AB794" s="43">
        <f t="shared" si="34"/>
        <v>0</v>
      </c>
    </row>
    <row r="795" spans="1:28" ht="169.5" thickBot="1" x14ac:dyDescent="0.3">
      <c r="A795" s="36">
        <v>794</v>
      </c>
      <c r="B795" s="36" t="s">
        <v>24</v>
      </c>
      <c r="C795" s="36" t="s">
        <v>1645</v>
      </c>
      <c r="D795" s="37">
        <v>46014</v>
      </c>
      <c r="E795" s="36" t="s">
        <v>1646</v>
      </c>
      <c r="F795" s="36" t="s">
        <v>1844</v>
      </c>
      <c r="G795" s="36" t="s">
        <v>55</v>
      </c>
      <c r="H795" s="36" t="s">
        <v>2069</v>
      </c>
      <c r="I795" s="36" t="s">
        <v>169</v>
      </c>
      <c r="J795" s="36" t="str">
        <f t="shared" si="32"/>
        <v>Medical Education and DrugsMedical Education EstablishmentCक्ष किरण सहाय्यक / X ray AssistantS7 (21700 - 69100)</v>
      </c>
      <c r="K795" s="36" t="s">
        <v>127</v>
      </c>
      <c r="L795" s="36" t="s">
        <v>225</v>
      </c>
      <c r="M795" s="38" t="s">
        <v>2070</v>
      </c>
      <c r="N795" s="36" t="s">
        <v>129</v>
      </c>
      <c r="O795" s="6" t="s">
        <v>83</v>
      </c>
      <c r="P795" s="7">
        <v>5</v>
      </c>
      <c r="Q795" s="7" t="s">
        <v>34</v>
      </c>
      <c r="R795" s="8"/>
      <c r="S795" s="8"/>
      <c r="T795" s="7" t="s">
        <v>35</v>
      </c>
      <c r="U795" s="36" t="s">
        <v>35</v>
      </c>
      <c r="V795" s="38" t="s">
        <v>2071</v>
      </c>
      <c r="W795" s="36"/>
      <c r="X795" s="36" t="s">
        <v>2072</v>
      </c>
      <c r="Y795" s="36" t="s">
        <v>1964</v>
      </c>
      <c r="Z795" s="41"/>
      <c r="AA795" s="42" t="e">
        <f>_xlfn.XLOOKUP(C795,#REF!,#REF!,"",0,1)</f>
        <v>#REF!</v>
      </c>
      <c r="AB795" s="43">
        <f t="shared" si="34"/>
        <v>0</v>
      </c>
    </row>
    <row r="796" spans="1:28" ht="117.5" thickBot="1" x14ac:dyDescent="0.3">
      <c r="A796" s="36">
        <v>795</v>
      </c>
      <c r="B796" s="36" t="s">
        <v>24</v>
      </c>
      <c r="C796" s="36" t="s">
        <v>1645</v>
      </c>
      <c r="D796" s="37">
        <v>46014</v>
      </c>
      <c r="E796" s="36" t="s">
        <v>1646</v>
      </c>
      <c r="F796" s="36" t="s">
        <v>1844</v>
      </c>
      <c r="G796" s="36" t="s">
        <v>55</v>
      </c>
      <c r="H796" s="36" t="s">
        <v>2073</v>
      </c>
      <c r="I796" s="36" t="s">
        <v>80</v>
      </c>
      <c r="J796" s="36" t="str">
        <f t="shared" si="32"/>
        <v>Medical Education and DrugsMedical Education EstablishmentCदंत आरोग्यक Dental HygienistS8 (25500 - 81100)</v>
      </c>
      <c r="K796" s="36" t="s">
        <v>1923</v>
      </c>
      <c r="L796" s="36" t="s">
        <v>225</v>
      </c>
      <c r="M796" s="38" t="s">
        <v>2074</v>
      </c>
      <c r="N796" s="36" t="s">
        <v>41</v>
      </c>
      <c r="O796" s="6" t="s">
        <v>33</v>
      </c>
      <c r="P796" s="7">
        <v>6</v>
      </c>
      <c r="Q796" s="7" t="s">
        <v>34</v>
      </c>
      <c r="R796" s="8"/>
      <c r="S796" s="8"/>
      <c r="T796" s="7" t="s">
        <v>35</v>
      </c>
      <c r="U796" s="36" t="s">
        <v>35</v>
      </c>
      <c r="V796" s="38" t="s">
        <v>2074</v>
      </c>
      <c r="W796" s="36"/>
      <c r="X796" s="36" t="s">
        <v>150</v>
      </c>
      <c r="Y796" s="36" t="s">
        <v>150</v>
      </c>
      <c r="Z796" s="41"/>
      <c r="AA796" s="42" t="e">
        <f>_xlfn.XLOOKUP(C796,#REF!,#REF!,"",0,1)</f>
        <v>#REF!</v>
      </c>
      <c r="AB796" s="43">
        <f t="shared" si="34"/>
        <v>0</v>
      </c>
    </row>
    <row r="797" spans="1:28" ht="130.5" thickBot="1" x14ac:dyDescent="0.3">
      <c r="A797" s="36">
        <v>796</v>
      </c>
      <c r="B797" s="36" t="s">
        <v>24</v>
      </c>
      <c r="C797" s="36" t="s">
        <v>1645</v>
      </c>
      <c r="D797" s="37">
        <v>46014</v>
      </c>
      <c r="E797" s="36" t="s">
        <v>1646</v>
      </c>
      <c r="F797" s="36" t="s">
        <v>1844</v>
      </c>
      <c r="G797" s="36" t="s">
        <v>55</v>
      </c>
      <c r="H797" s="36" t="s">
        <v>2075</v>
      </c>
      <c r="I797" s="36" t="s">
        <v>80</v>
      </c>
      <c r="J797" s="36" t="str">
        <f t="shared" si="32"/>
        <v>Medical Education and DrugsMedical Education EstablishmentCस्वच्छता निरिक्षक / Sanitory InspectorS8 (25500 - 81100)</v>
      </c>
      <c r="K797" s="36" t="s">
        <v>2076</v>
      </c>
      <c r="L797" s="36" t="s">
        <v>228</v>
      </c>
      <c r="M797" s="38" t="s">
        <v>2077</v>
      </c>
      <c r="N797" s="36" t="s">
        <v>2078</v>
      </c>
      <c r="O797" s="6" t="s">
        <v>33</v>
      </c>
      <c r="P797" s="7">
        <v>0</v>
      </c>
      <c r="Q797" s="7" t="s">
        <v>34</v>
      </c>
      <c r="R797" s="8"/>
      <c r="S797" s="8"/>
      <c r="T797" s="7" t="s">
        <v>2395</v>
      </c>
      <c r="U797" s="36" t="s">
        <v>35</v>
      </c>
      <c r="V797" s="38" t="s">
        <v>2079</v>
      </c>
      <c r="W797" s="36"/>
      <c r="X797" s="36" t="s">
        <v>2080</v>
      </c>
      <c r="Y797" s="36" t="s">
        <v>2081</v>
      </c>
      <c r="Z797" s="41"/>
      <c r="AA797" s="42" t="e">
        <f>_xlfn.XLOOKUP(C797,#REF!,#REF!,"",0,1)</f>
        <v>#REF!</v>
      </c>
      <c r="AB797" s="43">
        <f t="shared" si="34"/>
        <v>0</v>
      </c>
    </row>
    <row r="798" spans="1:28" ht="117.5" thickBot="1" x14ac:dyDescent="0.3">
      <c r="A798" s="36">
        <v>797</v>
      </c>
      <c r="B798" s="36" t="s">
        <v>24</v>
      </c>
      <c r="C798" s="36" t="s">
        <v>1645</v>
      </c>
      <c r="D798" s="37">
        <v>46014</v>
      </c>
      <c r="E798" s="36" t="s">
        <v>1646</v>
      </c>
      <c r="F798" s="36" t="s">
        <v>1844</v>
      </c>
      <c r="G798" s="36" t="s">
        <v>55</v>
      </c>
      <c r="H798" s="36" t="s">
        <v>2082</v>
      </c>
      <c r="I798" s="36" t="s">
        <v>80</v>
      </c>
      <c r="J798" s="36" t="str">
        <f t="shared" si="32"/>
        <v>Medical Education and DrugsMedical Education EstablishmentCलघुटंकलेखक / StenographerS8 (25500 - 81100)</v>
      </c>
      <c r="K798" s="36" t="s">
        <v>68</v>
      </c>
      <c r="L798" s="36" t="s">
        <v>231</v>
      </c>
      <c r="M798" s="38" t="s">
        <v>2021</v>
      </c>
      <c r="N798" s="36" t="s">
        <v>70</v>
      </c>
      <c r="O798" s="6" t="s">
        <v>33</v>
      </c>
      <c r="P798" s="7">
        <v>5</v>
      </c>
      <c r="Q798" s="7" t="s">
        <v>34</v>
      </c>
      <c r="R798" s="8"/>
      <c r="S798" s="8"/>
      <c r="T798" s="4" t="s">
        <v>3276</v>
      </c>
      <c r="U798" s="36" t="s">
        <v>35</v>
      </c>
      <c r="V798" s="38"/>
      <c r="W798" s="36"/>
      <c r="X798" s="36"/>
      <c r="Y798" s="36"/>
      <c r="Z798" s="41"/>
      <c r="AA798" s="42" t="e">
        <f>_xlfn.XLOOKUP(C798,#REF!,#REF!,"",0,1)</f>
        <v>#REF!</v>
      </c>
      <c r="AB798" s="43">
        <f t="shared" si="34"/>
        <v>0</v>
      </c>
    </row>
    <row r="799" spans="1:28" ht="65.5" thickBot="1" x14ac:dyDescent="0.35">
      <c r="A799" s="36">
        <v>798</v>
      </c>
      <c r="B799" s="36" t="s">
        <v>24</v>
      </c>
      <c r="C799" s="36" t="s">
        <v>263</v>
      </c>
      <c r="D799" s="37">
        <v>44551</v>
      </c>
      <c r="E799" s="36" t="s">
        <v>2083</v>
      </c>
      <c r="F799" s="36" t="s">
        <v>2084</v>
      </c>
      <c r="G799" s="36" t="s">
        <v>28</v>
      </c>
      <c r="H799" s="36" t="s">
        <v>2085</v>
      </c>
      <c r="I799" s="36" t="s">
        <v>30</v>
      </c>
      <c r="J799" s="36" t="str">
        <f t="shared" si="32"/>
        <v>MiningMining EstablishmentAGeologistS18 (49100 - 155800)</v>
      </c>
      <c r="K799" s="36" t="s">
        <v>2086</v>
      </c>
      <c r="L799" s="36" t="s">
        <v>247</v>
      </c>
      <c r="M799" s="38" t="s">
        <v>2087</v>
      </c>
      <c r="N799" s="36" t="s">
        <v>60</v>
      </c>
      <c r="O799" s="6" t="s">
        <v>33</v>
      </c>
      <c r="P799" s="7">
        <v>11</v>
      </c>
      <c r="Q799" s="7" t="s">
        <v>100</v>
      </c>
      <c r="R799" s="14"/>
      <c r="S799" s="7" t="s">
        <v>2088</v>
      </c>
      <c r="T799" s="7" t="s">
        <v>35</v>
      </c>
      <c r="U799" s="36" t="s">
        <v>35</v>
      </c>
      <c r="V799" s="38"/>
      <c r="W799" s="36"/>
      <c r="X799" s="36"/>
      <c r="Y799" s="36"/>
      <c r="Z799" s="41"/>
      <c r="AA799" s="42" t="e">
        <f>_xlfn.XLOOKUP(C799,#REF!,#REF!,"",0,1)</f>
        <v>#REF!</v>
      </c>
      <c r="AB799" s="43">
        <f t="shared" si="34"/>
        <v>0</v>
      </c>
    </row>
    <row r="800" spans="1:28" ht="78.5" thickBot="1" x14ac:dyDescent="0.3">
      <c r="A800" s="36">
        <v>799</v>
      </c>
      <c r="B800" s="36" t="s">
        <v>24</v>
      </c>
      <c r="C800" s="36" t="s">
        <v>263</v>
      </c>
      <c r="D800" s="37">
        <v>44551</v>
      </c>
      <c r="E800" s="36" t="s">
        <v>2083</v>
      </c>
      <c r="F800" s="36" t="s">
        <v>2084</v>
      </c>
      <c r="G800" s="36" t="s">
        <v>28</v>
      </c>
      <c r="H800" s="36" t="s">
        <v>2089</v>
      </c>
      <c r="I800" s="36" t="s">
        <v>38</v>
      </c>
      <c r="J800" s="36" t="str">
        <f t="shared" si="32"/>
        <v>MiningMining EstablishmentADrilling EngineerS20 (56100 - 177500)</v>
      </c>
      <c r="K800" s="36"/>
      <c r="L800" s="36" t="s">
        <v>243</v>
      </c>
      <c r="M800" s="38" t="s">
        <v>2090</v>
      </c>
      <c r="N800" s="36" t="s">
        <v>32</v>
      </c>
      <c r="O800" s="6" t="s">
        <v>33</v>
      </c>
      <c r="P800" s="7">
        <v>0</v>
      </c>
      <c r="Q800" s="7" t="s">
        <v>34</v>
      </c>
      <c r="R800" s="8"/>
      <c r="S800" s="8"/>
      <c r="T800" s="4" t="s">
        <v>3276</v>
      </c>
      <c r="U800" s="36" t="s">
        <v>35</v>
      </c>
      <c r="V800" s="38"/>
      <c r="W800" s="36"/>
      <c r="X800" s="36"/>
      <c r="Y800" s="36"/>
      <c r="Z800" s="41"/>
      <c r="AA800" s="42" t="e">
        <f>_xlfn.XLOOKUP(C800,#REF!,#REF!,"",0,1)</f>
        <v>#REF!</v>
      </c>
      <c r="AB800" s="43">
        <f t="shared" si="34"/>
        <v>0</v>
      </c>
    </row>
    <row r="801" spans="1:28" ht="78.5" thickBot="1" x14ac:dyDescent="0.3">
      <c r="A801" s="36">
        <v>800</v>
      </c>
      <c r="B801" s="36" t="s">
        <v>24</v>
      </c>
      <c r="C801" s="36" t="s">
        <v>263</v>
      </c>
      <c r="D801" s="37">
        <v>44551</v>
      </c>
      <c r="E801" s="36" t="s">
        <v>2083</v>
      </c>
      <c r="F801" s="36" t="s">
        <v>2084</v>
      </c>
      <c r="G801" s="36" t="s">
        <v>28</v>
      </c>
      <c r="H801" s="36" t="s">
        <v>2091</v>
      </c>
      <c r="I801" s="36" t="s">
        <v>104</v>
      </c>
      <c r="J801" s="36" t="str">
        <f t="shared" si="32"/>
        <v>MiningMining EstablishmentASr. GeologistS22 (60000 - 190800)</v>
      </c>
      <c r="K801" s="36"/>
      <c r="L801" s="48" t="s">
        <v>243</v>
      </c>
      <c r="M801" s="38" t="s">
        <v>2092</v>
      </c>
      <c r="N801" s="40" t="s">
        <v>2093</v>
      </c>
      <c r="O801" s="6" t="s">
        <v>83</v>
      </c>
      <c r="P801" s="7">
        <v>11</v>
      </c>
      <c r="Q801" s="7" t="s">
        <v>100</v>
      </c>
      <c r="R801" s="8"/>
      <c r="S801" s="7" t="s">
        <v>2088</v>
      </c>
      <c r="T801" s="4" t="s">
        <v>3276</v>
      </c>
      <c r="U801" s="36" t="s">
        <v>61</v>
      </c>
      <c r="V801" s="38"/>
      <c r="W801" s="36"/>
      <c r="X801" s="36"/>
      <c r="Y801" s="36"/>
      <c r="Z801" s="41"/>
      <c r="AA801" s="42" t="e">
        <f>_xlfn.XLOOKUP(C801,#REF!,#REF!,"",0,1)</f>
        <v>#REF!</v>
      </c>
      <c r="AB801" s="43">
        <f t="shared" si="34"/>
        <v>0</v>
      </c>
    </row>
    <row r="802" spans="1:28" ht="78.5" thickBot="1" x14ac:dyDescent="0.3">
      <c r="A802" s="36">
        <v>801</v>
      </c>
      <c r="B802" s="36" t="s">
        <v>24</v>
      </c>
      <c r="C802" s="36" t="s">
        <v>263</v>
      </c>
      <c r="D802" s="37">
        <v>44551</v>
      </c>
      <c r="E802" s="36" t="s">
        <v>2083</v>
      </c>
      <c r="F802" s="36" t="s">
        <v>2084</v>
      </c>
      <c r="G802" s="36" t="s">
        <v>28</v>
      </c>
      <c r="H802" s="36" t="s">
        <v>2094</v>
      </c>
      <c r="I802" s="36" t="s">
        <v>242</v>
      </c>
      <c r="J802" s="36" t="str">
        <f t="shared" si="32"/>
        <v>MiningMining EstablishmentADy. DirectorS23 (67700 - 208700)</v>
      </c>
      <c r="K802" s="36"/>
      <c r="L802" s="36" t="s">
        <v>243</v>
      </c>
      <c r="M802" s="38" t="s">
        <v>2095</v>
      </c>
      <c r="N802" s="36" t="s">
        <v>32</v>
      </c>
      <c r="O802" s="6" t="s">
        <v>33</v>
      </c>
      <c r="P802" s="7">
        <v>2</v>
      </c>
      <c r="Q802" s="7" t="s">
        <v>100</v>
      </c>
      <c r="R802" s="8"/>
      <c r="S802" s="7" t="s">
        <v>2096</v>
      </c>
      <c r="T802" s="4" t="s">
        <v>3276</v>
      </c>
      <c r="U802" s="36" t="s">
        <v>35</v>
      </c>
      <c r="V802" s="38"/>
      <c r="W802" s="36"/>
      <c r="X802" s="36"/>
      <c r="Y802" s="36"/>
      <c r="Z802" s="41"/>
      <c r="AA802" s="42" t="e">
        <f>_xlfn.XLOOKUP(C802,#REF!,#REF!,"",0,1)</f>
        <v>#REF!</v>
      </c>
      <c r="AB802" s="43">
        <f t="shared" si="34"/>
        <v>0</v>
      </c>
    </row>
    <row r="803" spans="1:28" ht="78.5" thickBot="1" x14ac:dyDescent="0.3">
      <c r="A803" s="36">
        <v>802</v>
      </c>
      <c r="B803" s="36" t="s">
        <v>24</v>
      </c>
      <c r="C803" s="36" t="s">
        <v>263</v>
      </c>
      <c r="D803" s="37">
        <v>44551</v>
      </c>
      <c r="E803" s="36" t="s">
        <v>2083</v>
      </c>
      <c r="F803" s="36" t="s">
        <v>2084</v>
      </c>
      <c r="G803" s="36" t="s">
        <v>28</v>
      </c>
      <c r="H803" s="36" t="s">
        <v>1025</v>
      </c>
      <c r="I803" s="36" t="s">
        <v>2097</v>
      </c>
      <c r="J803" s="36" t="str">
        <f t="shared" si="32"/>
        <v>MiningMining EstablishmentAJoint DirectorS26 (82200 - 211500)</v>
      </c>
      <c r="K803" s="36"/>
      <c r="L803" s="36" t="s">
        <v>243</v>
      </c>
      <c r="M803" s="38" t="s">
        <v>2098</v>
      </c>
      <c r="N803" s="36" t="s">
        <v>32</v>
      </c>
      <c r="O803" s="6" t="s">
        <v>33</v>
      </c>
      <c r="P803" s="7">
        <v>0</v>
      </c>
      <c r="Q803" s="7" t="s">
        <v>34</v>
      </c>
      <c r="R803" s="8"/>
      <c r="S803" s="8"/>
      <c r="T803" s="4" t="s">
        <v>3276</v>
      </c>
      <c r="U803" s="36" t="s">
        <v>35</v>
      </c>
      <c r="V803" s="38"/>
      <c r="W803" s="36"/>
      <c r="X803" s="36"/>
      <c r="Y803" s="36"/>
      <c r="Z803" s="41"/>
      <c r="AA803" s="42" t="e">
        <f>_xlfn.XLOOKUP(C803,#REF!,#REF!,"",0,1)</f>
        <v>#REF!</v>
      </c>
      <c r="AB803" s="43">
        <f t="shared" si="34"/>
        <v>0</v>
      </c>
    </row>
    <row r="804" spans="1:28" ht="117.5" thickBot="1" x14ac:dyDescent="0.3">
      <c r="A804" s="36">
        <v>803</v>
      </c>
      <c r="B804" s="36" t="s">
        <v>24</v>
      </c>
      <c r="C804" s="36" t="s">
        <v>263</v>
      </c>
      <c r="D804" s="37">
        <v>44551</v>
      </c>
      <c r="E804" s="36" t="s">
        <v>2083</v>
      </c>
      <c r="F804" s="36" t="s">
        <v>2084</v>
      </c>
      <c r="G804" s="36" t="s">
        <v>42</v>
      </c>
      <c r="H804" s="36" t="s">
        <v>2099</v>
      </c>
      <c r="I804" s="36" t="s">
        <v>44</v>
      </c>
      <c r="J804" s="36" t="str">
        <f t="shared" si="32"/>
        <v>MiningMining EstablishmentB (Gazetted)Assistant Administative OfficerS15 (41800 - 132300)</v>
      </c>
      <c r="K804" s="36" t="s">
        <v>45</v>
      </c>
      <c r="L804" s="36" t="s">
        <v>247</v>
      </c>
      <c r="M804" s="38" t="s">
        <v>2100</v>
      </c>
      <c r="N804" s="36" t="s">
        <v>60</v>
      </c>
      <c r="O804" s="6" t="s">
        <v>33</v>
      </c>
      <c r="P804" s="7">
        <v>2</v>
      </c>
      <c r="Q804" s="7" t="s">
        <v>34</v>
      </c>
      <c r="R804" s="8"/>
      <c r="S804" s="8"/>
      <c r="T804" s="7" t="s">
        <v>35</v>
      </c>
      <c r="U804" s="36" t="s">
        <v>35</v>
      </c>
      <c r="V804" s="38" t="s">
        <v>2101</v>
      </c>
      <c r="W804" s="36"/>
      <c r="X804" s="36"/>
      <c r="Y804" s="36"/>
      <c r="Z804" s="41"/>
      <c r="AA804" s="42" t="e">
        <f>_xlfn.XLOOKUP(C804,#REF!,#REF!,"",0,1)</f>
        <v>#REF!</v>
      </c>
      <c r="AB804" s="43">
        <f t="shared" si="34"/>
        <v>0</v>
      </c>
    </row>
    <row r="805" spans="1:28" ht="78.5" thickBot="1" x14ac:dyDescent="0.3">
      <c r="A805" s="36">
        <v>804</v>
      </c>
      <c r="B805" s="36" t="s">
        <v>24</v>
      </c>
      <c r="C805" s="36" t="s">
        <v>263</v>
      </c>
      <c r="D805" s="37">
        <v>44551</v>
      </c>
      <c r="E805" s="36" t="s">
        <v>2083</v>
      </c>
      <c r="F805" s="36" t="s">
        <v>2084</v>
      </c>
      <c r="G805" s="36" t="s">
        <v>42</v>
      </c>
      <c r="H805" s="36" t="s">
        <v>2102</v>
      </c>
      <c r="I805" s="36" t="s">
        <v>44</v>
      </c>
      <c r="J805" s="36" t="str">
        <f t="shared" si="32"/>
        <v>MiningMining EstablishmentB (Gazetted)Jr. GeologistS15 (41800 - 132300)</v>
      </c>
      <c r="K805" s="36" t="s">
        <v>2086</v>
      </c>
      <c r="L805" s="36" t="s">
        <v>247</v>
      </c>
      <c r="M805" s="38" t="s">
        <v>2103</v>
      </c>
      <c r="N805" s="36" t="s">
        <v>41</v>
      </c>
      <c r="O805" s="6" t="s">
        <v>33</v>
      </c>
      <c r="P805" s="7">
        <v>17</v>
      </c>
      <c r="Q805" s="7" t="s">
        <v>34</v>
      </c>
      <c r="R805" s="8"/>
      <c r="S805" s="7" t="s">
        <v>2104</v>
      </c>
      <c r="T805" s="7" t="s">
        <v>35</v>
      </c>
      <c r="U805" s="36" t="s">
        <v>35</v>
      </c>
      <c r="V805" s="38"/>
      <c r="W805" s="36"/>
      <c r="X805" s="36"/>
      <c r="Y805" s="36"/>
      <c r="Z805" s="41"/>
      <c r="AA805" s="42" t="e">
        <f>_xlfn.XLOOKUP(C805,#REF!,#REF!,"",0,1)</f>
        <v>#REF!</v>
      </c>
      <c r="AB805" s="43">
        <f t="shared" si="34"/>
        <v>0</v>
      </c>
    </row>
    <row r="806" spans="1:28" ht="78.5" thickBot="1" x14ac:dyDescent="0.3">
      <c r="A806" s="36">
        <v>805</v>
      </c>
      <c r="B806" s="36" t="s">
        <v>24</v>
      </c>
      <c r="C806" s="36" t="s">
        <v>263</v>
      </c>
      <c r="D806" s="37">
        <v>44551</v>
      </c>
      <c r="E806" s="36" t="s">
        <v>2083</v>
      </c>
      <c r="F806" s="36" t="s">
        <v>2084</v>
      </c>
      <c r="G806" s="36" t="s">
        <v>42</v>
      </c>
      <c r="H806" s="36" t="s">
        <v>2105</v>
      </c>
      <c r="I806" s="36" t="s">
        <v>44</v>
      </c>
      <c r="J806" s="36" t="str">
        <f t="shared" si="32"/>
        <v>MiningMining EstablishmentB (Gazetted)ChemistS15 (41800 - 132300)</v>
      </c>
      <c r="K806" s="36"/>
      <c r="L806" s="36" t="s">
        <v>238</v>
      </c>
      <c r="M806" s="38" t="s">
        <v>2106</v>
      </c>
      <c r="N806" s="36" t="s">
        <v>41</v>
      </c>
      <c r="O806" s="6" t="s">
        <v>33</v>
      </c>
      <c r="P806" s="7">
        <v>3</v>
      </c>
      <c r="Q806" s="7" t="s">
        <v>34</v>
      </c>
      <c r="R806" s="8"/>
      <c r="S806" s="7" t="s">
        <v>2107</v>
      </c>
      <c r="T806" s="7" t="s">
        <v>35</v>
      </c>
      <c r="U806" s="36" t="s">
        <v>35</v>
      </c>
      <c r="V806" s="38"/>
      <c r="W806" s="36"/>
      <c r="X806" s="36"/>
      <c r="Y806" s="36"/>
      <c r="Z806" s="41"/>
      <c r="AA806" s="42" t="e">
        <f>_xlfn.XLOOKUP(C806,#REF!,#REF!,"",0,1)</f>
        <v>#REF!</v>
      </c>
      <c r="AB806" s="43">
        <f t="shared" si="34"/>
        <v>0</v>
      </c>
    </row>
    <row r="807" spans="1:28" ht="104.5" thickBot="1" x14ac:dyDescent="0.3">
      <c r="A807" s="36">
        <v>806</v>
      </c>
      <c r="B807" s="36" t="s">
        <v>24</v>
      </c>
      <c r="C807" s="36" t="s">
        <v>263</v>
      </c>
      <c r="D807" s="37">
        <v>44551</v>
      </c>
      <c r="E807" s="36" t="s">
        <v>2083</v>
      </c>
      <c r="F807" s="36" t="s">
        <v>2084</v>
      </c>
      <c r="G807" s="36" t="s">
        <v>42</v>
      </c>
      <c r="H807" s="36" t="s">
        <v>2108</v>
      </c>
      <c r="I807" s="36" t="s">
        <v>44</v>
      </c>
      <c r="J807" s="36" t="str">
        <f t="shared" si="32"/>
        <v>MiningMining EstablishmentB (Gazetted)Assistant Drilling EngineerS15 (41800 - 132300)</v>
      </c>
      <c r="K807" s="36" t="s">
        <v>246</v>
      </c>
      <c r="L807" s="36" t="s">
        <v>247</v>
      </c>
      <c r="M807" s="38" t="s">
        <v>2109</v>
      </c>
      <c r="N807" s="36" t="s">
        <v>60</v>
      </c>
      <c r="O807" s="6" t="s">
        <v>33</v>
      </c>
      <c r="P807" s="7">
        <v>2</v>
      </c>
      <c r="Q807" s="7" t="s">
        <v>34</v>
      </c>
      <c r="R807" s="8"/>
      <c r="S807" s="8"/>
      <c r="T807" s="7" t="s">
        <v>35</v>
      </c>
      <c r="U807" s="36" t="s">
        <v>35</v>
      </c>
      <c r="V807" s="38"/>
      <c r="W807" s="36"/>
      <c r="X807" s="36"/>
      <c r="Y807" s="36"/>
      <c r="Z807" s="41"/>
      <c r="AA807" s="42" t="e">
        <f>_xlfn.XLOOKUP(C807,#REF!,#REF!,"",0,1)</f>
        <v>#REF!</v>
      </c>
      <c r="AB807" s="43">
        <f t="shared" si="34"/>
        <v>0</v>
      </c>
    </row>
    <row r="808" spans="1:28" ht="91.5" thickBot="1" x14ac:dyDescent="0.3">
      <c r="A808" s="36">
        <v>807</v>
      </c>
      <c r="B808" s="36" t="s">
        <v>24</v>
      </c>
      <c r="C808" s="36" t="s">
        <v>263</v>
      </c>
      <c r="D808" s="37">
        <v>44551</v>
      </c>
      <c r="E808" s="36" t="s">
        <v>2083</v>
      </c>
      <c r="F808" s="36" t="s">
        <v>2084</v>
      </c>
      <c r="G808" s="36" t="s">
        <v>65</v>
      </c>
      <c r="H808" s="36" t="s">
        <v>2110</v>
      </c>
      <c r="I808" s="36" t="s">
        <v>67</v>
      </c>
      <c r="J808" s="36" t="str">
        <f t="shared" si="32"/>
        <v>MiningMining EstablishmentB (Non Gazetted)Driller MechanicS14 (38600 - 122800)</v>
      </c>
      <c r="K808" s="36" t="s">
        <v>163</v>
      </c>
      <c r="L808" s="36" t="s">
        <v>225</v>
      </c>
      <c r="M808" s="38" t="s">
        <v>2111</v>
      </c>
      <c r="N808" s="36" t="s">
        <v>165</v>
      </c>
      <c r="O808" s="6" t="s">
        <v>33</v>
      </c>
      <c r="P808" s="7">
        <v>1</v>
      </c>
      <c r="Q808" s="7" t="s">
        <v>34</v>
      </c>
      <c r="R808" s="8"/>
      <c r="S808" s="7" t="s">
        <v>2112</v>
      </c>
      <c r="T808" s="7" t="s">
        <v>2395</v>
      </c>
      <c r="U808" s="36" t="s">
        <v>35</v>
      </c>
      <c r="V808" s="38" t="s">
        <v>2113</v>
      </c>
      <c r="W808" s="36"/>
      <c r="X808" s="36" t="s">
        <v>2114</v>
      </c>
      <c r="Y808" s="36" t="s">
        <v>2115</v>
      </c>
      <c r="Z808" s="41"/>
      <c r="AA808" s="42" t="e">
        <f>_xlfn.XLOOKUP(C808,#REF!,#REF!,"",0,1)</f>
        <v>#REF!</v>
      </c>
      <c r="AB808" s="43">
        <f t="shared" si="34"/>
        <v>0</v>
      </c>
    </row>
    <row r="809" spans="1:28" ht="91.5" thickBot="1" x14ac:dyDescent="0.3">
      <c r="A809" s="36">
        <v>808</v>
      </c>
      <c r="B809" s="36" t="s">
        <v>24</v>
      </c>
      <c r="C809" s="36" t="s">
        <v>263</v>
      </c>
      <c r="D809" s="37">
        <v>44551</v>
      </c>
      <c r="E809" s="36" t="s">
        <v>2083</v>
      </c>
      <c r="F809" s="36" t="s">
        <v>2084</v>
      </c>
      <c r="G809" s="36" t="s">
        <v>65</v>
      </c>
      <c r="H809" s="36" t="s">
        <v>2116</v>
      </c>
      <c r="I809" s="36" t="s">
        <v>67</v>
      </c>
      <c r="J809" s="36" t="str">
        <f t="shared" si="32"/>
        <v>MiningMining EstablishmentB (Non Gazetted)Stenographer (L. G.)S14 (38600 - 122800)</v>
      </c>
      <c r="K809" s="36" t="s">
        <v>68</v>
      </c>
      <c r="L809" s="36" t="s">
        <v>231</v>
      </c>
      <c r="M809" s="38" t="s">
        <v>2117</v>
      </c>
      <c r="N809" s="36" t="s">
        <v>70</v>
      </c>
      <c r="O809" s="6" t="s">
        <v>33</v>
      </c>
      <c r="P809" s="7">
        <v>1</v>
      </c>
      <c r="Q809" s="7" t="s">
        <v>34</v>
      </c>
      <c r="R809" s="8"/>
      <c r="S809" s="8"/>
      <c r="T809" s="4" t="s">
        <v>3276</v>
      </c>
      <c r="U809" s="36" t="s">
        <v>35</v>
      </c>
      <c r="V809" s="38"/>
      <c r="W809" s="36"/>
      <c r="X809" s="36"/>
      <c r="Y809" s="36"/>
      <c r="Z809" s="41"/>
      <c r="AA809" s="42" t="e">
        <f>_xlfn.XLOOKUP(C809,#REF!,#REF!,"",0,1)</f>
        <v>#REF!</v>
      </c>
      <c r="AB809" s="43">
        <f t="shared" si="34"/>
        <v>0</v>
      </c>
    </row>
    <row r="810" spans="1:28" ht="117.5" thickBot="1" x14ac:dyDescent="0.3">
      <c r="A810" s="36">
        <v>809</v>
      </c>
      <c r="B810" s="36" t="s">
        <v>24</v>
      </c>
      <c r="C810" s="36" t="s">
        <v>263</v>
      </c>
      <c r="D810" s="37">
        <v>44551</v>
      </c>
      <c r="E810" s="36" t="s">
        <v>2083</v>
      </c>
      <c r="F810" s="36" t="s">
        <v>2084</v>
      </c>
      <c r="G810" s="36" t="s">
        <v>65</v>
      </c>
      <c r="H810" s="36" t="s">
        <v>2118</v>
      </c>
      <c r="I810" s="36" t="s">
        <v>67</v>
      </c>
      <c r="J810" s="36" t="str">
        <f t="shared" si="32"/>
        <v>MiningMining EstablishmentB (Non Gazetted)Inspector/ SuperintendentS14 (38600 - 122800)</v>
      </c>
      <c r="K810" s="36" t="s">
        <v>58</v>
      </c>
      <c r="L810" s="36" t="s">
        <v>228</v>
      </c>
      <c r="M810" s="38" t="s">
        <v>2119</v>
      </c>
      <c r="N810" s="36" t="s">
        <v>60</v>
      </c>
      <c r="O810" s="6" t="s">
        <v>33</v>
      </c>
      <c r="P810" s="7">
        <v>4</v>
      </c>
      <c r="Q810" s="7" t="s">
        <v>34</v>
      </c>
      <c r="R810" s="8"/>
      <c r="S810" s="7" t="s">
        <v>2112</v>
      </c>
      <c r="T810" s="7" t="s">
        <v>61</v>
      </c>
      <c r="U810" s="36" t="s">
        <v>35</v>
      </c>
      <c r="V810" s="38" t="s">
        <v>2120</v>
      </c>
      <c r="W810" s="36"/>
      <c r="X810" s="36" t="s">
        <v>2121</v>
      </c>
      <c r="Y810" s="36" t="s">
        <v>2122</v>
      </c>
      <c r="Z810" s="41"/>
      <c r="AA810" s="42" t="e">
        <f>_xlfn.XLOOKUP(C810,#REF!,#REF!,"",0,1)</f>
        <v>#REF!</v>
      </c>
      <c r="AB810" s="43">
        <f t="shared" si="34"/>
        <v>0</v>
      </c>
    </row>
    <row r="811" spans="1:28" ht="104.5" thickBot="1" x14ac:dyDescent="0.3">
      <c r="A811" s="36">
        <v>810</v>
      </c>
      <c r="B811" s="36" t="s">
        <v>24</v>
      </c>
      <c r="C811" s="36" t="s">
        <v>263</v>
      </c>
      <c r="D811" s="37">
        <v>44551</v>
      </c>
      <c r="E811" s="36" t="s">
        <v>2083</v>
      </c>
      <c r="F811" s="36" t="s">
        <v>2084</v>
      </c>
      <c r="G811" s="36" t="s">
        <v>65</v>
      </c>
      <c r="H811" s="36" t="s">
        <v>2123</v>
      </c>
      <c r="I811" s="36" t="s">
        <v>67</v>
      </c>
      <c r="J811" s="36" t="str">
        <f t="shared" si="32"/>
        <v>MiningMining EstablishmentB (Non Gazetted)Workshop SuperintendentS14 (38600 - 122800)</v>
      </c>
      <c r="K811" s="36" t="s">
        <v>163</v>
      </c>
      <c r="L811" s="36" t="s">
        <v>225</v>
      </c>
      <c r="M811" s="38" t="s">
        <v>2124</v>
      </c>
      <c r="N811" s="36" t="s">
        <v>60</v>
      </c>
      <c r="O811" s="6" t="s">
        <v>33</v>
      </c>
      <c r="P811" s="7">
        <v>0</v>
      </c>
      <c r="Q811" s="7" t="s">
        <v>34</v>
      </c>
      <c r="R811" s="8"/>
      <c r="S811" s="7" t="s">
        <v>2125</v>
      </c>
      <c r="T811" s="7" t="s">
        <v>2395</v>
      </c>
      <c r="U811" s="36" t="s">
        <v>35</v>
      </c>
      <c r="V811" s="38" t="s">
        <v>2124</v>
      </c>
      <c r="W811" s="36"/>
      <c r="X811" s="36" t="s">
        <v>150</v>
      </c>
      <c r="Y811" s="36" t="s">
        <v>150</v>
      </c>
      <c r="Z811" s="41"/>
      <c r="AA811" s="42" t="e">
        <f>_xlfn.XLOOKUP(C811,#REF!,#REF!,"",0,1)</f>
        <v>#REF!</v>
      </c>
      <c r="AB811" s="43">
        <f t="shared" si="34"/>
        <v>0</v>
      </c>
    </row>
    <row r="812" spans="1:28" ht="104.5" thickBot="1" x14ac:dyDescent="0.3">
      <c r="A812" s="36">
        <v>811</v>
      </c>
      <c r="B812" s="36" t="s">
        <v>24</v>
      </c>
      <c r="C812" s="36" t="s">
        <v>263</v>
      </c>
      <c r="D812" s="37">
        <v>44551</v>
      </c>
      <c r="E812" s="36" t="s">
        <v>2083</v>
      </c>
      <c r="F812" s="36" t="s">
        <v>2084</v>
      </c>
      <c r="G812" s="36" t="s">
        <v>55</v>
      </c>
      <c r="H812" s="36" t="s">
        <v>2126</v>
      </c>
      <c r="I812" s="36" t="s">
        <v>276</v>
      </c>
      <c r="J812" s="36" t="str">
        <f t="shared" si="32"/>
        <v>MiningMining EstablishmentCGeographical Information System AssistantS10 (29200 - 92300)</v>
      </c>
      <c r="K812" s="36" t="s">
        <v>163</v>
      </c>
      <c r="L812" s="36" t="s">
        <v>225</v>
      </c>
      <c r="M812" s="38" t="s">
        <v>2127</v>
      </c>
      <c r="N812" s="36" t="s">
        <v>165</v>
      </c>
      <c r="O812" s="6" t="s">
        <v>33</v>
      </c>
      <c r="P812" s="7">
        <v>1</v>
      </c>
      <c r="Q812" s="7" t="s">
        <v>34</v>
      </c>
      <c r="R812" s="8"/>
      <c r="S812" s="8"/>
      <c r="T812" s="7" t="s">
        <v>2395</v>
      </c>
      <c r="U812" s="36" t="s">
        <v>35</v>
      </c>
      <c r="V812" s="38" t="s">
        <v>2128</v>
      </c>
      <c r="W812" s="36"/>
      <c r="X812" s="36" t="s">
        <v>2129</v>
      </c>
      <c r="Y812" s="36" t="s">
        <v>2129</v>
      </c>
      <c r="Z812" s="41"/>
      <c r="AA812" s="42" t="e">
        <f>_xlfn.XLOOKUP(C812,#REF!,#REF!,"",0,1)</f>
        <v>#REF!</v>
      </c>
      <c r="AB812" s="43">
        <f t="shared" si="34"/>
        <v>0</v>
      </c>
    </row>
    <row r="813" spans="1:28" ht="78.5" thickBot="1" x14ac:dyDescent="0.3">
      <c r="A813" s="36">
        <v>812</v>
      </c>
      <c r="B813" s="36" t="s">
        <v>24</v>
      </c>
      <c r="C813" s="36" t="s">
        <v>263</v>
      </c>
      <c r="D813" s="37">
        <v>44551</v>
      </c>
      <c r="E813" s="36" t="s">
        <v>2083</v>
      </c>
      <c r="F813" s="36" t="s">
        <v>2084</v>
      </c>
      <c r="G813" s="36" t="s">
        <v>55</v>
      </c>
      <c r="H813" s="36" t="s">
        <v>2130</v>
      </c>
      <c r="I813" s="36" t="s">
        <v>276</v>
      </c>
      <c r="J813" s="36" t="str">
        <f t="shared" si="32"/>
        <v>MiningMining EstablishmentCDrillerS10 (29200 - 92300)</v>
      </c>
      <c r="K813" s="36" t="s">
        <v>163</v>
      </c>
      <c r="L813" s="36" t="s">
        <v>225</v>
      </c>
      <c r="M813" s="38" t="s">
        <v>2131</v>
      </c>
      <c r="N813" s="36" t="s">
        <v>165</v>
      </c>
      <c r="O813" s="6" t="s">
        <v>33</v>
      </c>
      <c r="P813" s="7">
        <v>4</v>
      </c>
      <c r="Q813" s="7" t="s">
        <v>34</v>
      </c>
      <c r="R813" s="8"/>
      <c r="S813" s="7" t="s">
        <v>2112</v>
      </c>
      <c r="T813" s="7" t="s">
        <v>61</v>
      </c>
      <c r="U813" s="36" t="s">
        <v>35</v>
      </c>
      <c r="V813" s="38" t="s">
        <v>2132</v>
      </c>
      <c r="W813" s="36"/>
      <c r="X813" s="36" t="s">
        <v>2133</v>
      </c>
      <c r="Y813" s="36" t="s">
        <v>2115</v>
      </c>
      <c r="Z813" s="41"/>
      <c r="AA813" s="42" t="e">
        <f>_xlfn.XLOOKUP(C813,#REF!,#REF!,"",0,1)</f>
        <v>#REF!</v>
      </c>
      <c r="AB813" s="43">
        <f t="shared" si="34"/>
        <v>0</v>
      </c>
    </row>
    <row r="814" spans="1:28" ht="78.5" thickBot="1" x14ac:dyDescent="0.3">
      <c r="A814" s="36">
        <v>813</v>
      </c>
      <c r="B814" s="36" t="s">
        <v>24</v>
      </c>
      <c r="C814" s="36" t="s">
        <v>263</v>
      </c>
      <c r="D814" s="37">
        <v>44551</v>
      </c>
      <c r="E814" s="36" t="s">
        <v>2083</v>
      </c>
      <c r="F814" s="36" t="s">
        <v>2084</v>
      </c>
      <c r="G814" s="36" t="s">
        <v>55</v>
      </c>
      <c r="H814" s="36" t="s">
        <v>2134</v>
      </c>
      <c r="I814" s="36" t="s">
        <v>276</v>
      </c>
      <c r="J814" s="36" t="str">
        <f t="shared" si="32"/>
        <v>MiningMining EstablishmentCMuseum-cum-Library AssistantS10 (29200 - 92300)</v>
      </c>
      <c r="K814" s="36" t="s">
        <v>170</v>
      </c>
      <c r="L814" s="36" t="s">
        <v>228</v>
      </c>
      <c r="M814" s="38" t="s">
        <v>2135</v>
      </c>
      <c r="N814" s="36" t="s">
        <v>172</v>
      </c>
      <c r="O814" s="6" t="s">
        <v>33</v>
      </c>
      <c r="P814" s="7">
        <v>0</v>
      </c>
      <c r="Q814" s="7" t="s">
        <v>34</v>
      </c>
      <c r="R814" s="8"/>
      <c r="S814" s="7" t="s">
        <v>2136</v>
      </c>
      <c r="T814" s="7" t="s">
        <v>2395</v>
      </c>
      <c r="U814" s="36" t="s">
        <v>35</v>
      </c>
      <c r="V814" s="38" t="s">
        <v>2137</v>
      </c>
      <c r="W814" s="36"/>
      <c r="X814" s="36" t="s">
        <v>2138</v>
      </c>
      <c r="Y814" s="36" t="s">
        <v>2139</v>
      </c>
      <c r="Z814" s="41"/>
      <c r="AA814" s="42" t="e">
        <f>_xlfn.XLOOKUP(C814,#REF!,#REF!,"",0,1)</f>
        <v>#REF!</v>
      </c>
      <c r="AB814" s="43">
        <f t="shared" si="34"/>
        <v>0</v>
      </c>
    </row>
    <row r="815" spans="1:28" ht="91.5" thickBot="1" x14ac:dyDescent="0.3">
      <c r="A815" s="36">
        <v>814</v>
      </c>
      <c r="B815" s="36" t="s">
        <v>24</v>
      </c>
      <c r="C815" s="36" t="s">
        <v>263</v>
      </c>
      <c r="D815" s="37">
        <v>44551</v>
      </c>
      <c r="E815" s="36" t="s">
        <v>2083</v>
      </c>
      <c r="F815" s="36" t="s">
        <v>2084</v>
      </c>
      <c r="G815" s="36" t="s">
        <v>55</v>
      </c>
      <c r="H815" s="36" t="s">
        <v>123</v>
      </c>
      <c r="I815" s="36" t="s">
        <v>74</v>
      </c>
      <c r="J815" s="36" t="str">
        <f t="shared" si="32"/>
        <v>MiningMining EstablishmentCJunior ClerkS6 (19900 - 63200)</v>
      </c>
      <c r="K815" s="36" t="s">
        <v>75</v>
      </c>
      <c r="L815" s="36" t="s">
        <v>228</v>
      </c>
      <c r="M815" s="38" t="s">
        <v>2140</v>
      </c>
      <c r="N815" s="36" t="s">
        <v>70</v>
      </c>
      <c r="O815" s="6" t="s">
        <v>33</v>
      </c>
      <c r="P815" s="7">
        <v>5</v>
      </c>
      <c r="Q815" s="7" t="s">
        <v>34</v>
      </c>
      <c r="R815" s="8"/>
      <c r="S815" s="7" t="s">
        <v>2141</v>
      </c>
      <c r="T815" s="7" t="s">
        <v>61</v>
      </c>
      <c r="U815" s="36" t="s">
        <v>35</v>
      </c>
      <c r="V815" s="38" t="s">
        <v>125</v>
      </c>
      <c r="W815" s="36"/>
      <c r="X815" s="36" t="s">
        <v>77</v>
      </c>
      <c r="Y815" s="36" t="s">
        <v>78</v>
      </c>
      <c r="Z815" s="41"/>
      <c r="AA815" s="42" t="e">
        <f>_xlfn.XLOOKUP(C815,#REF!,#REF!,"",0,1)</f>
        <v>#REF!</v>
      </c>
      <c r="AB815" s="43">
        <f t="shared" si="34"/>
        <v>0</v>
      </c>
    </row>
    <row r="816" spans="1:28" ht="65.5" thickBot="1" x14ac:dyDescent="0.3">
      <c r="A816" s="36">
        <v>815</v>
      </c>
      <c r="B816" s="36" t="s">
        <v>24</v>
      </c>
      <c r="C816" s="36" t="s">
        <v>263</v>
      </c>
      <c r="D816" s="37">
        <v>44551</v>
      </c>
      <c r="E816" s="36" t="s">
        <v>2083</v>
      </c>
      <c r="F816" s="36" t="s">
        <v>2084</v>
      </c>
      <c r="G816" s="36" t="s">
        <v>55</v>
      </c>
      <c r="H816" s="36" t="s">
        <v>1773</v>
      </c>
      <c r="I816" s="36" t="s">
        <v>169</v>
      </c>
      <c r="J816" s="36" t="str">
        <f t="shared" si="32"/>
        <v>MiningMining EstablishmentCLaboratory AssistantS7 (21700 - 69100)</v>
      </c>
      <c r="K816" s="36" t="s">
        <v>377</v>
      </c>
      <c r="L816" s="36" t="s">
        <v>225</v>
      </c>
      <c r="M816" s="38" t="s">
        <v>2142</v>
      </c>
      <c r="N816" s="36" t="s">
        <v>379</v>
      </c>
      <c r="O816" s="6" t="s">
        <v>33</v>
      </c>
      <c r="P816" s="7">
        <v>2</v>
      </c>
      <c r="Q816" s="7" t="s">
        <v>34</v>
      </c>
      <c r="R816" s="8"/>
      <c r="S816" s="7" t="s">
        <v>2112</v>
      </c>
      <c r="T816" s="7" t="s">
        <v>61</v>
      </c>
      <c r="U816" s="36" t="s">
        <v>35</v>
      </c>
      <c r="V816" s="38" t="s">
        <v>2143</v>
      </c>
      <c r="W816" s="36"/>
      <c r="X816" s="36" t="s">
        <v>2144</v>
      </c>
      <c r="Y816" s="36" t="s">
        <v>2145</v>
      </c>
      <c r="Z816" s="41"/>
      <c r="AA816" s="42" t="e">
        <f>_xlfn.XLOOKUP(C816,#REF!,#REF!,"",0,1)</f>
        <v>#REF!</v>
      </c>
      <c r="AB816" s="43">
        <f t="shared" si="34"/>
        <v>0</v>
      </c>
    </row>
    <row r="817" spans="1:28" ht="65.5" thickBot="1" x14ac:dyDescent="0.3">
      <c r="A817" s="36">
        <v>816</v>
      </c>
      <c r="B817" s="36" t="s">
        <v>24</v>
      </c>
      <c r="C817" s="36" t="s">
        <v>263</v>
      </c>
      <c r="D817" s="37">
        <v>44551</v>
      </c>
      <c r="E817" s="36" t="s">
        <v>2083</v>
      </c>
      <c r="F817" s="36" t="s">
        <v>2084</v>
      </c>
      <c r="G817" s="36" t="s">
        <v>55</v>
      </c>
      <c r="H817" s="36" t="s">
        <v>2146</v>
      </c>
      <c r="I817" s="36" t="s">
        <v>169</v>
      </c>
      <c r="J817" s="36" t="str">
        <f t="shared" si="32"/>
        <v>MiningMining EstablishmentCRigmanS7 (21700 - 69100)</v>
      </c>
      <c r="K817" s="36" t="s">
        <v>127</v>
      </c>
      <c r="L817" s="36" t="s">
        <v>225</v>
      </c>
      <c r="M817" s="38" t="s">
        <v>2147</v>
      </c>
      <c r="N817" s="36" t="s">
        <v>2148</v>
      </c>
      <c r="O817" s="6" t="s">
        <v>33</v>
      </c>
      <c r="P817" s="7">
        <v>17</v>
      </c>
      <c r="Q817" s="7" t="s">
        <v>34</v>
      </c>
      <c r="R817" s="8"/>
      <c r="S817" s="7" t="s">
        <v>2112</v>
      </c>
      <c r="T817" s="7" t="s">
        <v>61</v>
      </c>
      <c r="U817" s="36" t="s">
        <v>35</v>
      </c>
      <c r="V817" s="38" t="s">
        <v>2149</v>
      </c>
      <c r="W817" s="36"/>
      <c r="X817" s="36" t="s">
        <v>2150</v>
      </c>
      <c r="Y817" s="36" t="s">
        <v>2151</v>
      </c>
      <c r="Z817" s="41"/>
      <c r="AA817" s="42" t="e">
        <f>_xlfn.XLOOKUP(C817,#REF!,#REF!,"",0,1)</f>
        <v>#REF!</v>
      </c>
      <c r="AB817" s="43">
        <f t="shared" si="34"/>
        <v>0</v>
      </c>
    </row>
    <row r="818" spans="1:28" ht="65.5" thickBot="1" x14ac:dyDescent="0.3">
      <c r="A818" s="36">
        <v>817</v>
      </c>
      <c r="B818" s="36" t="s">
        <v>24</v>
      </c>
      <c r="C818" s="36" t="s">
        <v>263</v>
      </c>
      <c r="D818" s="37">
        <v>44551</v>
      </c>
      <c r="E818" s="36" t="s">
        <v>2083</v>
      </c>
      <c r="F818" s="36" t="s">
        <v>2084</v>
      </c>
      <c r="G818" s="36" t="s">
        <v>55</v>
      </c>
      <c r="H818" s="36" t="s">
        <v>1384</v>
      </c>
      <c r="I818" s="36" t="s">
        <v>169</v>
      </c>
      <c r="J818" s="36" t="str">
        <f t="shared" si="32"/>
        <v>MiningMining EstablishmentCTracerS7 (21700 - 69100)</v>
      </c>
      <c r="K818" s="36" t="s">
        <v>1385</v>
      </c>
      <c r="L818" s="36" t="s">
        <v>225</v>
      </c>
      <c r="M818" s="38" t="s">
        <v>2152</v>
      </c>
      <c r="N818" s="36" t="s">
        <v>129</v>
      </c>
      <c r="O818" s="6" t="s">
        <v>33</v>
      </c>
      <c r="P818" s="7">
        <v>2</v>
      </c>
      <c r="Q818" s="7" t="s">
        <v>34</v>
      </c>
      <c r="R818" s="8"/>
      <c r="S818" s="7" t="s">
        <v>2112</v>
      </c>
      <c r="T818" s="7" t="s">
        <v>61</v>
      </c>
      <c r="U818" s="36" t="s">
        <v>35</v>
      </c>
      <c r="V818" s="38" t="s">
        <v>2153</v>
      </c>
      <c r="W818" s="36"/>
      <c r="X818" s="36" t="s">
        <v>2154</v>
      </c>
      <c r="Y818" s="46">
        <v>31686</v>
      </c>
      <c r="Z818" s="41"/>
      <c r="AA818" s="42" t="e">
        <f>_xlfn.XLOOKUP(C818,#REF!,#REF!,"",0,1)</f>
        <v>#REF!</v>
      </c>
      <c r="AB818" s="43">
        <f t="shared" si="34"/>
        <v>0</v>
      </c>
    </row>
    <row r="819" spans="1:28" ht="65.5" thickBot="1" x14ac:dyDescent="0.3">
      <c r="A819" s="36">
        <v>818</v>
      </c>
      <c r="B819" s="36" t="s">
        <v>24</v>
      </c>
      <c r="C819" s="36" t="s">
        <v>263</v>
      </c>
      <c r="D819" s="37">
        <v>44551</v>
      </c>
      <c r="E819" s="36" t="s">
        <v>2083</v>
      </c>
      <c r="F819" s="36" t="s">
        <v>2084</v>
      </c>
      <c r="G819" s="36" t="s">
        <v>55</v>
      </c>
      <c r="H819" s="36" t="s">
        <v>87</v>
      </c>
      <c r="I819" s="36" t="s">
        <v>80</v>
      </c>
      <c r="J819" s="36" t="str">
        <f t="shared" si="32"/>
        <v>MiningMining EstablishmentCSenior ClerkS8 (25500 - 81100)</v>
      </c>
      <c r="K819" s="36" t="s">
        <v>75</v>
      </c>
      <c r="L819" s="36" t="s">
        <v>228</v>
      </c>
      <c r="M819" s="38" t="s">
        <v>2155</v>
      </c>
      <c r="N819" s="36" t="s">
        <v>70</v>
      </c>
      <c r="O819" s="6" t="s">
        <v>33</v>
      </c>
      <c r="P819" s="7">
        <v>3</v>
      </c>
      <c r="Q819" s="7" t="s">
        <v>34</v>
      </c>
      <c r="R819" s="8"/>
      <c r="S819" s="7" t="s">
        <v>2112</v>
      </c>
      <c r="T819" s="7" t="s">
        <v>61</v>
      </c>
      <c r="U819" s="36" t="s">
        <v>35</v>
      </c>
      <c r="V819" s="38" t="s">
        <v>2156</v>
      </c>
      <c r="W819" s="36"/>
      <c r="X819" s="36" t="s">
        <v>1391</v>
      </c>
      <c r="Y819" s="46">
        <v>32882</v>
      </c>
      <c r="Z819" s="41"/>
      <c r="AA819" s="42" t="e">
        <f>_xlfn.XLOOKUP(C819,#REF!,#REF!,"",0,1)</f>
        <v>#REF!</v>
      </c>
      <c r="AB819" s="43">
        <f t="shared" si="34"/>
        <v>0</v>
      </c>
    </row>
    <row r="820" spans="1:28" ht="104.5" thickBot="1" x14ac:dyDescent="0.3">
      <c r="A820" s="36">
        <v>819</v>
      </c>
      <c r="B820" s="36" t="s">
        <v>24</v>
      </c>
      <c r="C820" s="36" t="s">
        <v>263</v>
      </c>
      <c r="D820" s="37">
        <v>44551</v>
      </c>
      <c r="E820" s="36" t="s">
        <v>2083</v>
      </c>
      <c r="F820" s="36" t="s">
        <v>2084</v>
      </c>
      <c r="G820" s="36" t="s">
        <v>55</v>
      </c>
      <c r="H820" s="36" t="s">
        <v>2157</v>
      </c>
      <c r="I820" s="36" t="s">
        <v>80</v>
      </c>
      <c r="J820" s="36" t="str">
        <f t="shared" si="32"/>
        <v>MiningMining EstablishmentCAssistant DrillerS8 (25500 - 81100)</v>
      </c>
      <c r="K820" s="36" t="s">
        <v>163</v>
      </c>
      <c r="L820" s="36" t="s">
        <v>225</v>
      </c>
      <c r="M820" s="38" t="s">
        <v>2158</v>
      </c>
      <c r="N820" s="36" t="s">
        <v>165</v>
      </c>
      <c r="O820" s="6" t="s">
        <v>33</v>
      </c>
      <c r="P820" s="7">
        <v>4</v>
      </c>
      <c r="Q820" s="7" t="s">
        <v>34</v>
      </c>
      <c r="R820" s="8"/>
      <c r="S820" s="7" t="s">
        <v>2112</v>
      </c>
      <c r="T820" s="7" t="s">
        <v>61</v>
      </c>
      <c r="U820" s="36" t="s">
        <v>35</v>
      </c>
      <c r="V820" s="38" t="s">
        <v>2159</v>
      </c>
      <c r="W820" s="36"/>
      <c r="X820" s="36" t="s">
        <v>2114</v>
      </c>
      <c r="Y820" s="36" t="s">
        <v>2115</v>
      </c>
      <c r="Z820" s="41"/>
      <c r="AA820" s="42" t="e">
        <f>_xlfn.XLOOKUP(C820,#REF!,#REF!,"",0,1)</f>
        <v>#REF!</v>
      </c>
      <c r="AB820" s="43">
        <f t="shared" si="34"/>
        <v>0</v>
      </c>
    </row>
    <row r="821" spans="1:28" ht="104.5" thickBot="1" x14ac:dyDescent="0.3">
      <c r="A821" s="36">
        <v>820</v>
      </c>
      <c r="B821" s="36" t="s">
        <v>24</v>
      </c>
      <c r="C821" s="36" t="s">
        <v>263</v>
      </c>
      <c r="D821" s="37">
        <v>44551</v>
      </c>
      <c r="E821" s="36" t="s">
        <v>2083</v>
      </c>
      <c r="F821" s="36" t="s">
        <v>2084</v>
      </c>
      <c r="G821" s="36" t="s">
        <v>55</v>
      </c>
      <c r="H821" s="36" t="s">
        <v>2160</v>
      </c>
      <c r="I821" s="36" t="s">
        <v>80</v>
      </c>
      <c r="J821" s="36" t="str">
        <f t="shared" si="32"/>
        <v>MiningMining EstablishmentCOperator-cum-MechanicS8 (25500 - 81100)</v>
      </c>
      <c r="K821" s="36" t="s">
        <v>127</v>
      </c>
      <c r="L821" s="36" t="s">
        <v>225</v>
      </c>
      <c r="M821" s="38" t="s">
        <v>2161</v>
      </c>
      <c r="N821" s="36" t="s">
        <v>129</v>
      </c>
      <c r="O821" s="6" t="s">
        <v>33</v>
      </c>
      <c r="P821" s="7">
        <v>0</v>
      </c>
      <c r="Q821" s="7" t="s">
        <v>34</v>
      </c>
      <c r="R821" s="8"/>
      <c r="S821" s="7" t="s">
        <v>2112</v>
      </c>
      <c r="T821" s="7" t="s">
        <v>2395</v>
      </c>
      <c r="U821" s="36" t="s">
        <v>35</v>
      </c>
      <c r="V821" s="38" t="s">
        <v>2162</v>
      </c>
      <c r="W821" s="36"/>
      <c r="X821" s="36" t="s">
        <v>2163</v>
      </c>
      <c r="Y821" s="46">
        <v>31686</v>
      </c>
      <c r="Z821" s="41"/>
      <c r="AA821" s="42" t="e">
        <f>_xlfn.XLOOKUP(C821,#REF!,#REF!,"",0,1)</f>
        <v>#REF!</v>
      </c>
      <c r="AB821" s="43">
        <f t="shared" si="34"/>
        <v>0</v>
      </c>
    </row>
    <row r="822" spans="1:28" ht="104.5" thickBot="1" x14ac:dyDescent="0.3">
      <c r="A822" s="36">
        <v>821</v>
      </c>
      <c r="B822" s="36" t="s">
        <v>494</v>
      </c>
      <c r="C822" s="36" t="s">
        <v>25</v>
      </c>
      <c r="D822" s="37">
        <v>41676</v>
      </c>
      <c r="E822" s="36" t="s">
        <v>2164</v>
      </c>
      <c r="F822" s="36" t="s">
        <v>2165</v>
      </c>
      <c r="G822" s="36" t="s">
        <v>65</v>
      </c>
      <c r="H822" s="36" t="s">
        <v>2166</v>
      </c>
      <c r="I822" s="36" t="s">
        <v>67</v>
      </c>
      <c r="J822" s="36" t="str">
        <f t="shared" si="32"/>
        <v>MinorityMaharashtra State Hajj Committee EstablishmentB (Non Gazetted)AssistantS14 (38600 - 122800)</v>
      </c>
      <c r="K822" s="36"/>
      <c r="L822" s="36"/>
      <c r="M822" s="38" t="s">
        <v>2167</v>
      </c>
      <c r="N822" s="36" t="s">
        <v>496</v>
      </c>
      <c r="O822" s="6" t="s">
        <v>33</v>
      </c>
      <c r="P822" s="19"/>
      <c r="Q822" s="17" t="s">
        <v>34</v>
      </c>
      <c r="R822" s="19"/>
      <c r="S822" s="19"/>
      <c r="T822" s="4" t="s">
        <v>3276</v>
      </c>
      <c r="U822" s="55" t="s">
        <v>35</v>
      </c>
      <c r="V822" s="38"/>
      <c r="W822" s="36"/>
      <c r="X822" s="36"/>
      <c r="Y822" s="36"/>
      <c r="Z822" s="41"/>
      <c r="AA822" s="42" t="e">
        <f>_xlfn.XLOOKUP(C822,#REF!,#REF!,"",0,1)</f>
        <v>#REF!</v>
      </c>
      <c r="AB822" s="43">
        <f t="shared" si="34"/>
        <v>0</v>
      </c>
    </row>
    <row r="823" spans="1:28" ht="104.5" thickBot="1" x14ac:dyDescent="0.3">
      <c r="A823" s="36">
        <v>822</v>
      </c>
      <c r="B823" s="36" t="s">
        <v>494</v>
      </c>
      <c r="C823" s="36" t="s">
        <v>25</v>
      </c>
      <c r="D823" s="37">
        <v>41676</v>
      </c>
      <c r="E823" s="36" t="s">
        <v>2164</v>
      </c>
      <c r="F823" s="36" t="s">
        <v>2165</v>
      </c>
      <c r="G823" s="36" t="s">
        <v>65</v>
      </c>
      <c r="H823" s="36" t="s">
        <v>486</v>
      </c>
      <c r="I823" s="36" t="s">
        <v>74</v>
      </c>
      <c r="J823" s="36" t="str">
        <f t="shared" si="32"/>
        <v>MinorityMaharashtra State Hajj Committee EstablishmentB (Non Gazetted)ClerkS6 (19900 - 63200)</v>
      </c>
      <c r="K823" s="36"/>
      <c r="L823" s="36"/>
      <c r="M823" s="38" t="s">
        <v>2168</v>
      </c>
      <c r="N823" s="36" t="s">
        <v>496</v>
      </c>
      <c r="O823" s="6" t="s">
        <v>33</v>
      </c>
      <c r="P823" s="19"/>
      <c r="Q823" s="17" t="s">
        <v>34</v>
      </c>
      <c r="R823" s="19"/>
      <c r="S823" s="19"/>
      <c r="T823" s="4" t="s">
        <v>3276</v>
      </c>
      <c r="U823" s="55" t="s">
        <v>35</v>
      </c>
      <c r="V823" s="38"/>
      <c r="W823" s="36"/>
      <c r="X823" s="36"/>
      <c r="Y823" s="36"/>
      <c r="Z823" s="41"/>
      <c r="AA823" s="42" t="e">
        <f>_xlfn.XLOOKUP(C823,#REF!,#REF!,"",0,1)</f>
        <v>#REF!</v>
      </c>
      <c r="AB823" s="43">
        <f t="shared" si="34"/>
        <v>0</v>
      </c>
    </row>
    <row r="824" spans="1:28" ht="104.5" thickBot="1" x14ac:dyDescent="0.3">
      <c r="A824" s="36">
        <v>823</v>
      </c>
      <c r="B824" s="36" t="s">
        <v>494</v>
      </c>
      <c r="C824" s="36" t="s">
        <v>25</v>
      </c>
      <c r="D824" s="37">
        <v>41676</v>
      </c>
      <c r="E824" s="36" t="s">
        <v>2164</v>
      </c>
      <c r="F824" s="36" t="s">
        <v>2165</v>
      </c>
      <c r="G824" s="36" t="s">
        <v>55</v>
      </c>
      <c r="H824" s="36" t="s">
        <v>2169</v>
      </c>
      <c r="I824" s="36" t="s">
        <v>74</v>
      </c>
      <c r="J824" s="36" t="str">
        <f t="shared" si="32"/>
        <v>MinorityMaharashtra State Hajj Committee EstablishmentCAccounts Clerk (Haj Committee)S6 (19900 - 63200)</v>
      </c>
      <c r="K824" s="36"/>
      <c r="L824" s="36"/>
      <c r="M824" s="38" t="s">
        <v>2170</v>
      </c>
      <c r="N824" s="36" t="s">
        <v>496</v>
      </c>
      <c r="O824" s="6" t="s">
        <v>33</v>
      </c>
      <c r="P824" s="19"/>
      <c r="Q824" s="17" t="s">
        <v>34</v>
      </c>
      <c r="R824" s="19"/>
      <c r="S824" s="19"/>
      <c r="T824" s="4" t="s">
        <v>3276</v>
      </c>
      <c r="U824" s="55" t="s">
        <v>35</v>
      </c>
      <c r="V824" s="38"/>
      <c r="W824" s="36"/>
      <c r="X824" s="36"/>
      <c r="Y824" s="36"/>
      <c r="Z824" s="41"/>
      <c r="AA824" s="42" t="e">
        <f>_xlfn.XLOOKUP(C824,#REF!,#REF!,"",0,1)</f>
        <v>#REF!</v>
      </c>
      <c r="AB824" s="43">
        <f t="shared" si="34"/>
        <v>0</v>
      </c>
    </row>
    <row r="825" spans="1:28" ht="78.5" thickBot="1" x14ac:dyDescent="0.3">
      <c r="A825" s="36">
        <v>824</v>
      </c>
      <c r="B825" s="36" t="s">
        <v>494</v>
      </c>
      <c r="C825" s="36" t="s">
        <v>25</v>
      </c>
      <c r="D825" s="37">
        <v>41676</v>
      </c>
      <c r="E825" s="36" t="s">
        <v>2164</v>
      </c>
      <c r="F825" s="36" t="s">
        <v>2165</v>
      </c>
      <c r="G825" s="36" t="s">
        <v>55</v>
      </c>
      <c r="H825" s="36" t="s">
        <v>364</v>
      </c>
      <c r="I825" s="36" t="s">
        <v>80</v>
      </c>
      <c r="J825" s="36" t="str">
        <f t="shared" si="32"/>
        <v>MinorityMaharashtra State Hajj Committee EstablishmentCStenotypistS8 (25500 - 81100)</v>
      </c>
      <c r="K825" s="36"/>
      <c r="L825" s="36"/>
      <c r="M825" s="38" t="s">
        <v>2171</v>
      </c>
      <c r="N825" s="36" t="s">
        <v>496</v>
      </c>
      <c r="O825" s="6" t="s">
        <v>33</v>
      </c>
      <c r="P825" s="19"/>
      <c r="Q825" s="17" t="s">
        <v>34</v>
      </c>
      <c r="R825" s="19"/>
      <c r="S825" s="19"/>
      <c r="T825" s="4" t="s">
        <v>3276</v>
      </c>
      <c r="U825" s="55" t="s">
        <v>35</v>
      </c>
      <c r="V825" s="38"/>
      <c r="W825" s="36"/>
      <c r="X825" s="36"/>
      <c r="Y825" s="36"/>
      <c r="Z825" s="41"/>
      <c r="AA825" s="42" t="e">
        <f>_xlfn.XLOOKUP(C825,#REF!,#REF!,"",0,1)</f>
        <v>#REF!</v>
      </c>
      <c r="AB825" s="43">
        <f t="shared" si="34"/>
        <v>0</v>
      </c>
    </row>
    <row r="826" spans="1:28" ht="130.5" thickBot="1" x14ac:dyDescent="0.3">
      <c r="A826" s="36">
        <v>825</v>
      </c>
      <c r="B826" s="36" t="s">
        <v>24</v>
      </c>
      <c r="C826" s="36" t="s">
        <v>263</v>
      </c>
      <c r="D826" s="37">
        <v>44910</v>
      </c>
      <c r="E826" s="36" t="s">
        <v>2164</v>
      </c>
      <c r="F826" s="36" t="s">
        <v>2172</v>
      </c>
      <c r="G826" s="36" t="s">
        <v>65</v>
      </c>
      <c r="H826" s="36" t="s">
        <v>727</v>
      </c>
      <c r="I826" s="36" t="s">
        <v>67</v>
      </c>
      <c r="J826" s="36" t="str">
        <f t="shared" si="32"/>
        <v>MinorityMaharashtra State Urdu Academy EstablishmentB (Non Gazetted)Assistant Section OfficerS14 (38600 - 122800)</v>
      </c>
      <c r="K826" s="36" t="s">
        <v>197</v>
      </c>
      <c r="L826" s="36" t="s">
        <v>228</v>
      </c>
      <c r="M826" s="38" t="s">
        <v>1796</v>
      </c>
      <c r="N826" s="36" t="s">
        <v>199</v>
      </c>
      <c r="O826" s="6" t="s">
        <v>33</v>
      </c>
      <c r="P826" s="7">
        <v>0</v>
      </c>
      <c r="Q826" s="7" t="s">
        <v>34</v>
      </c>
      <c r="R826" s="8"/>
      <c r="S826" s="8"/>
      <c r="T826" s="7" t="s">
        <v>2395</v>
      </c>
      <c r="U826" s="36" t="s">
        <v>35</v>
      </c>
      <c r="V826" s="38" t="s">
        <v>728</v>
      </c>
      <c r="W826" s="36"/>
      <c r="X826" s="36" t="s">
        <v>729</v>
      </c>
      <c r="Y826" s="36" t="s">
        <v>730</v>
      </c>
      <c r="Z826" s="41"/>
      <c r="AA826" s="42" t="e">
        <f>_xlfn.XLOOKUP(C826,#REF!,#REF!,"",0,1)</f>
        <v>#REF!</v>
      </c>
      <c r="AB826" s="43">
        <f t="shared" si="34"/>
        <v>0</v>
      </c>
    </row>
    <row r="827" spans="1:28" ht="143.5" thickBot="1" x14ac:dyDescent="0.3">
      <c r="A827" s="36">
        <v>826</v>
      </c>
      <c r="B827" s="36" t="s">
        <v>24</v>
      </c>
      <c r="C827" s="36" t="s">
        <v>263</v>
      </c>
      <c r="D827" s="37">
        <v>44910</v>
      </c>
      <c r="E827" s="36" t="s">
        <v>2164</v>
      </c>
      <c r="F827" s="36" t="s">
        <v>2172</v>
      </c>
      <c r="G827" s="36" t="s">
        <v>65</v>
      </c>
      <c r="H827" s="49" t="s">
        <v>2173</v>
      </c>
      <c r="I827" s="36" t="s">
        <v>67</v>
      </c>
      <c r="J827" s="36" t="str">
        <f t="shared" si="32"/>
        <v>MinorityMaharashtra State Urdu Academy EstablishmentB (Non Gazetted)Superintendent-Cum-Executive OfficerS14 (38600 - 122800)</v>
      </c>
      <c r="K827" s="36" t="s">
        <v>58</v>
      </c>
      <c r="L827" s="36" t="s">
        <v>228</v>
      </c>
      <c r="M827" s="38" t="s">
        <v>2174</v>
      </c>
      <c r="N827" s="36" t="s">
        <v>60</v>
      </c>
      <c r="O827" s="6" t="s">
        <v>33</v>
      </c>
      <c r="P827" s="7">
        <v>0</v>
      </c>
      <c r="Q827" s="7" t="s">
        <v>34</v>
      </c>
      <c r="R827" s="8"/>
      <c r="S827" s="8"/>
      <c r="T827" s="7" t="s">
        <v>2395</v>
      </c>
      <c r="U827" s="36" t="s">
        <v>35</v>
      </c>
      <c r="V827" s="38" t="s">
        <v>2174</v>
      </c>
      <c r="W827" s="36"/>
      <c r="X827" s="36" t="s">
        <v>2175</v>
      </c>
      <c r="Y827" s="36" t="s">
        <v>2176</v>
      </c>
      <c r="Z827" s="41"/>
      <c r="AA827" s="42" t="e">
        <f>_xlfn.XLOOKUP(C827,#REF!,#REF!,"",0,1)</f>
        <v>#REF!</v>
      </c>
      <c r="AB827" s="43">
        <f t="shared" si="34"/>
        <v>0</v>
      </c>
    </row>
    <row r="828" spans="1:28" ht="130.5" thickBot="1" x14ac:dyDescent="0.3">
      <c r="A828" s="36">
        <v>827</v>
      </c>
      <c r="B828" s="36" t="s">
        <v>24</v>
      </c>
      <c r="C828" s="36" t="s">
        <v>263</v>
      </c>
      <c r="D828" s="37">
        <v>44910</v>
      </c>
      <c r="E828" s="36" t="s">
        <v>2164</v>
      </c>
      <c r="F828" s="36" t="s">
        <v>2172</v>
      </c>
      <c r="G828" s="36" t="s">
        <v>55</v>
      </c>
      <c r="H828" s="36" t="s">
        <v>2177</v>
      </c>
      <c r="I828" s="36" t="s">
        <v>57</v>
      </c>
      <c r="J828" s="36" t="str">
        <f t="shared" si="32"/>
        <v>MinorityMaharashtra State Urdu Academy EstablishmentCSub editor(Urdu) / Deputy Editor (Urdu)S13 (35400 - 112400)</v>
      </c>
      <c r="K828" s="36" t="s">
        <v>672</v>
      </c>
      <c r="L828" s="36" t="s">
        <v>228</v>
      </c>
      <c r="M828" s="38" t="s">
        <v>2178</v>
      </c>
      <c r="N828" s="36" t="s">
        <v>2179</v>
      </c>
      <c r="O828" s="6" t="s">
        <v>33</v>
      </c>
      <c r="P828" s="7">
        <v>1</v>
      </c>
      <c r="Q828" s="7" t="s">
        <v>100</v>
      </c>
      <c r="R828" s="8"/>
      <c r="S828" s="8"/>
      <c r="T828" s="7" t="s">
        <v>2395</v>
      </c>
      <c r="U828" s="36" t="s">
        <v>35</v>
      </c>
      <c r="V828" s="38" t="s">
        <v>2180</v>
      </c>
      <c r="W828" s="36"/>
      <c r="X828" s="36" t="s">
        <v>2181</v>
      </c>
      <c r="Y828" s="36" t="s">
        <v>2182</v>
      </c>
      <c r="Z828" s="41"/>
      <c r="AA828" s="42" t="e">
        <f>_xlfn.XLOOKUP(C828,#REF!,#REF!,"",0,1)</f>
        <v>#REF!</v>
      </c>
      <c r="AB828" s="43">
        <f t="shared" si="34"/>
        <v>0</v>
      </c>
    </row>
    <row r="829" spans="1:28" ht="91.5" thickBot="1" x14ac:dyDescent="0.3">
      <c r="A829" s="36">
        <v>828</v>
      </c>
      <c r="B829" s="36" t="s">
        <v>24</v>
      </c>
      <c r="C829" s="36" t="s">
        <v>263</v>
      </c>
      <c r="D829" s="37">
        <v>44910</v>
      </c>
      <c r="E829" s="36" t="s">
        <v>2164</v>
      </c>
      <c r="F829" s="36" t="s">
        <v>2172</v>
      </c>
      <c r="G829" s="36" t="s">
        <v>55</v>
      </c>
      <c r="H829" s="36" t="s">
        <v>374</v>
      </c>
      <c r="I829" s="36" t="s">
        <v>74</v>
      </c>
      <c r="J829" s="36" t="str">
        <f t="shared" si="32"/>
        <v>MinorityMaharashtra State Urdu Academy EstablishmentCClerk/ TypistS6 (19900 - 63200)</v>
      </c>
      <c r="K829" s="36" t="s">
        <v>75</v>
      </c>
      <c r="L829" s="36" t="s">
        <v>228</v>
      </c>
      <c r="M829" s="38" t="s">
        <v>2183</v>
      </c>
      <c r="N829" s="36" t="s">
        <v>70</v>
      </c>
      <c r="O829" s="6" t="s">
        <v>33</v>
      </c>
      <c r="P829" s="7">
        <v>2</v>
      </c>
      <c r="Q829" s="7" t="s">
        <v>34</v>
      </c>
      <c r="R829" s="8"/>
      <c r="S829" s="8"/>
      <c r="T829" s="7" t="s">
        <v>35</v>
      </c>
      <c r="U829" s="36" t="s">
        <v>35</v>
      </c>
      <c r="V829" s="38" t="s">
        <v>125</v>
      </c>
      <c r="W829" s="36"/>
      <c r="X829" s="36" t="s">
        <v>77</v>
      </c>
      <c r="Y829" s="36" t="s">
        <v>78</v>
      </c>
      <c r="Z829" s="41"/>
      <c r="AA829" s="42" t="e">
        <f>_xlfn.XLOOKUP(C829,#REF!,#REF!,"",0,1)</f>
        <v>#REF!</v>
      </c>
      <c r="AB829" s="43">
        <f t="shared" si="34"/>
        <v>0</v>
      </c>
    </row>
    <row r="830" spans="1:28" ht="117.5" thickBot="1" x14ac:dyDescent="0.3">
      <c r="A830" s="36">
        <v>829</v>
      </c>
      <c r="B830" s="36" t="s">
        <v>24</v>
      </c>
      <c r="C830" s="36" t="s">
        <v>263</v>
      </c>
      <c r="D830" s="37">
        <v>44910</v>
      </c>
      <c r="E830" s="36" t="s">
        <v>2164</v>
      </c>
      <c r="F830" s="36" t="s">
        <v>2172</v>
      </c>
      <c r="G830" s="36" t="s">
        <v>55</v>
      </c>
      <c r="H830" s="36" t="s">
        <v>2184</v>
      </c>
      <c r="I830" s="36" t="s">
        <v>74</v>
      </c>
      <c r="J830" s="36" t="str">
        <f t="shared" si="32"/>
        <v>MinorityMaharashtra State Urdu Academy EstablishmentCAccounts Clerk (Urdu Academy)S6 (19900 - 63200)</v>
      </c>
      <c r="K830" s="36" t="s">
        <v>75</v>
      </c>
      <c r="L830" s="36" t="s">
        <v>228</v>
      </c>
      <c r="M830" s="38" t="s">
        <v>2185</v>
      </c>
      <c r="N830" s="36" t="s">
        <v>70</v>
      </c>
      <c r="O830" s="6" t="s">
        <v>33</v>
      </c>
      <c r="P830" s="7">
        <v>1</v>
      </c>
      <c r="Q830" s="7" t="s">
        <v>34</v>
      </c>
      <c r="R830" s="8"/>
      <c r="S830" s="8"/>
      <c r="T830" s="7" t="s">
        <v>2395</v>
      </c>
      <c r="U830" s="36" t="s">
        <v>35</v>
      </c>
      <c r="V830" s="38" t="s">
        <v>125</v>
      </c>
      <c r="W830" s="36"/>
      <c r="X830" s="36" t="s">
        <v>77</v>
      </c>
      <c r="Y830" s="36" t="s">
        <v>78</v>
      </c>
      <c r="Z830" s="41"/>
      <c r="AA830" s="42" t="e">
        <f>_xlfn.XLOOKUP(C830,#REF!,#REF!,"",0,1)</f>
        <v>#REF!</v>
      </c>
      <c r="AB830" s="43">
        <f t="shared" si="34"/>
        <v>0</v>
      </c>
    </row>
    <row r="831" spans="1:28" ht="143.5" thickBot="1" x14ac:dyDescent="0.3">
      <c r="A831" s="36">
        <v>830</v>
      </c>
      <c r="B831" s="36" t="s">
        <v>24</v>
      </c>
      <c r="C831" s="36" t="s">
        <v>263</v>
      </c>
      <c r="D831" s="37">
        <v>44910</v>
      </c>
      <c r="E831" s="36" t="s">
        <v>2164</v>
      </c>
      <c r="F831" s="36" t="s">
        <v>2186</v>
      </c>
      <c r="G831" s="36" t="s">
        <v>65</v>
      </c>
      <c r="H831" s="36" t="s">
        <v>2187</v>
      </c>
      <c r="I831" s="36" t="s">
        <v>44</v>
      </c>
      <c r="J831" s="36" t="str">
        <f t="shared" si="32"/>
        <v>MinorityMaharashtra State Waqf Tribunal, Chhatrapati Sambhajinagar EstablishmentB (Non Gazetted)Stenographer (Lg)S15 (41800 - 132300)</v>
      </c>
      <c r="K831" s="36" t="s">
        <v>1335</v>
      </c>
      <c r="L831" s="36" t="s">
        <v>228</v>
      </c>
      <c r="M831" s="38" t="s">
        <v>2188</v>
      </c>
      <c r="N831" s="36" t="s">
        <v>70</v>
      </c>
      <c r="O831" s="6" t="s">
        <v>33</v>
      </c>
      <c r="P831" s="7">
        <v>1</v>
      </c>
      <c r="Q831" s="7" t="s">
        <v>34</v>
      </c>
      <c r="R831" s="8"/>
      <c r="S831" s="8"/>
      <c r="T831" s="7" t="s">
        <v>2395</v>
      </c>
      <c r="U831" s="36" t="s">
        <v>35</v>
      </c>
      <c r="V831" s="38"/>
      <c r="W831" s="36"/>
      <c r="X831" s="36"/>
      <c r="Y831" s="36"/>
      <c r="Z831" s="41"/>
      <c r="AA831" s="42" t="e">
        <f>_xlfn.XLOOKUP(C831,#REF!,#REF!,"",0,1)</f>
        <v>#REF!</v>
      </c>
      <c r="AB831" s="43">
        <f t="shared" si="34"/>
        <v>0</v>
      </c>
    </row>
    <row r="832" spans="1:28" ht="104.5" thickBot="1" x14ac:dyDescent="0.3">
      <c r="A832" s="36">
        <v>831</v>
      </c>
      <c r="B832" s="36" t="s">
        <v>24</v>
      </c>
      <c r="C832" s="36" t="s">
        <v>263</v>
      </c>
      <c r="D832" s="37">
        <v>44910</v>
      </c>
      <c r="E832" s="36" t="s">
        <v>2164</v>
      </c>
      <c r="F832" s="36" t="s">
        <v>2186</v>
      </c>
      <c r="G832" s="36" t="s">
        <v>55</v>
      </c>
      <c r="H832" s="36" t="s">
        <v>374</v>
      </c>
      <c r="I832" s="36" t="s">
        <v>74</v>
      </c>
      <c r="J832" s="36" t="str">
        <f t="shared" si="32"/>
        <v>MinorityMaharashtra State Waqf Tribunal, Chhatrapati Sambhajinagar EstablishmentCClerk/ TypistS6 (19900 - 63200)</v>
      </c>
      <c r="K832" s="36" t="s">
        <v>75</v>
      </c>
      <c r="L832" s="36" t="s">
        <v>228</v>
      </c>
      <c r="M832" s="38" t="s">
        <v>2189</v>
      </c>
      <c r="N832" s="36" t="s">
        <v>70</v>
      </c>
      <c r="O832" s="6" t="s">
        <v>33</v>
      </c>
      <c r="P832" s="7">
        <v>8</v>
      </c>
      <c r="Q832" s="7" t="s">
        <v>34</v>
      </c>
      <c r="R832" s="8"/>
      <c r="S832" s="8"/>
      <c r="T832" s="7" t="s">
        <v>35</v>
      </c>
      <c r="U832" s="36" t="s">
        <v>35</v>
      </c>
      <c r="V832" s="38" t="s">
        <v>125</v>
      </c>
      <c r="W832" s="36"/>
      <c r="X832" s="36" t="s">
        <v>77</v>
      </c>
      <c r="Y832" s="36" t="s">
        <v>78</v>
      </c>
      <c r="Z832" s="41"/>
      <c r="AA832" s="42" t="e">
        <f>_xlfn.XLOOKUP(C832,#REF!,#REF!,"",0,1)</f>
        <v>#REF!</v>
      </c>
      <c r="AB832" s="43">
        <f t="shared" si="34"/>
        <v>0</v>
      </c>
    </row>
    <row r="833" spans="1:28" ht="156.5" thickBot="1" x14ac:dyDescent="0.3">
      <c r="A833" s="36">
        <v>832</v>
      </c>
      <c r="B833" s="36" t="s">
        <v>24</v>
      </c>
      <c r="C833" s="36" t="s">
        <v>263</v>
      </c>
      <c r="D833" s="37">
        <v>44910</v>
      </c>
      <c r="E833" s="36" t="s">
        <v>2164</v>
      </c>
      <c r="F833" s="36" t="s">
        <v>2186</v>
      </c>
      <c r="G833" s="36" t="s">
        <v>55</v>
      </c>
      <c r="H833" s="49" t="s">
        <v>2190</v>
      </c>
      <c r="I833" s="36" t="s">
        <v>80</v>
      </c>
      <c r="J833" s="36" t="str">
        <f t="shared" si="32"/>
        <v>MinorityMaharashtra State Waqf Tribunal, Chhatrapati Sambhajinagar EstablishmentCAccountant (Clerk)S8 (25500 - 81100)</v>
      </c>
      <c r="K833" s="36" t="s">
        <v>75</v>
      </c>
      <c r="L833" s="36" t="s">
        <v>228</v>
      </c>
      <c r="M833" s="38" t="s">
        <v>2191</v>
      </c>
      <c r="N833" s="36" t="s">
        <v>70</v>
      </c>
      <c r="O833" s="6" t="s">
        <v>33</v>
      </c>
      <c r="P833" s="7">
        <v>0</v>
      </c>
      <c r="Q833" s="7" t="s">
        <v>34</v>
      </c>
      <c r="R833" s="8"/>
      <c r="S833" s="8"/>
      <c r="T833" s="7" t="s">
        <v>2395</v>
      </c>
      <c r="U833" s="36" t="s">
        <v>35</v>
      </c>
      <c r="V833" s="38" t="s">
        <v>2192</v>
      </c>
      <c r="W833" s="36"/>
      <c r="X833" s="36" t="s">
        <v>2193</v>
      </c>
      <c r="Y833" s="36" t="s">
        <v>2194</v>
      </c>
      <c r="Z833" s="41"/>
      <c r="AA833" s="42" t="e">
        <f>_xlfn.XLOOKUP(C833,#REF!,#REF!,"",0,1)</f>
        <v>#REF!</v>
      </c>
      <c r="AB833" s="43">
        <f t="shared" si="34"/>
        <v>0</v>
      </c>
    </row>
    <row r="834" spans="1:28" ht="130.5" thickBot="1" x14ac:dyDescent="0.3">
      <c r="A834" s="36">
        <v>833</v>
      </c>
      <c r="B834" s="36" t="s">
        <v>24</v>
      </c>
      <c r="C834" s="36" t="s">
        <v>263</v>
      </c>
      <c r="D834" s="37">
        <v>45365</v>
      </c>
      <c r="E834" s="36" t="s">
        <v>2164</v>
      </c>
      <c r="F834" s="36" t="s">
        <v>2195</v>
      </c>
      <c r="G834" s="36" t="s">
        <v>28</v>
      </c>
      <c r="H834" s="36" t="s">
        <v>992</v>
      </c>
      <c r="I834" s="36" t="s">
        <v>38</v>
      </c>
      <c r="J834" s="36" t="str">
        <f t="shared" ref="J834:J897" si="35">_xlfn.CONCAT(E834:I834)</f>
        <v>MinorityMinority Commissionerate Chhatrapati Sambhajinagar EstablishmentAAssistant CommissionerS20 (56100 - 177500)</v>
      </c>
      <c r="K834" s="36" t="s">
        <v>45</v>
      </c>
      <c r="L834" s="36" t="s">
        <v>247</v>
      </c>
      <c r="M834" s="38" t="s">
        <v>2196</v>
      </c>
      <c r="N834" s="36" t="s">
        <v>41</v>
      </c>
      <c r="O834" s="6" t="s">
        <v>33</v>
      </c>
      <c r="P834" s="7">
        <v>1</v>
      </c>
      <c r="Q834" s="7" t="s">
        <v>34</v>
      </c>
      <c r="R834" s="8"/>
      <c r="S834" s="8"/>
      <c r="T834" s="7" t="s">
        <v>2395</v>
      </c>
      <c r="U834" s="36" t="s">
        <v>35</v>
      </c>
      <c r="V834" s="38"/>
      <c r="W834" s="36"/>
      <c r="X834" s="36"/>
      <c r="Y834" s="36"/>
      <c r="Z834" s="41"/>
      <c r="AA834" s="42" t="e">
        <f>_xlfn.XLOOKUP(C834,#REF!,#REF!,"",0,1)</f>
        <v>#REF!</v>
      </c>
      <c r="AB834" s="43">
        <f t="shared" ref="AB834:AB841" si="36">IFERROR(FLOOR(P834*AA834,1),0)</f>
        <v>0</v>
      </c>
    </row>
    <row r="835" spans="1:28" ht="156.5" thickBot="1" x14ac:dyDescent="0.3">
      <c r="A835" s="36">
        <v>834</v>
      </c>
      <c r="B835" s="36" t="s">
        <v>24</v>
      </c>
      <c r="C835" s="36" t="s">
        <v>263</v>
      </c>
      <c r="D835" s="37">
        <v>45365</v>
      </c>
      <c r="E835" s="36" t="s">
        <v>2164</v>
      </c>
      <c r="F835" s="36" t="s">
        <v>2195</v>
      </c>
      <c r="G835" s="36" t="s">
        <v>42</v>
      </c>
      <c r="H835" s="36" t="s">
        <v>2197</v>
      </c>
      <c r="I835" s="36" t="s">
        <v>44</v>
      </c>
      <c r="J835" s="36" t="str">
        <f t="shared" si="35"/>
        <v>MinorityMinority Commissionerate Chhatrapati Sambhajinagar EstablishmentB (Gazetted)Assistant Engineer Grade2S15 (41800 - 132300)</v>
      </c>
      <c r="K835" s="36"/>
      <c r="L835" s="36" t="s">
        <v>243</v>
      </c>
      <c r="M835" s="38" t="s">
        <v>2198</v>
      </c>
      <c r="N835" s="36" t="s">
        <v>595</v>
      </c>
      <c r="O835" s="6" t="s">
        <v>33</v>
      </c>
      <c r="P835" s="8"/>
      <c r="Q835" s="7" t="s">
        <v>34</v>
      </c>
      <c r="R835" s="8"/>
      <c r="S835" s="8"/>
      <c r="T835" s="4" t="s">
        <v>3276</v>
      </c>
      <c r="U835" s="36" t="s">
        <v>35</v>
      </c>
      <c r="V835" s="38"/>
      <c r="W835" s="36"/>
      <c r="X835" s="36"/>
      <c r="Y835" s="36"/>
      <c r="Z835" s="41"/>
      <c r="AA835" s="42" t="e">
        <f>_xlfn.XLOOKUP(C835,#REF!,#REF!,"",0,1)</f>
        <v>#REF!</v>
      </c>
      <c r="AB835" s="43">
        <f t="shared" si="36"/>
        <v>0</v>
      </c>
    </row>
    <row r="836" spans="1:28" ht="143.5" thickBot="1" x14ac:dyDescent="0.3">
      <c r="A836" s="36">
        <v>835</v>
      </c>
      <c r="B836" s="36" t="s">
        <v>24</v>
      </c>
      <c r="C836" s="36" t="s">
        <v>263</v>
      </c>
      <c r="D836" s="37">
        <v>45365</v>
      </c>
      <c r="E836" s="36" t="s">
        <v>2164</v>
      </c>
      <c r="F836" s="36" t="s">
        <v>2195</v>
      </c>
      <c r="G836" s="36" t="s">
        <v>65</v>
      </c>
      <c r="H836" s="36" t="s">
        <v>803</v>
      </c>
      <c r="I836" s="36" t="s">
        <v>67</v>
      </c>
      <c r="J836" s="36" t="str">
        <f t="shared" si="35"/>
        <v>MinorityMinority Commissionerate Chhatrapati Sambhajinagar EstablishmentB (Non Gazetted)SuperintendentS14 (38600 - 122800)</v>
      </c>
      <c r="K836" s="36"/>
      <c r="L836" s="36" t="s">
        <v>243</v>
      </c>
      <c r="M836" s="38" t="s">
        <v>2196</v>
      </c>
      <c r="N836" s="36" t="s">
        <v>595</v>
      </c>
      <c r="O836" s="6" t="s">
        <v>33</v>
      </c>
      <c r="P836" s="7"/>
      <c r="Q836" s="7" t="s">
        <v>34</v>
      </c>
      <c r="R836" s="8"/>
      <c r="S836" s="8"/>
      <c r="T836" s="4" t="s">
        <v>3276</v>
      </c>
      <c r="U836" s="36" t="s">
        <v>2199</v>
      </c>
      <c r="V836" s="38"/>
      <c r="W836" s="36"/>
      <c r="X836" s="36"/>
      <c r="Y836" s="36"/>
      <c r="Z836" s="41"/>
      <c r="AA836" s="42" t="e">
        <f>_xlfn.XLOOKUP(C836,#REF!,#REF!,"",0,1)</f>
        <v>#REF!</v>
      </c>
      <c r="AB836" s="43">
        <f t="shared" si="36"/>
        <v>0</v>
      </c>
    </row>
    <row r="837" spans="1:28" ht="156.5" thickBot="1" x14ac:dyDescent="0.3">
      <c r="A837" s="36">
        <v>836</v>
      </c>
      <c r="B837" s="36" t="s">
        <v>24</v>
      </c>
      <c r="C837" s="36" t="s">
        <v>263</v>
      </c>
      <c r="D837" s="37">
        <v>45365</v>
      </c>
      <c r="E837" s="36" t="s">
        <v>2164</v>
      </c>
      <c r="F837" s="36" t="s">
        <v>2195</v>
      </c>
      <c r="G837" s="36" t="s">
        <v>65</v>
      </c>
      <c r="H837" s="36" t="s">
        <v>66</v>
      </c>
      <c r="I837" s="36" t="s">
        <v>44</v>
      </c>
      <c r="J837" s="36" t="str">
        <f t="shared" si="35"/>
        <v>MinorityMinority Commissionerate Chhatrapati Sambhajinagar EstablishmentB (Non Gazetted)Stenographer (Lower Grade)S15 (41800 - 132300)</v>
      </c>
      <c r="K837" s="36" t="s">
        <v>68</v>
      </c>
      <c r="L837" s="36" t="s">
        <v>231</v>
      </c>
      <c r="M837" s="38" t="s">
        <v>2200</v>
      </c>
      <c r="N837" s="36" t="s">
        <v>70</v>
      </c>
      <c r="O837" s="6" t="s">
        <v>33</v>
      </c>
      <c r="P837" s="7">
        <v>1</v>
      </c>
      <c r="Q837" s="7" t="s">
        <v>34</v>
      </c>
      <c r="R837" s="8"/>
      <c r="S837" s="8"/>
      <c r="T837" s="4" t="s">
        <v>3276</v>
      </c>
      <c r="U837" s="36" t="s">
        <v>2199</v>
      </c>
      <c r="V837" s="38"/>
      <c r="W837" s="36"/>
      <c r="X837" s="36"/>
      <c r="Y837" s="36"/>
      <c r="Z837" s="41"/>
      <c r="AA837" s="42" t="e">
        <f>_xlfn.XLOOKUP(C837,#REF!,#REF!,"",0,1)</f>
        <v>#REF!</v>
      </c>
      <c r="AB837" s="43">
        <f t="shared" si="36"/>
        <v>0</v>
      </c>
    </row>
    <row r="838" spans="1:28" ht="156.5" thickBot="1" x14ac:dyDescent="0.3">
      <c r="A838" s="36">
        <v>837</v>
      </c>
      <c r="B838" s="36" t="s">
        <v>24</v>
      </c>
      <c r="C838" s="36" t="s">
        <v>263</v>
      </c>
      <c r="D838" s="37">
        <v>45365</v>
      </c>
      <c r="E838" s="36" t="s">
        <v>2164</v>
      </c>
      <c r="F838" s="36" t="s">
        <v>2195</v>
      </c>
      <c r="G838" s="36" t="s">
        <v>65</v>
      </c>
      <c r="H838" s="36" t="s">
        <v>71</v>
      </c>
      <c r="I838" s="36" t="s">
        <v>54</v>
      </c>
      <c r="J838" s="36" t="str">
        <f t="shared" si="35"/>
        <v>MinorityMinority Commissionerate Chhatrapati Sambhajinagar EstablishmentB (Non Gazetted)Stenographer (Higher Grade)S16 (44900 - 142400)</v>
      </c>
      <c r="K838" s="36" t="s">
        <v>68</v>
      </c>
      <c r="L838" s="36" t="s">
        <v>231</v>
      </c>
      <c r="M838" s="38" t="s">
        <v>2201</v>
      </c>
      <c r="N838" s="36" t="s">
        <v>70</v>
      </c>
      <c r="O838" s="6" t="s">
        <v>33</v>
      </c>
      <c r="P838" s="7">
        <v>1</v>
      </c>
      <c r="Q838" s="7" t="s">
        <v>34</v>
      </c>
      <c r="R838" s="8"/>
      <c r="S838" s="8"/>
      <c r="T838" s="4" t="s">
        <v>3276</v>
      </c>
      <c r="U838" s="36" t="s">
        <v>2199</v>
      </c>
      <c r="V838" s="38"/>
      <c r="W838" s="36"/>
      <c r="X838" s="36"/>
      <c r="Y838" s="36"/>
      <c r="Z838" s="41"/>
      <c r="AA838" s="42" t="e">
        <f>_xlfn.XLOOKUP(C838,#REF!,#REF!,"",0,1)</f>
        <v>#REF!</v>
      </c>
      <c r="AB838" s="43">
        <f t="shared" si="36"/>
        <v>0</v>
      </c>
    </row>
    <row r="839" spans="1:28" ht="104.5" thickBot="1" x14ac:dyDescent="0.3">
      <c r="A839" s="36">
        <v>838</v>
      </c>
      <c r="B839" s="36" t="s">
        <v>24</v>
      </c>
      <c r="C839" s="36" t="s">
        <v>263</v>
      </c>
      <c r="D839" s="37">
        <v>45365</v>
      </c>
      <c r="E839" s="36" t="s">
        <v>2164</v>
      </c>
      <c r="F839" s="36" t="s">
        <v>2195</v>
      </c>
      <c r="G839" s="36" t="s">
        <v>55</v>
      </c>
      <c r="H839" s="36" t="s">
        <v>374</v>
      </c>
      <c r="I839" s="36" t="s">
        <v>74</v>
      </c>
      <c r="J839" s="36" t="str">
        <f t="shared" si="35"/>
        <v>MinorityMinority Commissionerate Chhatrapati Sambhajinagar EstablishmentCClerk/ TypistS6 (19900 - 63200)</v>
      </c>
      <c r="K839" s="36" t="s">
        <v>75</v>
      </c>
      <c r="L839" s="36" t="s">
        <v>228</v>
      </c>
      <c r="M839" s="38" t="s">
        <v>2202</v>
      </c>
      <c r="N839" s="36" t="s">
        <v>70</v>
      </c>
      <c r="O839" s="6" t="s">
        <v>33</v>
      </c>
      <c r="P839" s="7">
        <v>42</v>
      </c>
      <c r="Q839" s="7" t="s">
        <v>34</v>
      </c>
      <c r="R839" s="8"/>
      <c r="S839" s="8"/>
      <c r="T839" s="7" t="s">
        <v>35</v>
      </c>
      <c r="U839" s="36" t="s">
        <v>2199</v>
      </c>
      <c r="V839" s="38" t="s">
        <v>125</v>
      </c>
      <c r="W839" s="36"/>
      <c r="X839" s="36" t="s">
        <v>77</v>
      </c>
      <c r="Y839" s="36" t="s">
        <v>78</v>
      </c>
      <c r="Z839" s="41"/>
      <c r="AA839" s="42" t="e">
        <f>_xlfn.XLOOKUP(C839,#REF!,#REF!,"",0,1)</f>
        <v>#REF!</v>
      </c>
      <c r="AB839" s="43">
        <f t="shared" si="36"/>
        <v>0</v>
      </c>
    </row>
    <row r="840" spans="1:28" ht="78.5" thickBot="1" x14ac:dyDescent="0.3">
      <c r="A840" s="36">
        <v>839</v>
      </c>
      <c r="B840" s="36" t="s">
        <v>24</v>
      </c>
      <c r="C840" s="36" t="s">
        <v>263</v>
      </c>
      <c r="D840" s="37">
        <v>44210</v>
      </c>
      <c r="E840" s="36" t="s">
        <v>2203</v>
      </c>
      <c r="F840" s="36" t="s">
        <v>2204</v>
      </c>
      <c r="G840" s="36" t="s">
        <v>28</v>
      </c>
      <c r="H840" s="36" t="s">
        <v>2205</v>
      </c>
      <c r="I840" s="36" t="s">
        <v>30</v>
      </c>
      <c r="J840" s="36" t="str">
        <f t="shared" si="35"/>
        <v>OBCOBC EstablishmentAPublic Realtion OfficerS18 (49100 - 155800)</v>
      </c>
      <c r="K840" s="36"/>
      <c r="L840" s="36" t="s">
        <v>243</v>
      </c>
      <c r="M840" s="38" t="s">
        <v>2206</v>
      </c>
      <c r="N840" s="36" t="s">
        <v>595</v>
      </c>
      <c r="O840" s="6" t="s">
        <v>33</v>
      </c>
      <c r="P840" s="7">
        <v>1</v>
      </c>
      <c r="Q840" s="7" t="s">
        <v>34</v>
      </c>
      <c r="R840" s="8"/>
      <c r="S840" s="8"/>
      <c r="T840" s="4" t="s">
        <v>3276</v>
      </c>
      <c r="U840" s="36" t="s">
        <v>517</v>
      </c>
      <c r="V840" s="38"/>
      <c r="W840" s="36"/>
      <c r="X840" s="36"/>
      <c r="Y840" s="36"/>
      <c r="Z840" s="41"/>
      <c r="AA840" s="42" t="e">
        <f>_xlfn.XLOOKUP(C840,#REF!,#REF!,"",0,1)</f>
        <v>#REF!</v>
      </c>
      <c r="AB840" s="43">
        <f t="shared" si="36"/>
        <v>0</v>
      </c>
    </row>
    <row r="841" spans="1:28" ht="117.5" thickBot="1" x14ac:dyDescent="0.3">
      <c r="A841" s="36">
        <v>840</v>
      </c>
      <c r="B841" s="36" t="s">
        <v>24</v>
      </c>
      <c r="C841" s="36" t="s">
        <v>263</v>
      </c>
      <c r="D841" s="37">
        <v>44210</v>
      </c>
      <c r="E841" s="36" t="s">
        <v>2203</v>
      </c>
      <c r="F841" s="36" t="s">
        <v>2204</v>
      </c>
      <c r="G841" s="36" t="s">
        <v>28</v>
      </c>
      <c r="H841" s="36" t="s">
        <v>2207</v>
      </c>
      <c r="I841" s="36" t="s">
        <v>30</v>
      </c>
      <c r="J841" s="36" t="str">
        <f t="shared" si="35"/>
        <v>OBCOBC EstablishmentAAssistant Director/ Project Officer/ Research OfficerS18 (49100 - 155800)</v>
      </c>
      <c r="K841" s="36" t="s">
        <v>45</v>
      </c>
      <c r="L841" s="36" t="s">
        <v>247</v>
      </c>
      <c r="M841" s="38" t="s">
        <v>2208</v>
      </c>
      <c r="N841" s="36" t="s">
        <v>47</v>
      </c>
      <c r="O841" s="6" t="s">
        <v>33</v>
      </c>
      <c r="P841" s="7">
        <v>0</v>
      </c>
      <c r="Q841" s="7" t="s">
        <v>34</v>
      </c>
      <c r="R841" s="8"/>
      <c r="S841" s="20" t="s">
        <v>3262</v>
      </c>
      <c r="T841" s="7" t="s">
        <v>2395</v>
      </c>
      <c r="U841" s="36" t="s">
        <v>35</v>
      </c>
      <c r="V841" s="38"/>
      <c r="W841" s="36"/>
      <c r="X841" s="36"/>
      <c r="Y841" s="36"/>
      <c r="Z841" s="41"/>
      <c r="AA841" s="42" t="e">
        <f>_xlfn.XLOOKUP(C841,#REF!,#REF!,"",0,1)</f>
        <v>#REF!</v>
      </c>
      <c r="AB841" s="43">
        <f t="shared" si="36"/>
        <v>0</v>
      </c>
    </row>
    <row r="842" spans="1:28" ht="117.5" thickBot="1" x14ac:dyDescent="0.3">
      <c r="A842" s="36">
        <v>841</v>
      </c>
      <c r="B842" s="36" t="s">
        <v>532</v>
      </c>
      <c r="C842" s="36" t="s">
        <v>263</v>
      </c>
      <c r="D842" s="37">
        <v>44210</v>
      </c>
      <c r="E842" s="36" t="s">
        <v>2203</v>
      </c>
      <c r="F842" s="36" t="s">
        <v>2204</v>
      </c>
      <c r="G842" s="36" t="s">
        <v>42</v>
      </c>
      <c r="H842" s="36" t="s">
        <v>2209</v>
      </c>
      <c r="I842" s="36" t="s">
        <v>44</v>
      </c>
      <c r="J842" s="36" t="str">
        <f t="shared" si="35"/>
        <v>OBCOBC EstablishmentB (Gazetted)Education Officer (Gazetted Officer)S15 (41800 - 132300)</v>
      </c>
      <c r="K842" s="36"/>
      <c r="L842" s="36"/>
      <c r="M842" s="38" t="s">
        <v>2210</v>
      </c>
      <c r="N842" s="36"/>
      <c r="O842" s="6" t="s">
        <v>33</v>
      </c>
      <c r="P842" s="7">
        <v>1</v>
      </c>
      <c r="Q842" s="7" t="s">
        <v>34</v>
      </c>
      <c r="R842" s="8"/>
      <c r="S842" s="8"/>
      <c r="T842" s="4" t="s">
        <v>3276</v>
      </c>
      <c r="U842" s="36" t="s">
        <v>517</v>
      </c>
      <c r="V842" s="38"/>
      <c r="W842" s="36"/>
      <c r="X842" s="36"/>
      <c r="Y842" s="36"/>
      <c r="Z842" s="41"/>
      <c r="AA842" s="42" t="e">
        <f>_xlfn.XLOOKUP(C842,#REF!,#REF!,"",0,1)</f>
        <v>#REF!</v>
      </c>
      <c r="AB842" s="43">
        <f t="shared" ref="AB842:AB897" si="37">IFERROR(FLOOR(P842*AA842,1),0)</f>
        <v>0</v>
      </c>
    </row>
    <row r="843" spans="1:28" ht="130.5" thickBot="1" x14ac:dyDescent="0.3">
      <c r="A843" s="36">
        <v>842</v>
      </c>
      <c r="B843" s="36" t="s">
        <v>24</v>
      </c>
      <c r="C843" s="36" t="s">
        <v>263</v>
      </c>
      <c r="D843" s="37">
        <v>44210</v>
      </c>
      <c r="E843" s="36" t="s">
        <v>2203</v>
      </c>
      <c r="F843" s="36" t="s">
        <v>2204</v>
      </c>
      <c r="G843" s="36" t="s">
        <v>42</v>
      </c>
      <c r="H843" s="36" t="s">
        <v>2211</v>
      </c>
      <c r="I843" s="36" t="s">
        <v>44</v>
      </c>
      <c r="J843" s="36" t="str">
        <f t="shared" si="35"/>
        <v>OBCOBC EstablishmentB (Gazetted)Other Backward Class Officer Gr-B (Gazetted Officer)S15 (41800 - 132300)</v>
      </c>
      <c r="K843" s="36" t="s">
        <v>45</v>
      </c>
      <c r="L843" s="36" t="s">
        <v>247</v>
      </c>
      <c r="M843" s="38" t="s">
        <v>2210</v>
      </c>
      <c r="N843" s="36" t="s">
        <v>41</v>
      </c>
      <c r="O843" s="6" t="s">
        <v>33</v>
      </c>
      <c r="P843" s="7">
        <v>0</v>
      </c>
      <c r="Q843" s="7" t="s">
        <v>34</v>
      </c>
      <c r="R843" s="8"/>
      <c r="S843" s="7" t="s">
        <v>2212</v>
      </c>
      <c r="T843" s="7" t="s">
        <v>2395</v>
      </c>
      <c r="U843" s="36" t="s">
        <v>35</v>
      </c>
      <c r="V843" s="38"/>
      <c r="W843" s="36"/>
      <c r="X843" s="36"/>
      <c r="Y843" s="36"/>
      <c r="Z843" s="41"/>
      <c r="AA843" s="42" t="e">
        <f>_xlfn.XLOOKUP(C843,#REF!,#REF!,"",0,1)</f>
        <v>#REF!</v>
      </c>
      <c r="AB843" s="43">
        <f t="shared" si="37"/>
        <v>0</v>
      </c>
    </row>
    <row r="844" spans="1:28" ht="104.5" thickBot="1" x14ac:dyDescent="0.3">
      <c r="A844" s="36">
        <v>843</v>
      </c>
      <c r="B844" s="36" t="s">
        <v>24</v>
      </c>
      <c r="C844" s="36" t="s">
        <v>263</v>
      </c>
      <c r="D844" s="37">
        <v>44210</v>
      </c>
      <c r="E844" s="36" t="s">
        <v>2203</v>
      </c>
      <c r="F844" s="36" t="s">
        <v>2204</v>
      </c>
      <c r="G844" s="36" t="s">
        <v>65</v>
      </c>
      <c r="H844" s="36" t="s">
        <v>66</v>
      </c>
      <c r="I844" s="36" t="s">
        <v>67</v>
      </c>
      <c r="J844" s="36" t="str">
        <f t="shared" si="35"/>
        <v>OBCOBC EstablishmentB (Non Gazetted)Stenographer (Lower Grade)S14 (38600 - 122800)</v>
      </c>
      <c r="K844" s="36" t="s">
        <v>68</v>
      </c>
      <c r="L844" s="36" t="s">
        <v>231</v>
      </c>
      <c r="M844" s="38" t="s">
        <v>2213</v>
      </c>
      <c r="N844" s="36" t="s">
        <v>70</v>
      </c>
      <c r="O844" s="6" t="s">
        <v>33</v>
      </c>
      <c r="P844" s="7">
        <v>1</v>
      </c>
      <c r="Q844" s="7" t="s">
        <v>34</v>
      </c>
      <c r="R844" s="8"/>
      <c r="S844" s="7" t="s">
        <v>2214</v>
      </c>
      <c r="T844" s="4" t="s">
        <v>3276</v>
      </c>
      <c r="U844" s="36" t="s">
        <v>517</v>
      </c>
      <c r="V844" s="38"/>
      <c r="W844" s="36"/>
      <c r="X844" s="36"/>
      <c r="Y844" s="36"/>
      <c r="Z844" s="41"/>
      <c r="AA844" s="42" t="e">
        <f>_xlfn.XLOOKUP(C844,#REF!,#REF!,"",0,1)</f>
        <v>#REF!</v>
      </c>
      <c r="AB844" s="43">
        <f t="shared" si="37"/>
        <v>0</v>
      </c>
    </row>
    <row r="845" spans="1:28" ht="130.5" thickBot="1" x14ac:dyDescent="0.3">
      <c r="A845" s="36">
        <v>844</v>
      </c>
      <c r="B845" s="36" t="s">
        <v>24</v>
      </c>
      <c r="C845" s="36" t="s">
        <v>263</v>
      </c>
      <c r="D845" s="37">
        <v>44210</v>
      </c>
      <c r="E845" s="36" t="s">
        <v>2203</v>
      </c>
      <c r="F845" s="36" t="s">
        <v>2204</v>
      </c>
      <c r="G845" s="36" t="s">
        <v>65</v>
      </c>
      <c r="H845" s="36" t="s">
        <v>2215</v>
      </c>
      <c r="I845" s="36" t="s">
        <v>44</v>
      </c>
      <c r="J845" s="36" t="str">
        <f t="shared" si="35"/>
        <v>OBCOBC EstablishmentB (Non Gazetted)Stenographer (Higher Grade) (Non-Gazetted Officer)S15 (41800 - 132300)</v>
      </c>
      <c r="K845" s="36" t="s">
        <v>68</v>
      </c>
      <c r="L845" s="36" t="s">
        <v>231</v>
      </c>
      <c r="M845" s="38" t="s">
        <v>2216</v>
      </c>
      <c r="N845" s="36" t="s">
        <v>70</v>
      </c>
      <c r="O845" s="6" t="s">
        <v>33</v>
      </c>
      <c r="P845" s="7">
        <v>2</v>
      </c>
      <c r="Q845" s="7" t="s">
        <v>34</v>
      </c>
      <c r="R845" s="8"/>
      <c r="S845" s="8"/>
      <c r="T845" s="4" t="s">
        <v>3276</v>
      </c>
      <c r="U845" s="36" t="s">
        <v>35</v>
      </c>
      <c r="V845" s="38"/>
      <c r="W845" s="36"/>
      <c r="X845" s="36"/>
      <c r="Y845" s="36"/>
      <c r="Z845" s="41"/>
      <c r="AA845" s="42" t="e">
        <f>_xlfn.XLOOKUP(C845,#REF!,#REF!,"",0,1)</f>
        <v>#REF!</v>
      </c>
      <c r="AB845" s="43">
        <f t="shared" si="37"/>
        <v>0</v>
      </c>
    </row>
    <row r="846" spans="1:28" ht="65.5" thickBot="1" x14ac:dyDescent="0.3">
      <c r="A846" s="36">
        <v>845</v>
      </c>
      <c r="B846" s="36" t="s">
        <v>24</v>
      </c>
      <c r="C846" s="36" t="s">
        <v>263</v>
      </c>
      <c r="D846" s="37">
        <v>44210</v>
      </c>
      <c r="E846" s="36" t="s">
        <v>2203</v>
      </c>
      <c r="F846" s="36" t="s">
        <v>2204</v>
      </c>
      <c r="G846" s="36" t="s">
        <v>55</v>
      </c>
      <c r="H846" s="36" t="s">
        <v>368</v>
      </c>
      <c r="I846" s="36" t="s">
        <v>57</v>
      </c>
      <c r="J846" s="36" t="str">
        <f t="shared" si="35"/>
        <v>OBCOBC EstablishmentCInspectorS13 (35400 - 112400)</v>
      </c>
      <c r="K846" s="36" t="s">
        <v>1496</v>
      </c>
      <c r="L846" s="36" t="s">
        <v>228</v>
      </c>
      <c r="M846" s="38" t="s">
        <v>155</v>
      </c>
      <c r="N846" s="36" t="s">
        <v>41</v>
      </c>
      <c r="O846" s="6" t="s">
        <v>33</v>
      </c>
      <c r="P846" s="7">
        <v>91</v>
      </c>
      <c r="Q846" s="7" t="s">
        <v>34</v>
      </c>
      <c r="R846" s="8"/>
      <c r="S846" s="7" t="s">
        <v>2217</v>
      </c>
      <c r="T846" s="7" t="s">
        <v>35</v>
      </c>
      <c r="U846" s="36" t="s">
        <v>35</v>
      </c>
      <c r="V846" s="38" t="s">
        <v>2218</v>
      </c>
      <c r="W846" s="36"/>
      <c r="X846" s="36" t="s">
        <v>2219</v>
      </c>
      <c r="Y846" s="36" t="s">
        <v>2220</v>
      </c>
      <c r="Z846" s="41"/>
      <c r="AA846" s="42" t="e">
        <f>_xlfn.XLOOKUP(C846,#REF!,#REF!,"",0,1)</f>
        <v>#REF!</v>
      </c>
      <c r="AB846" s="43">
        <f t="shared" si="37"/>
        <v>0</v>
      </c>
    </row>
    <row r="847" spans="1:28" ht="78.5" thickBot="1" x14ac:dyDescent="0.3">
      <c r="A847" s="36">
        <v>846</v>
      </c>
      <c r="B847" s="36" t="s">
        <v>24</v>
      </c>
      <c r="C847" s="36" t="s">
        <v>263</v>
      </c>
      <c r="D847" s="37">
        <v>44210</v>
      </c>
      <c r="E847" s="36" t="s">
        <v>2203</v>
      </c>
      <c r="F847" s="36" t="s">
        <v>2204</v>
      </c>
      <c r="G847" s="36" t="s">
        <v>55</v>
      </c>
      <c r="H847" s="36" t="s">
        <v>2221</v>
      </c>
      <c r="I847" s="36" t="s">
        <v>67</v>
      </c>
      <c r="J847" s="36" t="str">
        <f t="shared" si="35"/>
        <v>OBCOBC EstablishmentCSenior InspectorS14 (38600 - 122800)</v>
      </c>
      <c r="K847" s="36" t="s">
        <v>1496</v>
      </c>
      <c r="L847" s="36" t="s">
        <v>228</v>
      </c>
      <c r="M847" s="38" t="s">
        <v>2210</v>
      </c>
      <c r="N847" s="36" t="s">
        <v>41</v>
      </c>
      <c r="O847" s="6" t="s">
        <v>33</v>
      </c>
      <c r="P847" s="7"/>
      <c r="Q847" s="7" t="s">
        <v>34</v>
      </c>
      <c r="R847" s="8"/>
      <c r="S847" s="8"/>
      <c r="T847" s="7" t="s">
        <v>35</v>
      </c>
      <c r="U847" s="36" t="s">
        <v>35</v>
      </c>
      <c r="V847" s="38" t="s">
        <v>2210</v>
      </c>
      <c r="W847" s="36"/>
      <c r="X847" s="36" t="s">
        <v>150</v>
      </c>
      <c r="Y847" s="36" t="s">
        <v>150</v>
      </c>
      <c r="Z847" s="41"/>
      <c r="AA847" s="42" t="e">
        <f>_xlfn.XLOOKUP(C847,#REF!,#REF!,"",0,1)</f>
        <v>#REF!</v>
      </c>
      <c r="AB847" s="43">
        <f t="shared" si="37"/>
        <v>0</v>
      </c>
    </row>
    <row r="848" spans="1:28" ht="91.5" thickBot="1" x14ac:dyDescent="0.3">
      <c r="A848" s="36">
        <v>847</v>
      </c>
      <c r="B848" s="36" t="s">
        <v>24</v>
      </c>
      <c r="C848" s="36" t="s">
        <v>263</v>
      </c>
      <c r="D848" s="37">
        <v>44210</v>
      </c>
      <c r="E848" s="36" t="s">
        <v>2203</v>
      </c>
      <c r="F848" s="36" t="s">
        <v>2204</v>
      </c>
      <c r="G848" s="36" t="s">
        <v>55</v>
      </c>
      <c r="H848" s="36" t="s">
        <v>123</v>
      </c>
      <c r="I848" s="36" t="s">
        <v>74</v>
      </c>
      <c r="J848" s="36" t="str">
        <f t="shared" si="35"/>
        <v>OBCOBC EstablishmentCJunior ClerkS6 (19900 - 63200)</v>
      </c>
      <c r="K848" s="36" t="s">
        <v>75</v>
      </c>
      <c r="L848" s="36" t="s">
        <v>228</v>
      </c>
      <c r="M848" s="38" t="s">
        <v>2222</v>
      </c>
      <c r="N848" s="36" t="s">
        <v>70</v>
      </c>
      <c r="O848" s="6" t="s">
        <v>33</v>
      </c>
      <c r="P848" s="7">
        <v>0</v>
      </c>
      <c r="Q848" s="7" t="s">
        <v>34</v>
      </c>
      <c r="R848" s="8"/>
      <c r="S848" s="8"/>
      <c r="T848" s="7" t="s">
        <v>2395</v>
      </c>
      <c r="U848" s="36" t="s">
        <v>35</v>
      </c>
      <c r="V848" s="38" t="s">
        <v>125</v>
      </c>
      <c r="W848" s="36"/>
      <c r="X848" s="36" t="s">
        <v>77</v>
      </c>
      <c r="Y848" s="36" t="s">
        <v>78</v>
      </c>
      <c r="Z848" s="41"/>
      <c r="AA848" s="42" t="e">
        <f>_xlfn.XLOOKUP(C848,#REF!,#REF!,"",0,1)</f>
        <v>#REF!</v>
      </c>
      <c r="AB848" s="43">
        <f t="shared" si="37"/>
        <v>0</v>
      </c>
    </row>
    <row r="849" spans="1:28" ht="65.5" thickBot="1" x14ac:dyDescent="0.3">
      <c r="A849" s="36">
        <v>848</v>
      </c>
      <c r="B849" s="36" t="s">
        <v>24</v>
      </c>
      <c r="C849" s="36" t="s">
        <v>263</v>
      </c>
      <c r="D849" s="37">
        <v>44210</v>
      </c>
      <c r="E849" s="36" t="s">
        <v>2203</v>
      </c>
      <c r="F849" s="36" t="s">
        <v>2204</v>
      </c>
      <c r="G849" s="36" t="s">
        <v>55</v>
      </c>
      <c r="H849" s="36" t="s">
        <v>87</v>
      </c>
      <c r="I849" s="36" t="s">
        <v>80</v>
      </c>
      <c r="J849" s="36" t="str">
        <f t="shared" si="35"/>
        <v>OBCOBC EstablishmentCSenior ClerkS8 (25500 - 81100)</v>
      </c>
      <c r="K849" s="36" t="s">
        <v>75</v>
      </c>
      <c r="L849" s="36" t="s">
        <v>228</v>
      </c>
      <c r="M849" s="38" t="s">
        <v>155</v>
      </c>
      <c r="N849" s="36"/>
      <c r="O849" s="6" t="s">
        <v>33</v>
      </c>
      <c r="P849" s="7"/>
      <c r="Q849" s="7" t="s">
        <v>34</v>
      </c>
      <c r="R849" s="8"/>
      <c r="S849" s="8"/>
      <c r="T849" s="7" t="s">
        <v>35</v>
      </c>
      <c r="U849" s="36" t="s">
        <v>35</v>
      </c>
      <c r="V849" s="38" t="s">
        <v>155</v>
      </c>
      <c r="W849" s="36"/>
      <c r="X849" s="36" t="s">
        <v>150</v>
      </c>
      <c r="Y849" s="36" t="s">
        <v>150</v>
      </c>
      <c r="Z849" s="41"/>
      <c r="AA849" s="42" t="e">
        <f>_xlfn.XLOOKUP(C849,#REF!,#REF!,"",0,1)</f>
        <v>#REF!</v>
      </c>
      <c r="AB849" s="43">
        <f t="shared" si="37"/>
        <v>0</v>
      </c>
    </row>
    <row r="850" spans="1:28" ht="130.5" thickBot="1" x14ac:dyDescent="0.3">
      <c r="A850" s="36">
        <v>849</v>
      </c>
      <c r="B850" s="36" t="s">
        <v>24</v>
      </c>
      <c r="C850" s="36" t="s">
        <v>263</v>
      </c>
      <c r="D850" s="37">
        <v>44740</v>
      </c>
      <c r="E850" s="36" t="s">
        <v>2223</v>
      </c>
      <c r="F850" s="36" t="s">
        <v>2224</v>
      </c>
      <c r="G850" s="36" t="s">
        <v>28</v>
      </c>
      <c r="H850" s="36" t="s">
        <v>2225</v>
      </c>
      <c r="I850" s="36" t="s">
        <v>242</v>
      </c>
      <c r="J850" s="36" t="str">
        <f t="shared" si="35"/>
        <v>PlanningPlanning EstablishmentADeputy Director / Senior Research OfficerS23 (67700 - 208700)</v>
      </c>
      <c r="K850" s="36" t="s">
        <v>455</v>
      </c>
      <c r="L850" s="36" t="s">
        <v>247</v>
      </c>
      <c r="M850" s="38" t="s">
        <v>2226</v>
      </c>
      <c r="N850" s="36"/>
      <c r="O850" s="6" t="s">
        <v>83</v>
      </c>
      <c r="P850" s="7">
        <v>47</v>
      </c>
      <c r="Q850" s="7" t="s">
        <v>34</v>
      </c>
      <c r="R850" s="8"/>
      <c r="S850" s="7" t="s">
        <v>3252</v>
      </c>
      <c r="T850" s="7" t="s">
        <v>35</v>
      </c>
      <c r="U850" s="36" t="s">
        <v>2227</v>
      </c>
      <c r="V850" s="38"/>
      <c r="W850" s="36"/>
      <c r="X850" s="36"/>
      <c r="Y850" s="36"/>
      <c r="Z850" s="41"/>
      <c r="AA850" s="42" t="e">
        <f>_xlfn.XLOOKUP(C850,#REF!,#REF!,"",0,1)</f>
        <v>#REF!</v>
      </c>
      <c r="AB850" s="43">
        <f t="shared" si="37"/>
        <v>0</v>
      </c>
    </row>
    <row r="851" spans="1:28" ht="130.5" thickBot="1" x14ac:dyDescent="0.3">
      <c r="A851" s="36">
        <v>850</v>
      </c>
      <c r="B851" s="36" t="s">
        <v>24</v>
      </c>
      <c r="C851" s="36" t="s">
        <v>263</v>
      </c>
      <c r="D851" s="37">
        <v>44740</v>
      </c>
      <c r="E851" s="36" t="s">
        <v>2223</v>
      </c>
      <c r="F851" s="36" t="s">
        <v>2224</v>
      </c>
      <c r="G851" s="36" t="s">
        <v>42</v>
      </c>
      <c r="H851" s="36" t="s">
        <v>2228</v>
      </c>
      <c r="I851" s="36" t="s">
        <v>54</v>
      </c>
      <c r="J851" s="36" t="str">
        <f t="shared" si="35"/>
        <v>PlanningPlanning EstablishmentB (Gazetted)Statistical Officer/ / Research OfficerS16 (44900 - 142400)</v>
      </c>
      <c r="K851" s="36" t="s">
        <v>455</v>
      </c>
      <c r="L851" s="36" t="s">
        <v>247</v>
      </c>
      <c r="M851" s="38" t="s">
        <v>2229</v>
      </c>
      <c r="N851" s="36" t="s">
        <v>41</v>
      </c>
      <c r="O851" s="6" t="s">
        <v>33</v>
      </c>
      <c r="P851" s="7">
        <v>34</v>
      </c>
      <c r="Q851" s="7" t="s">
        <v>34</v>
      </c>
      <c r="R851" s="8"/>
      <c r="S851" s="7" t="s">
        <v>3253</v>
      </c>
      <c r="T851" s="7" t="s">
        <v>61</v>
      </c>
      <c r="U851" s="36" t="s">
        <v>61</v>
      </c>
      <c r="V851" s="38"/>
      <c r="W851" s="36"/>
      <c r="X851" s="36"/>
      <c r="Y851" s="36"/>
      <c r="Z851" s="41"/>
      <c r="AA851" s="42" t="e">
        <f>_xlfn.XLOOKUP(C851,#REF!,#REF!,"",0,1)</f>
        <v>#REF!</v>
      </c>
      <c r="AB851" s="43">
        <f t="shared" si="37"/>
        <v>0</v>
      </c>
    </row>
    <row r="852" spans="1:28" ht="117.5" thickBot="1" x14ac:dyDescent="0.3">
      <c r="A852" s="36">
        <v>851</v>
      </c>
      <c r="B852" s="36" t="s">
        <v>24</v>
      </c>
      <c r="C852" s="36" t="s">
        <v>263</v>
      </c>
      <c r="D852" s="37">
        <v>44740</v>
      </c>
      <c r="E852" s="36" t="s">
        <v>2223</v>
      </c>
      <c r="F852" s="36" t="s">
        <v>2224</v>
      </c>
      <c r="G852" s="36" t="s">
        <v>65</v>
      </c>
      <c r="H852" s="36" t="s">
        <v>2230</v>
      </c>
      <c r="I852" s="36" t="s">
        <v>67</v>
      </c>
      <c r="J852" s="36" t="str">
        <f t="shared" si="35"/>
        <v>PlanningPlanning EstablishmentB (Non Gazetted)Assistant Research OfficerS14 (38600 - 122800)</v>
      </c>
      <c r="K852" s="36" t="s">
        <v>115</v>
      </c>
      <c r="L852" s="36" t="s">
        <v>225</v>
      </c>
      <c r="M852" s="38" t="s">
        <v>2231</v>
      </c>
      <c r="N852" s="36" t="s">
        <v>41</v>
      </c>
      <c r="O852" s="6" t="s">
        <v>33</v>
      </c>
      <c r="P852" s="7">
        <v>14</v>
      </c>
      <c r="Q852" s="7" t="s">
        <v>34</v>
      </c>
      <c r="R852" s="8"/>
      <c r="S852" s="8"/>
      <c r="T852" s="7" t="s">
        <v>61</v>
      </c>
      <c r="U852" s="36" t="s">
        <v>517</v>
      </c>
      <c r="V852" s="38" t="s">
        <v>2232</v>
      </c>
      <c r="W852" s="36"/>
      <c r="X852" s="36" t="s">
        <v>2233</v>
      </c>
      <c r="Y852" s="36" t="s">
        <v>2234</v>
      </c>
      <c r="Z852" s="41"/>
      <c r="AA852" s="42" t="e">
        <f>_xlfn.XLOOKUP(C852,#REF!,#REF!,"",0,1)</f>
        <v>#REF!</v>
      </c>
      <c r="AB852" s="43">
        <f t="shared" si="37"/>
        <v>0</v>
      </c>
    </row>
    <row r="853" spans="1:28" ht="91.5" thickBot="1" x14ac:dyDescent="0.3">
      <c r="A853" s="36">
        <v>852</v>
      </c>
      <c r="B853" s="36" t="s">
        <v>24</v>
      </c>
      <c r="C853" s="36" t="s">
        <v>263</v>
      </c>
      <c r="D853" s="37">
        <v>44740</v>
      </c>
      <c r="E853" s="36" t="s">
        <v>2223</v>
      </c>
      <c r="F853" s="36" t="s">
        <v>2224</v>
      </c>
      <c r="G853" s="36" t="s">
        <v>55</v>
      </c>
      <c r="H853" s="36" t="s">
        <v>2235</v>
      </c>
      <c r="I853" s="36" t="s">
        <v>276</v>
      </c>
      <c r="J853" s="36" t="str">
        <f t="shared" si="35"/>
        <v>PlanningPlanning EstablishmentCthe DraftsmanS10 (29200 - 92300)</v>
      </c>
      <c r="K853" s="36"/>
      <c r="L853" s="36" t="s">
        <v>238</v>
      </c>
      <c r="M853" s="38" t="s">
        <v>2236</v>
      </c>
      <c r="N853" s="36" t="s">
        <v>1236</v>
      </c>
      <c r="O853" s="6" t="s">
        <v>83</v>
      </c>
      <c r="P853" s="7">
        <v>1</v>
      </c>
      <c r="Q853" s="7" t="s">
        <v>34</v>
      </c>
      <c r="R853" s="8"/>
      <c r="S853" s="8"/>
      <c r="T853" s="7" t="s">
        <v>2395</v>
      </c>
      <c r="U853" s="36" t="s">
        <v>61</v>
      </c>
      <c r="V853" s="38"/>
      <c r="W853" s="36"/>
      <c r="X853" s="36"/>
      <c r="Y853" s="36"/>
      <c r="Z853" s="41"/>
      <c r="AA853" s="42" t="e">
        <f>_xlfn.XLOOKUP(C853,#REF!,#REF!,"",0,1)</f>
        <v>#REF!</v>
      </c>
      <c r="AB853" s="43">
        <f t="shared" si="37"/>
        <v>0</v>
      </c>
    </row>
    <row r="854" spans="1:28" ht="78.5" thickBot="1" x14ac:dyDescent="0.3">
      <c r="A854" s="36">
        <v>853</v>
      </c>
      <c r="B854" s="36" t="s">
        <v>24</v>
      </c>
      <c r="C854" s="36" t="s">
        <v>263</v>
      </c>
      <c r="D854" s="37">
        <v>44740</v>
      </c>
      <c r="E854" s="36" t="s">
        <v>2223</v>
      </c>
      <c r="F854" s="36" t="s">
        <v>2224</v>
      </c>
      <c r="G854" s="36" t="s">
        <v>55</v>
      </c>
      <c r="H854" s="36" t="s">
        <v>177</v>
      </c>
      <c r="I854" s="36" t="s">
        <v>276</v>
      </c>
      <c r="J854" s="36" t="str">
        <f t="shared" si="35"/>
        <v>PlanningPlanning EstablishmentCStatistical AssistantS10 (29200 - 92300)</v>
      </c>
      <c r="K854" s="36" t="s">
        <v>115</v>
      </c>
      <c r="L854" s="36" t="s">
        <v>225</v>
      </c>
      <c r="M854" s="38" t="s">
        <v>2237</v>
      </c>
      <c r="N854" s="36" t="s">
        <v>41</v>
      </c>
      <c r="O854" s="6" t="s">
        <v>33</v>
      </c>
      <c r="P854" s="7">
        <v>95</v>
      </c>
      <c r="Q854" s="7" t="s">
        <v>34</v>
      </c>
      <c r="R854" s="8"/>
      <c r="S854" s="8"/>
      <c r="T854" s="7" t="s">
        <v>61</v>
      </c>
      <c r="U854" s="36" t="s">
        <v>61</v>
      </c>
      <c r="V854" s="38" t="s">
        <v>2238</v>
      </c>
      <c r="W854" s="36"/>
      <c r="X854" s="36" t="s">
        <v>2233</v>
      </c>
      <c r="Y854" s="36" t="s">
        <v>2234</v>
      </c>
      <c r="Z854" s="41"/>
      <c r="AA854" s="42" t="e">
        <f>_xlfn.XLOOKUP(C854,#REF!,#REF!,"",0,1)</f>
        <v>#REF!</v>
      </c>
      <c r="AB854" s="43">
        <f t="shared" si="37"/>
        <v>0</v>
      </c>
    </row>
    <row r="855" spans="1:28" ht="91.5" thickBot="1" x14ac:dyDescent="0.3">
      <c r="A855" s="36">
        <v>854</v>
      </c>
      <c r="B855" s="36" t="s">
        <v>24</v>
      </c>
      <c r="C855" s="36" t="s">
        <v>263</v>
      </c>
      <c r="D855" s="37">
        <v>44740</v>
      </c>
      <c r="E855" s="36" t="s">
        <v>2223</v>
      </c>
      <c r="F855" s="36" t="s">
        <v>2224</v>
      </c>
      <c r="G855" s="36" t="s">
        <v>55</v>
      </c>
      <c r="H855" s="36" t="s">
        <v>702</v>
      </c>
      <c r="I855" s="36" t="s">
        <v>74</v>
      </c>
      <c r="J855" s="36" t="str">
        <f t="shared" si="35"/>
        <v>PlanningPlanning EstablishmentCClerktypistS6 (19900 - 63200)</v>
      </c>
      <c r="K855" s="36" t="s">
        <v>75</v>
      </c>
      <c r="L855" s="36" t="s">
        <v>228</v>
      </c>
      <c r="M855" s="38" t="s">
        <v>2239</v>
      </c>
      <c r="N855" s="36" t="s">
        <v>70</v>
      </c>
      <c r="O855" s="6" t="s">
        <v>33</v>
      </c>
      <c r="P855" s="8"/>
      <c r="Q855" s="7" t="s">
        <v>100</v>
      </c>
      <c r="R855" s="7">
        <v>14</v>
      </c>
      <c r="S855" s="7" t="s">
        <v>3254</v>
      </c>
      <c r="T855" s="7" t="s">
        <v>61</v>
      </c>
      <c r="U855" s="36" t="s">
        <v>61</v>
      </c>
      <c r="V855" s="38" t="s">
        <v>125</v>
      </c>
      <c r="W855" s="36"/>
      <c r="X855" s="36" t="s">
        <v>77</v>
      </c>
      <c r="Y855" s="36" t="s">
        <v>78</v>
      </c>
      <c r="Z855" s="41"/>
      <c r="AA855" s="42" t="e">
        <f>_xlfn.XLOOKUP(C855,#REF!,#REF!,"",0,1)</f>
        <v>#REF!</v>
      </c>
      <c r="AB855" s="43">
        <f t="shared" si="37"/>
        <v>0</v>
      </c>
    </row>
    <row r="856" spans="1:28" ht="78.5" thickBot="1" x14ac:dyDescent="0.3">
      <c r="A856" s="36">
        <v>855</v>
      </c>
      <c r="B856" s="36" t="s">
        <v>24</v>
      </c>
      <c r="C856" s="36" t="s">
        <v>263</v>
      </c>
      <c r="D856" s="37">
        <v>44740</v>
      </c>
      <c r="E856" s="36" t="s">
        <v>2223</v>
      </c>
      <c r="F856" s="36" t="s">
        <v>2224</v>
      </c>
      <c r="G856" s="36" t="s">
        <v>55</v>
      </c>
      <c r="H856" s="36" t="s">
        <v>2240</v>
      </c>
      <c r="I856" s="36" t="s">
        <v>80</v>
      </c>
      <c r="J856" s="36" t="str">
        <f t="shared" si="35"/>
        <v>PlanningPlanning EstablishmentCthe investigatorS8 (25500 - 81100)</v>
      </c>
      <c r="K856" s="36" t="s">
        <v>2241</v>
      </c>
      <c r="L856" s="36" t="s">
        <v>228</v>
      </c>
      <c r="M856" s="38" t="s">
        <v>2242</v>
      </c>
      <c r="N856" s="36" t="s">
        <v>199</v>
      </c>
      <c r="O856" s="6" t="s">
        <v>33</v>
      </c>
      <c r="P856" s="7">
        <v>42</v>
      </c>
      <c r="Q856" s="7" t="s">
        <v>34</v>
      </c>
      <c r="R856" s="8"/>
      <c r="S856" s="8"/>
      <c r="T856" s="7" t="s">
        <v>61</v>
      </c>
      <c r="U856" s="36" t="s">
        <v>61</v>
      </c>
      <c r="V856" s="38" t="s">
        <v>2243</v>
      </c>
      <c r="W856" s="36"/>
      <c r="X856" s="36" t="s">
        <v>2244</v>
      </c>
      <c r="Y856" s="36" t="s">
        <v>2245</v>
      </c>
      <c r="Z856" s="41"/>
      <c r="AA856" s="42" t="e">
        <f>_xlfn.XLOOKUP(C856,#REF!,#REF!,"",0,1)</f>
        <v>#REF!</v>
      </c>
      <c r="AB856" s="43">
        <f t="shared" si="37"/>
        <v>0</v>
      </c>
    </row>
    <row r="857" spans="1:28" ht="117.5" thickBot="1" x14ac:dyDescent="0.3">
      <c r="A857" s="36">
        <v>856</v>
      </c>
      <c r="B857" s="36" t="s">
        <v>24</v>
      </c>
      <c r="C857" s="36" t="s">
        <v>263</v>
      </c>
      <c r="D857" s="37">
        <v>44756</v>
      </c>
      <c r="E857" s="36" t="s">
        <v>2246</v>
      </c>
      <c r="F857" s="36" t="s">
        <v>2247</v>
      </c>
      <c r="G857" s="36" t="s">
        <v>28</v>
      </c>
      <c r="H857" s="36" t="s">
        <v>2248</v>
      </c>
      <c r="I857" s="36" t="s">
        <v>38</v>
      </c>
      <c r="J857" s="36" t="str">
        <f t="shared" si="35"/>
        <v>PWDChief Architect EstablishmentAArchitectS20 (56100 - 177500)</v>
      </c>
      <c r="K857" s="36"/>
      <c r="L857" s="36" t="s">
        <v>243</v>
      </c>
      <c r="M857" s="38" t="s">
        <v>2249</v>
      </c>
      <c r="N857" s="36" t="s">
        <v>32</v>
      </c>
      <c r="O857" s="6" t="s">
        <v>33</v>
      </c>
      <c r="P857" s="7">
        <v>4</v>
      </c>
      <c r="Q857" s="7" t="s">
        <v>100</v>
      </c>
      <c r="R857" s="8"/>
      <c r="S857" s="7" t="s">
        <v>2250</v>
      </c>
      <c r="T857" s="4" t="s">
        <v>3276</v>
      </c>
      <c r="U857" s="36" t="s">
        <v>61</v>
      </c>
      <c r="V857" s="38"/>
      <c r="W857" s="36"/>
      <c r="X857" s="36"/>
      <c r="Y857" s="36"/>
      <c r="Z857" s="41"/>
      <c r="AA857" s="42" t="e">
        <f>_xlfn.XLOOKUP(C857,#REF!,#REF!,"",0,1)</f>
        <v>#REF!</v>
      </c>
      <c r="AB857" s="43">
        <f t="shared" si="37"/>
        <v>0</v>
      </c>
    </row>
    <row r="858" spans="1:28" ht="104.5" thickBot="1" x14ac:dyDescent="0.3">
      <c r="A858" s="36">
        <v>857</v>
      </c>
      <c r="B858" s="36" t="s">
        <v>24</v>
      </c>
      <c r="C858" s="36" t="s">
        <v>263</v>
      </c>
      <c r="D858" s="37">
        <v>44756</v>
      </c>
      <c r="E858" s="36" t="s">
        <v>2246</v>
      </c>
      <c r="F858" s="36" t="s">
        <v>2247</v>
      </c>
      <c r="G858" s="36" t="s">
        <v>42</v>
      </c>
      <c r="H858" s="36" t="s">
        <v>2251</v>
      </c>
      <c r="I858" s="36" t="s">
        <v>44</v>
      </c>
      <c r="J858" s="36" t="str">
        <f t="shared" si="35"/>
        <v>PWDChief Architect EstablishmentB (Gazetted)Junior ArchitectS15 (41800 - 132300)</v>
      </c>
      <c r="K858" s="36"/>
      <c r="L858" s="36" t="s">
        <v>238</v>
      </c>
      <c r="M858" s="38" t="s">
        <v>2252</v>
      </c>
      <c r="N858" s="36"/>
      <c r="O858" s="9"/>
      <c r="P858" s="7">
        <v>0</v>
      </c>
      <c r="Q858" s="7" t="s">
        <v>34</v>
      </c>
      <c r="R858" s="8"/>
      <c r="S858" s="8"/>
      <c r="T858" s="7" t="s">
        <v>2395</v>
      </c>
      <c r="U858" s="36" t="s">
        <v>517</v>
      </c>
      <c r="V858" s="38"/>
      <c r="W858" s="36"/>
      <c r="X858" s="36"/>
      <c r="Y858" s="36"/>
      <c r="Z858" s="41"/>
      <c r="AA858" s="42" t="e">
        <f>_xlfn.XLOOKUP(C858,#REF!,#REF!,"",0,1)</f>
        <v>#REF!</v>
      </c>
      <c r="AB858" s="43">
        <f t="shared" si="37"/>
        <v>0</v>
      </c>
    </row>
    <row r="859" spans="1:28" ht="91.5" thickBot="1" x14ac:dyDescent="0.3">
      <c r="A859" s="36">
        <v>858</v>
      </c>
      <c r="B859" s="36" t="s">
        <v>24</v>
      </c>
      <c r="C859" s="36" t="s">
        <v>263</v>
      </c>
      <c r="D859" s="37">
        <v>44756</v>
      </c>
      <c r="E859" s="36" t="s">
        <v>2246</v>
      </c>
      <c r="F859" s="36" t="s">
        <v>2247</v>
      </c>
      <c r="G859" s="36" t="s">
        <v>55</v>
      </c>
      <c r="H859" s="36" t="s">
        <v>2253</v>
      </c>
      <c r="I859" s="36" t="s">
        <v>668</v>
      </c>
      <c r="J859" s="36" t="str">
        <f t="shared" si="35"/>
        <v>PWDChief Architect EstablishmentCAssitant Junior ArchitectS12 (32000 - 101600)</v>
      </c>
      <c r="K859" s="36"/>
      <c r="L859" s="36" t="s">
        <v>238</v>
      </c>
      <c r="M859" s="38" t="s">
        <v>2254</v>
      </c>
      <c r="N859" s="36" t="s">
        <v>283</v>
      </c>
      <c r="O859" s="6" t="s">
        <v>33</v>
      </c>
      <c r="P859" s="7">
        <v>0</v>
      </c>
      <c r="Q859" s="7" t="s">
        <v>34</v>
      </c>
      <c r="R859" s="8"/>
      <c r="S859" s="8"/>
      <c r="T859" s="7" t="s">
        <v>2395</v>
      </c>
      <c r="U859" s="36" t="s">
        <v>517</v>
      </c>
      <c r="V859" s="38"/>
      <c r="W859" s="36"/>
      <c r="X859" s="36"/>
      <c r="Y859" s="36"/>
      <c r="Z859" s="41"/>
      <c r="AA859" s="42" t="e">
        <f>_xlfn.XLOOKUP(C859,#REF!,#REF!,"",0,1)</f>
        <v>#REF!</v>
      </c>
      <c r="AB859" s="43">
        <f t="shared" si="37"/>
        <v>0</v>
      </c>
    </row>
    <row r="860" spans="1:28" ht="91.5" thickBot="1" x14ac:dyDescent="0.3">
      <c r="A860" s="36">
        <v>859</v>
      </c>
      <c r="B860" s="36" t="s">
        <v>24</v>
      </c>
      <c r="C860" s="36" t="s">
        <v>263</v>
      </c>
      <c r="D860" s="37">
        <v>44756</v>
      </c>
      <c r="E860" s="36" t="s">
        <v>2246</v>
      </c>
      <c r="F860" s="36" t="s">
        <v>2247</v>
      </c>
      <c r="G860" s="36" t="s">
        <v>55</v>
      </c>
      <c r="H860" s="36" t="s">
        <v>2255</v>
      </c>
      <c r="I860" s="36" t="s">
        <v>54</v>
      </c>
      <c r="J860" s="36" t="str">
        <f t="shared" si="35"/>
        <v>PWDChief Architect EstablishmentCSteno Higher GradeS16 (44900 - 142400)</v>
      </c>
      <c r="K860" s="36" t="s">
        <v>68</v>
      </c>
      <c r="L860" s="36" t="s">
        <v>231</v>
      </c>
      <c r="M860" s="38" t="s">
        <v>2256</v>
      </c>
      <c r="N860" s="36" t="s">
        <v>70</v>
      </c>
      <c r="O860" s="6" t="s">
        <v>33</v>
      </c>
      <c r="P860" s="7">
        <v>0</v>
      </c>
      <c r="Q860" s="7" t="s">
        <v>34</v>
      </c>
      <c r="R860" s="8"/>
      <c r="S860" s="8"/>
      <c r="T860" s="4" t="s">
        <v>3276</v>
      </c>
      <c r="U860" s="36" t="s">
        <v>517</v>
      </c>
      <c r="V860" s="38"/>
      <c r="W860" s="36"/>
      <c r="X860" s="36"/>
      <c r="Y860" s="36"/>
      <c r="Z860" s="41"/>
      <c r="AA860" s="42" t="e">
        <f>_xlfn.XLOOKUP(C860,#REF!,#REF!,"",0,1)</f>
        <v>#REF!</v>
      </c>
      <c r="AB860" s="43">
        <f t="shared" si="37"/>
        <v>0</v>
      </c>
    </row>
    <row r="861" spans="1:28" ht="91.5" thickBot="1" x14ac:dyDescent="0.3">
      <c r="A861" s="36">
        <v>860</v>
      </c>
      <c r="B861" s="36" t="s">
        <v>24</v>
      </c>
      <c r="C861" s="36" t="s">
        <v>263</v>
      </c>
      <c r="D861" s="37">
        <v>44756</v>
      </c>
      <c r="E861" s="36" t="s">
        <v>2246</v>
      </c>
      <c r="F861" s="36" t="s">
        <v>2247</v>
      </c>
      <c r="G861" s="36" t="s">
        <v>55</v>
      </c>
      <c r="H861" s="36" t="s">
        <v>2257</v>
      </c>
      <c r="I861" s="36" t="s">
        <v>74</v>
      </c>
      <c r="J861" s="36" t="str">
        <f t="shared" si="35"/>
        <v>PWDChief Architect EstablishmentCJunior Clerk Cum TypistS6 (19900 - 63200)</v>
      </c>
      <c r="K861" s="36" t="s">
        <v>75</v>
      </c>
      <c r="L861" s="36" t="s">
        <v>228</v>
      </c>
      <c r="M861" s="38" t="s">
        <v>2167</v>
      </c>
      <c r="N861" s="36" t="s">
        <v>70</v>
      </c>
      <c r="O861" s="6" t="s">
        <v>33</v>
      </c>
      <c r="P861" s="7">
        <v>5</v>
      </c>
      <c r="Q861" s="7" t="s">
        <v>34</v>
      </c>
      <c r="R861" s="8"/>
      <c r="S861" s="8"/>
      <c r="T861" s="7" t="s">
        <v>35</v>
      </c>
      <c r="U861" s="36" t="s">
        <v>36</v>
      </c>
      <c r="V861" s="38" t="s">
        <v>125</v>
      </c>
      <c r="W861" s="36"/>
      <c r="X861" s="36" t="s">
        <v>77</v>
      </c>
      <c r="Y861" s="36" t="s">
        <v>78</v>
      </c>
      <c r="Z861" s="41"/>
      <c r="AA861" s="42" t="e">
        <f>_xlfn.XLOOKUP(C861,#REF!,#REF!,"",0,1)</f>
        <v>#REF!</v>
      </c>
      <c r="AB861" s="43">
        <f t="shared" si="37"/>
        <v>0</v>
      </c>
    </row>
    <row r="862" spans="1:28" ht="65.5" thickBot="1" x14ac:dyDescent="0.3">
      <c r="A862" s="36">
        <v>861</v>
      </c>
      <c r="B862" s="36" t="s">
        <v>24</v>
      </c>
      <c r="C862" s="36" t="s">
        <v>263</v>
      </c>
      <c r="D862" s="37">
        <v>44756</v>
      </c>
      <c r="E862" s="36" t="s">
        <v>2246</v>
      </c>
      <c r="F862" s="36" t="s">
        <v>2247</v>
      </c>
      <c r="G862" s="36" t="s">
        <v>55</v>
      </c>
      <c r="H862" s="36" t="s">
        <v>87</v>
      </c>
      <c r="I862" s="36" t="s">
        <v>80</v>
      </c>
      <c r="J862" s="36" t="str">
        <f t="shared" si="35"/>
        <v>PWDChief Architect EstablishmentCSenior ClerkS8 (25500 - 81100)</v>
      </c>
      <c r="K862" s="36" t="s">
        <v>75</v>
      </c>
      <c r="L862" s="36" t="s">
        <v>228</v>
      </c>
      <c r="M862" s="38" t="s">
        <v>2258</v>
      </c>
      <c r="N862" s="36" t="s">
        <v>70</v>
      </c>
      <c r="O862" s="6" t="s">
        <v>33</v>
      </c>
      <c r="P862" s="7">
        <v>0</v>
      </c>
      <c r="Q862" s="7" t="s">
        <v>34</v>
      </c>
      <c r="R862" s="8"/>
      <c r="S862" s="8"/>
      <c r="T862" s="7" t="s">
        <v>2395</v>
      </c>
      <c r="U862" s="36" t="s">
        <v>517</v>
      </c>
      <c r="V862" s="38" t="s">
        <v>257</v>
      </c>
      <c r="W862" s="36"/>
      <c r="X862" s="36" t="s">
        <v>258</v>
      </c>
      <c r="Y862" s="36" t="s">
        <v>259</v>
      </c>
      <c r="Z862" s="41"/>
      <c r="AA862" s="42" t="e">
        <f>_xlfn.XLOOKUP(C862,#REF!,#REF!,"",0,1)</f>
        <v>#REF!</v>
      </c>
      <c r="AB862" s="43">
        <f t="shared" si="37"/>
        <v>0</v>
      </c>
    </row>
    <row r="863" spans="1:28" ht="91.5" thickBot="1" x14ac:dyDescent="0.3">
      <c r="A863" s="36">
        <v>862</v>
      </c>
      <c r="B863" s="36" t="s">
        <v>24</v>
      </c>
      <c r="C863" s="36" t="s">
        <v>263</v>
      </c>
      <c r="D863" s="37">
        <v>45209</v>
      </c>
      <c r="E863" s="36" t="s">
        <v>2246</v>
      </c>
      <c r="F863" s="36" t="s">
        <v>2259</v>
      </c>
      <c r="G863" s="36" t="s">
        <v>28</v>
      </c>
      <c r="H863" s="36" t="s">
        <v>2260</v>
      </c>
      <c r="I863" s="36" t="s">
        <v>38</v>
      </c>
      <c r="J863" s="36" t="str">
        <f t="shared" si="35"/>
        <v>PWDCivil EstablishmentAAssistant Executive EngineerS20 (56100 - 177500)</v>
      </c>
      <c r="K863" s="36" t="s">
        <v>246</v>
      </c>
      <c r="L863" s="36" t="s">
        <v>247</v>
      </c>
      <c r="M863" s="38" t="s">
        <v>2261</v>
      </c>
      <c r="N863" s="36" t="s">
        <v>41</v>
      </c>
      <c r="O863" s="6" t="s">
        <v>33</v>
      </c>
      <c r="P863" s="7">
        <v>7</v>
      </c>
      <c r="Q863" s="7" t="s">
        <v>100</v>
      </c>
      <c r="R863" s="8"/>
      <c r="S863" s="7" t="s">
        <v>3255</v>
      </c>
      <c r="T863" s="7" t="s">
        <v>61</v>
      </c>
      <c r="U863" s="36" t="s">
        <v>61</v>
      </c>
      <c r="V863" s="38"/>
      <c r="W863" s="36"/>
      <c r="X863" s="36"/>
      <c r="Y863" s="36"/>
      <c r="Z863" s="41"/>
      <c r="AA863" s="42" t="e">
        <f>_xlfn.XLOOKUP(C863,#REF!,#REF!,"",0,1)</f>
        <v>#REF!</v>
      </c>
      <c r="AB863" s="43">
        <f t="shared" si="37"/>
        <v>0</v>
      </c>
    </row>
    <row r="864" spans="1:28" ht="78.5" thickBot="1" x14ac:dyDescent="0.3">
      <c r="A864" s="36">
        <v>863</v>
      </c>
      <c r="B864" s="36" t="s">
        <v>24</v>
      </c>
      <c r="C864" s="36" t="s">
        <v>263</v>
      </c>
      <c r="D864" s="37">
        <v>45209</v>
      </c>
      <c r="E864" s="36" t="s">
        <v>2246</v>
      </c>
      <c r="F864" s="36" t="s">
        <v>2259</v>
      </c>
      <c r="G864" s="36" t="s">
        <v>28</v>
      </c>
      <c r="H864" s="36" t="s">
        <v>2262</v>
      </c>
      <c r="I864" s="36" t="s">
        <v>38</v>
      </c>
      <c r="J864" s="36" t="str">
        <f t="shared" si="35"/>
        <v>PWDCivil EstablishmentAAssistant Engineer Grade-IS20 (56100 - 177500)</v>
      </c>
      <c r="K864" s="36" t="s">
        <v>246</v>
      </c>
      <c r="L864" s="36" t="s">
        <v>247</v>
      </c>
      <c r="M864" s="38" t="s">
        <v>2261</v>
      </c>
      <c r="N864" s="36" t="s">
        <v>41</v>
      </c>
      <c r="O864" s="6" t="s">
        <v>33</v>
      </c>
      <c r="P864" s="7">
        <v>9</v>
      </c>
      <c r="Q864" s="7" t="s">
        <v>100</v>
      </c>
      <c r="R864" s="8"/>
      <c r="S864" s="7" t="s">
        <v>3256</v>
      </c>
      <c r="T864" s="7" t="s">
        <v>61</v>
      </c>
      <c r="U864" s="36" t="s">
        <v>61</v>
      </c>
      <c r="V864" s="38"/>
      <c r="W864" s="36"/>
      <c r="X864" s="36"/>
      <c r="Y864" s="36"/>
      <c r="Z864" s="41"/>
      <c r="AA864" s="42" t="e">
        <f>_xlfn.XLOOKUP(C864,#REF!,#REF!,"",0,1)</f>
        <v>#REF!</v>
      </c>
      <c r="AB864" s="43">
        <f t="shared" si="37"/>
        <v>0</v>
      </c>
    </row>
    <row r="865" spans="1:28" ht="117.5" thickBot="1" x14ac:dyDescent="0.3">
      <c r="A865" s="36">
        <v>864</v>
      </c>
      <c r="B865" s="36" t="s">
        <v>24</v>
      </c>
      <c r="C865" s="36" t="s">
        <v>263</v>
      </c>
      <c r="D865" s="37">
        <v>45209</v>
      </c>
      <c r="E865" s="36" t="s">
        <v>2246</v>
      </c>
      <c r="F865" s="36" t="s">
        <v>2259</v>
      </c>
      <c r="G865" s="36" t="s">
        <v>42</v>
      </c>
      <c r="H865" s="36" t="s">
        <v>2263</v>
      </c>
      <c r="I865" s="36" t="s">
        <v>54</v>
      </c>
      <c r="J865" s="36" t="str">
        <f t="shared" si="35"/>
        <v>PWDCivil EstablishmentB (Gazetted)Assistant Engineer Grade-2 (Civil)S16 (44900 - 142400)</v>
      </c>
      <c r="K865" s="36" t="s">
        <v>246</v>
      </c>
      <c r="L865" s="36" t="s">
        <v>247</v>
      </c>
      <c r="M865" s="38" t="s">
        <v>2264</v>
      </c>
      <c r="N865" s="36" t="s">
        <v>41</v>
      </c>
      <c r="O865" s="6" t="s">
        <v>33</v>
      </c>
      <c r="P865" s="7">
        <v>5</v>
      </c>
      <c r="Q865" s="7" t="s">
        <v>100</v>
      </c>
      <c r="R865" s="8"/>
      <c r="S865" s="7" t="s">
        <v>2265</v>
      </c>
      <c r="T865" s="7" t="s">
        <v>61</v>
      </c>
      <c r="U865" s="36" t="s">
        <v>61</v>
      </c>
      <c r="V865" s="38"/>
      <c r="W865" s="36"/>
      <c r="X865" s="36"/>
      <c r="Y865" s="36"/>
      <c r="Z865" s="41"/>
      <c r="AA865" s="42" t="e">
        <f>_xlfn.XLOOKUP(C865,#REF!,#REF!,"",0,1)</f>
        <v>#REF!</v>
      </c>
      <c r="AB865" s="43">
        <f t="shared" si="37"/>
        <v>0</v>
      </c>
    </row>
    <row r="866" spans="1:28" ht="104.5" thickBot="1" x14ac:dyDescent="0.3">
      <c r="A866" s="36">
        <v>865</v>
      </c>
      <c r="B866" s="36" t="s">
        <v>24</v>
      </c>
      <c r="C866" s="36" t="s">
        <v>263</v>
      </c>
      <c r="D866" s="37">
        <v>45209</v>
      </c>
      <c r="E866" s="36" t="s">
        <v>2246</v>
      </c>
      <c r="F866" s="36" t="s">
        <v>2259</v>
      </c>
      <c r="G866" s="36" t="s">
        <v>65</v>
      </c>
      <c r="H866" s="36" t="s">
        <v>2266</v>
      </c>
      <c r="I866" s="36" t="s">
        <v>44</v>
      </c>
      <c r="J866" s="36" t="str">
        <f t="shared" si="35"/>
        <v>PWDCivil EstablishmentB (Non Gazetted)Junior Engineer (Civil)S15 (41800 - 132300)</v>
      </c>
      <c r="K866" s="36" t="s">
        <v>163</v>
      </c>
      <c r="L866" s="36" t="s">
        <v>225</v>
      </c>
      <c r="M866" s="38" t="s">
        <v>2267</v>
      </c>
      <c r="N866" s="36" t="s">
        <v>165</v>
      </c>
      <c r="O866" s="6" t="s">
        <v>33</v>
      </c>
      <c r="P866" s="7">
        <v>0</v>
      </c>
      <c r="Q866" s="7" t="s">
        <v>34</v>
      </c>
      <c r="R866" s="8"/>
      <c r="S866" s="7" t="s">
        <v>2268</v>
      </c>
      <c r="T866" s="7" t="s">
        <v>2395</v>
      </c>
      <c r="U866" s="36" t="s">
        <v>36</v>
      </c>
      <c r="V866" s="38" t="s">
        <v>2269</v>
      </c>
      <c r="W866" s="36"/>
      <c r="X866" s="36" t="s">
        <v>2270</v>
      </c>
      <c r="Y866" s="36" t="s">
        <v>2271</v>
      </c>
      <c r="Z866" s="41"/>
      <c r="AA866" s="42" t="e">
        <f>_xlfn.XLOOKUP(C866,#REF!,#REF!,"",0,1)</f>
        <v>#REF!</v>
      </c>
      <c r="AB866" s="43">
        <f t="shared" si="37"/>
        <v>0</v>
      </c>
    </row>
    <row r="867" spans="1:28" ht="104.5" thickBot="1" x14ac:dyDescent="0.3">
      <c r="A867" s="36">
        <v>866</v>
      </c>
      <c r="B867" s="36" t="s">
        <v>24</v>
      </c>
      <c r="C867" s="36" t="s">
        <v>263</v>
      </c>
      <c r="D867" s="37">
        <v>45209</v>
      </c>
      <c r="E867" s="36" t="s">
        <v>2246</v>
      </c>
      <c r="F867" s="36" t="s">
        <v>2259</v>
      </c>
      <c r="G867" s="36" t="s">
        <v>65</v>
      </c>
      <c r="H867" s="36" t="s">
        <v>2272</v>
      </c>
      <c r="I867" s="36" t="s">
        <v>44</v>
      </c>
      <c r="J867" s="36" t="str">
        <f t="shared" si="35"/>
        <v>PWDCivil EstablishmentB (Non Gazetted)Steno Lower GradeS15 (41800 - 132300)</v>
      </c>
      <c r="K867" s="36" t="s">
        <v>68</v>
      </c>
      <c r="L867" s="36" t="s">
        <v>231</v>
      </c>
      <c r="M867" s="38" t="s">
        <v>2273</v>
      </c>
      <c r="N867" s="36" t="s">
        <v>70</v>
      </c>
      <c r="O867" s="6" t="s">
        <v>33</v>
      </c>
      <c r="P867" s="7">
        <v>3</v>
      </c>
      <c r="Q867" s="7" t="s">
        <v>34</v>
      </c>
      <c r="R867" s="8"/>
      <c r="S867" s="8"/>
      <c r="T867" s="4" t="s">
        <v>3276</v>
      </c>
      <c r="U867" s="36" t="s">
        <v>36</v>
      </c>
      <c r="V867" s="38"/>
      <c r="W867" s="36"/>
      <c r="X867" s="36"/>
      <c r="Y867" s="36"/>
      <c r="Z867" s="41"/>
      <c r="AA867" s="42" t="e">
        <f>_xlfn.XLOOKUP(C867,#REF!,#REF!,"",0,1)</f>
        <v>#REF!</v>
      </c>
      <c r="AB867" s="43">
        <f t="shared" si="37"/>
        <v>0</v>
      </c>
    </row>
    <row r="868" spans="1:28" ht="104.5" thickBot="1" x14ac:dyDescent="0.3">
      <c r="A868" s="36">
        <v>867</v>
      </c>
      <c r="B868" s="36" t="s">
        <v>24</v>
      </c>
      <c r="C868" s="36" t="s">
        <v>263</v>
      </c>
      <c r="D868" s="37">
        <v>45209</v>
      </c>
      <c r="E868" s="36" t="s">
        <v>2246</v>
      </c>
      <c r="F868" s="36" t="s">
        <v>2259</v>
      </c>
      <c r="G868" s="36" t="s">
        <v>65</v>
      </c>
      <c r="H868" s="36" t="s">
        <v>2255</v>
      </c>
      <c r="I868" s="36" t="s">
        <v>54</v>
      </c>
      <c r="J868" s="36" t="str">
        <f t="shared" si="35"/>
        <v>PWDCivil EstablishmentB (Non Gazetted)Steno Higher GradeS16 (44900 - 142400)</v>
      </c>
      <c r="K868" s="36" t="s">
        <v>68</v>
      </c>
      <c r="L868" s="36" t="s">
        <v>231</v>
      </c>
      <c r="M868" s="38" t="s">
        <v>2256</v>
      </c>
      <c r="N868" s="36" t="s">
        <v>70</v>
      </c>
      <c r="O868" s="6" t="s">
        <v>33</v>
      </c>
      <c r="P868" s="7">
        <v>5</v>
      </c>
      <c r="Q868" s="7" t="s">
        <v>34</v>
      </c>
      <c r="R868" s="8"/>
      <c r="S868" s="8"/>
      <c r="T868" s="4" t="s">
        <v>3276</v>
      </c>
      <c r="U868" s="36" t="s">
        <v>36</v>
      </c>
      <c r="V868" s="38"/>
      <c r="W868" s="36"/>
      <c r="X868" s="36"/>
      <c r="Y868" s="36"/>
      <c r="Z868" s="41"/>
      <c r="AA868" s="42" t="e">
        <f>_xlfn.XLOOKUP(C868,#REF!,#REF!,"",0,1)</f>
        <v>#REF!</v>
      </c>
      <c r="AB868" s="43">
        <f t="shared" si="37"/>
        <v>0</v>
      </c>
    </row>
    <row r="869" spans="1:28" ht="78.5" thickBot="1" x14ac:dyDescent="0.3">
      <c r="A869" s="36">
        <v>868</v>
      </c>
      <c r="B869" s="36" t="s">
        <v>24</v>
      </c>
      <c r="C869" s="36" t="s">
        <v>263</v>
      </c>
      <c r="D869" s="37">
        <v>45209</v>
      </c>
      <c r="E869" s="36" t="s">
        <v>2246</v>
      </c>
      <c r="F869" s="36" t="s">
        <v>2259</v>
      </c>
      <c r="G869" s="36" t="s">
        <v>55</v>
      </c>
      <c r="H869" s="36" t="s">
        <v>2274</v>
      </c>
      <c r="I869" s="36" t="s">
        <v>57</v>
      </c>
      <c r="J869" s="36" t="str">
        <f t="shared" si="35"/>
        <v>PWDCivil EstablishmentCResearch AssistantS13 (35400 - 112400)</v>
      </c>
      <c r="K869" s="36" t="s">
        <v>115</v>
      </c>
      <c r="L869" s="36" t="s">
        <v>225</v>
      </c>
      <c r="M869" s="38" t="s">
        <v>2275</v>
      </c>
      <c r="N869" s="36" t="s">
        <v>179</v>
      </c>
      <c r="O869" s="6" t="s">
        <v>33</v>
      </c>
      <c r="P869" s="7">
        <v>1</v>
      </c>
      <c r="Q869" s="7" t="s">
        <v>34</v>
      </c>
      <c r="R869" s="8"/>
      <c r="S869" s="8"/>
      <c r="T869" s="7" t="s">
        <v>2395</v>
      </c>
      <c r="U869" s="36" t="s">
        <v>36</v>
      </c>
      <c r="V869" s="38" t="s">
        <v>2276</v>
      </c>
      <c r="W869" s="36"/>
      <c r="X869" s="36" t="s">
        <v>2277</v>
      </c>
      <c r="Y869" s="46">
        <v>21317</v>
      </c>
      <c r="Z869" s="41"/>
      <c r="AA869" s="42" t="e">
        <f>_xlfn.XLOOKUP(C869,#REF!,#REF!,"",0,1)</f>
        <v>#REF!</v>
      </c>
      <c r="AB869" s="43">
        <f t="shared" si="37"/>
        <v>0</v>
      </c>
    </row>
    <row r="870" spans="1:28" ht="91.5" thickBot="1" x14ac:dyDescent="0.3">
      <c r="A870" s="36">
        <v>869</v>
      </c>
      <c r="B870" s="36" t="s">
        <v>24</v>
      </c>
      <c r="C870" s="36" t="s">
        <v>263</v>
      </c>
      <c r="D870" s="37">
        <v>45209</v>
      </c>
      <c r="E870" s="36" t="s">
        <v>2246</v>
      </c>
      <c r="F870" s="36" t="s">
        <v>2259</v>
      </c>
      <c r="G870" s="36" t="s">
        <v>55</v>
      </c>
      <c r="H870" s="36" t="s">
        <v>2257</v>
      </c>
      <c r="I870" s="36" t="s">
        <v>74</v>
      </c>
      <c r="J870" s="36" t="str">
        <f t="shared" si="35"/>
        <v>PWDCivil EstablishmentCJunior Clerk Cum TypistS6 (19900 - 63200)</v>
      </c>
      <c r="K870" s="36" t="s">
        <v>75</v>
      </c>
      <c r="L870" s="36" t="s">
        <v>228</v>
      </c>
      <c r="M870" s="38" t="s">
        <v>2167</v>
      </c>
      <c r="N870" s="36" t="s">
        <v>70</v>
      </c>
      <c r="O870" s="6" t="s">
        <v>33</v>
      </c>
      <c r="P870" s="7">
        <v>385</v>
      </c>
      <c r="Q870" s="7" t="s">
        <v>100</v>
      </c>
      <c r="R870" s="8"/>
      <c r="S870" s="7" t="s">
        <v>3257</v>
      </c>
      <c r="T870" s="7" t="s">
        <v>61</v>
      </c>
      <c r="U870" s="36" t="s">
        <v>36</v>
      </c>
      <c r="V870" s="38" t="s">
        <v>125</v>
      </c>
      <c r="W870" s="36"/>
      <c r="X870" s="36" t="s">
        <v>77</v>
      </c>
      <c r="Y870" s="36" t="s">
        <v>78</v>
      </c>
      <c r="Z870" s="41"/>
      <c r="AA870" s="42" t="e">
        <f>_xlfn.XLOOKUP(C870,#REF!,#REF!,"",0,1)</f>
        <v>#REF!</v>
      </c>
      <c r="AB870" s="43">
        <f t="shared" si="37"/>
        <v>0</v>
      </c>
    </row>
    <row r="871" spans="1:28" ht="65.5" thickBot="1" x14ac:dyDescent="0.3">
      <c r="A871" s="36">
        <v>870</v>
      </c>
      <c r="B871" s="36" t="s">
        <v>24</v>
      </c>
      <c r="C871" s="36" t="s">
        <v>263</v>
      </c>
      <c r="D871" s="37">
        <v>45209</v>
      </c>
      <c r="E871" s="36" t="s">
        <v>2246</v>
      </c>
      <c r="F871" s="36" t="s">
        <v>2259</v>
      </c>
      <c r="G871" s="36" t="s">
        <v>55</v>
      </c>
      <c r="H871" s="36" t="s">
        <v>2278</v>
      </c>
      <c r="I871" s="36" t="s">
        <v>74</v>
      </c>
      <c r="J871" s="36" t="str">
        <f t="shared" si="35"/>
        <v>PWDCivil EstablishmentCAssistant StorekeeperS6 (19900 - 63200)</v>
      </c>
      <c r="K871" s="36" t="s">
        <v>288</v>
      </c>
      <c r="L871" s="36" t="s">
        <v>228</v>
      </c>
      <c r="M871" s="38" t="s">
        <v>2279</v>
      </c>
      <c r="N871" s="36" t="s">
        <v>199</v>
      </c>
      <c r="O871" s="6" t="s">
        <v>33</v>
      </c>
      <c r="P871" s="7">
        <v>107</v>
      </c>
      <c r="Q871" s="7" t="s">
        <v>34</v>
      </c>
      <c r="R871" s="8"/>
      <c r="S871" s="8"/>
      <c r="T871" s="7" t="s">
        <v>35</v>
      </c>
      <c r="U871" s="36" t="s">
        <v>36</v>
      </c>
      <c r="V871" s="38" t="s">
        <v>2280</v>
      </c>
      <c r="W871" s="36"/>
      <c r="X871" s="36" t="s">
        <v>2281</v>
      </c>
      <c r="Y871" s="46">
        <v>26637</v>
      </c>
      <c r="Z871" s="41"/>
      <c r="AA871" s="42" t="e">
        <f>_xlfn.XLOOKUP(C871,#REF!,#REF!,"",0,1)</f>
        <v>#REF!</v>
      </c>
      <c r="AB871" s="43">
        <f t="shared" si="37"/>
        <v>0</v>
      </c>
    </row>
    <row r="872" spans="1:28" ht="65.5" thickBot="1" x14ac:dyDescent="0.3">
      <c r="A872" s="36">
        <v>871</v>
      </c>
      <c r="B872" s="36" t="s">
        <v>24</v>
      </c>
      <c r="C872" s="36" t="s">
        <v>263</v>
      </c>
      <c r="D872" s="37">
        <v>45209</v>
      </c>
      <c r="E872" s="36" t="s">
        <v>2246</v>
      </c>
      <c r="F872" s="36" t="s">
        <v>2259</v>
      </c>
      <c r="G872" s="36" t="s">
        <v>55</v>
      </c>
      <c r="H872" s="36" t="s">
        <v>1773</v>
      </c>
      <c r="I872" s="36" t="s">
        <v>169</v>
      </c>
      <c r="J872" s="36" t="str">
        <f t="shared" si="35"/>
        <v>PWDCivil EstablishmentCLaboratory AssistantS7 (21700 - 69100)</v>
      </c>
      <c r="K872" s="36" t="s">
        <v>377</v>
      </c>
      <c r="L872" s="36" t="s">
        <v>225</v>
      </c>
      <c r="M872" s="38" t="s">
        <v>2282</v>
      </c>
      <c r="N872" s="36" t="s">
        <v>379</v>
      </c>
      <c r="O872" s="6" t="s">
        <v>33</v>
      </c>
      <c r="P872" s="7">
        <v>0</v>
      </c>
      <c r="Q872" s="7" t="s">
        <v>34</v>
      </c>
      <c r="R872" s="8"/>
      <c r="S872" s="8"/>
      <c r="T872" s="7" t="s">
        <v>2395</v>
      </c>
      <c r="U872" s="36" t="s">
        <v>36</v>
      </c>
      <c r="V872" s="38" t="s">
        <v>2283</v>
      </c>
      <c r="W872" s="36"/>
      <c r="X872" s="36" t="s">
        <v>2284</v>
      </c>
      <c r="Y872" s="36" t="s">
        <v>2285</v>
      </c>
      <c r="Z872" s="41"/>
      <c r="AA872" s="42" t="e">
        <f>_xlfn.XLOOKUP(C872,#REF!,#REF!,"",0,1)</f>
        <v>#REF!</v>
      </c>
      <c r="AB872" s="43">
        <f t="shared" si="37"/>
        <v>0</v>
      </c>
    </row>
    <row r="873" spans="1:28" ht="65.5" thickBot="1" x14ac:dyDescent="0.3">
      <c r="A873" s="36">
        <v>872</v>
      </c>
      <c r="B873" s="36" t="s">
        <v>24</v>
      </c>
      <c r="C873" s="36" t="s">
        <v>263</v>
      </c>
      <c r="D873" s="37">
        <v>45209</v>
      </c>
      <c r="E873" s="36" t="s">
        <v>2246</v>
      </c>
      <c r="F873" s="36" t="s">
        <v>2259</v>
      </c>
      <c r="G873" s="36" t="s">
        <v>55</v>
      </c>
      <c r="H873" s="36" t="s">
        <v>1384</v>
      </c>
      <c r="I873" s="36" t="s">
        <v>169</v>
      </c>
      <c r="J873" s="36" t="str">
        <f t="shared" si="35"/>
        <v>PWDCivil EstablishmentCTracerS7 (21700 - 69100)</v>
      </c>
      <c r="K873" s="36" t="s">
        <v>1385</v>
      </c>
      <c r="L873" s="36" t="s">
        <v>225</v>
      </c>
      <c r="M873" s="38" t="s">
        <v>2286</v>
      </c>
      <c r="N873" s="36" t="s">
        <v>129</v>
      </c>
      <c r="O873" s="6" t="s">
        <v>33</v>
      </c>
      <c r="P873" s="7">
        <v>150</v>
      </c>
      <c r="Q873" s="7" t="s">
        <v>34</v>
      </c>
      <c r="R873" s="8"/>
      <c r="S873" s="8"/>
      <c r="T873" s="7" t="s">
        <v>35</v>
      </c>
      <c r="U873" s="36" t="s">
        <v>35</v>
      </c>
      <c r="V873" s="38" t="s">
        <v>2287</v>
      </c>
      <c r="W873" s="36"/>
      <c r="X873" s="36" t="s">
        <v>2277</v>
      </c>
      <c r="Y873" s="46">
        <v>21702</v>
      </c>
      <c r="Z873" s="41"/>
      <c r="AA873" s="42" t="e">
        <f>_xlfn.XLOOKUP(C873,#REF!,#REF!,"",0,1)</f>
        <v>#REF!</v>
      </c>
      <c r="AB873" s="43">
        <f t="shared" si="37"/>
        <v>0</v>
      </c>
    </row>
    <row r="874" spans="1:28" ht="65.5" thickBot="1" x14ac:dyDescent="0.3">
      <c r="A874" s="36">
        <v>873</v>
      </c>
      <c r="B874" s="36" t="s">
        <v>24</v>
      </c>
      <c r="C874" s="36" t="s">
        <v>263</v>
      </c>
      <c r="D874" s="37">
        <v>45209</v>
      </c>
      <c r="E874" s="36" t="s">
        <v>2246</v>
      </c>
      <c r="F874" s="36" t="s">
        <v>2259</v>
      </c>
      <c r="G874" s="36" t="s">
        <v>55</v>
      </c>
      <c r="H874" s="36" t="s">
        <v>87</v>
      </c>
      <c r="I874" s="36" t="s">
        <v>80</v>
      </c>
      <c r="J874" s="36" t="str">
        <f t="shared" si="35"/>
        <v>PWDCivil EstablishmentCSenior ClerkS8 (25500 - 81100)</v>
      </c>
      <c r="K874" s="36" t="s">
        <v>75</v>
      </c>
      <c r="L874" s="36" t="s">
        <v>228</v>
      </c>
      <c r="M874" s="38" t="s">
        <v>2288</v>
      </c>
      <c r="N874" s="36" t="s">
        <v>70</v>
      </c>
      <c r="O874" s="6" t="s">
        <v>33</v>
      </c>
      <c r="P874" s="7">
        <v>0</v>
      </c>
      <c r="Q874" s="7" t="s">
        <v>34</v>
      </c>
      <c r="R874" s="8"/>
      <c r="S874" s="8"/>
      <c r="T874" s="7" t="s">
        <v>2395</v>
      </c>
      <c r="U874" s="36" t="s">
        <v>36</v>
      </c>
      <c r="V874" s="38" t="s">
        <v>257</v>
      </c>
      <c r="W874" s="36"/>
      <c r="X874" s="36" t="s">
        <v>258</v>
      </c>
      <c r="Y874" s="36" t="s">
        <v>259</v>
      </c>
      <c r="Z874" s="41"/>
      <c r="AA874" s="42" t="e">
        <f>_xlfn.XLOOKUP(C874,#REF!,#REF!,"",0,1)</f>
        <v>#REF!</v>
      </c>
      <c r="AB874" s="43">
        <f t="shared" si="37"/>
        <v>0</v>
      </c>
    </row>
    <row r="875" spans="1:28" ht="65.5" thickBot="1" x14ac:dyDescent="0.3">
      <c r="A875" s="36">
        <v>874</v>
      </c>
      <c r="B875" s="36" t="s">
        <v>24</v>
      </c>
      <c r="C875" s="36" t="s">
        <v>263</v>
      </c>
      <c r="D875" s="37">
        <v>45209</v>
      </c>
      <c r="E875" s="36" t="s">
        <v>2246</v>
      </c>
      <c r="F875" s="36" t="s">
        <v>2259</v>
      </c>
      <c r="G875" s="36" t="s">
        <v>55</v>
      </c>
      <c r="H875" s="36" t="s">
        <v>2289</v>
      </c>
      <c r="I875" s="36" t="s">
        <v>80</v>
      </c>
      <c r="J875" s="36" t="str">
        <f t="shared" si="35"/>
        <v>PWDCivil EstablishmentCCivil Engineer AssistantS8 (25500 - 81100)</v>
      </c>
      <c r="K875" s="36" t="s">
        <v>163</v>
      </c>
      <c r="L875" s="36" t="s">
        <v>225</v>
      </c>
      <c r="M875" s="38" t="s">
        <v>2290</v>
      </c>
      <c r="N875" s="36" t="s">
        <v>165</v>
      </c>
      <c r="O875" s="6" t="s">
        <v>33</v>
      </c>
      <c r="P875" s="7">
        <v>762</v>
      </c>
      <c r="Q875" s="7" t="s">
        <v>34</v>
      </c>
      <c r="R875" s="8"/>
      <c r="S875" s="8"/>
      <c r="T875" s="7" t="s">
        <v>35</v>
      </c>
      <c r="U875" s="36" t="s">
        <v>2291</v>
      </c>
      <c r="V875" s="38" t="s">
        <v>2292</v>
      </c>
      <c r="W875" s="36"/>
      <c r="X875" s="36" t="s">
        <v>2293</v>
      </c>
      <c r="Y875" s="36" t="s">
        <v>2294</v>
      </c>
      <c r="Z875" s="41"/>
      <c r="AA875" s="42" t="e">
        <f>_xlfn.XLOOKUP(C875,#REF!,#REF!,"",0,1)</f>
        <v>#REF!</v>
      </c>
      <c r="AB875" s="43">
        <f t="shared" si="37"/>
        <v>0</v>
      </c>
    </row>
    <row r="876" spans="1:28" ht="130.5" thickBot="1" x14ac:dyDescent="0.3">
      <c r="A876" s="36">
        <v>875</v>
      </c>
      <c r="B876" s="36" t="s">
        <v>24</v>
      </c>
      <c r="C876" s="36" t="s">
        <v>263</v>
      </c>
      <c r="D876" s="37">
        <v>45209</v>
      </c>
      <c r="E876" s="36" t="s">
        <v>2246</v>
      </c>
      <c r="F876" s="36" t="s">
        <v>2259</v>
      </c>
      <c r="G876" s="36" t="s">
        <v>55</v>
      </c>
      <c r="H876" s="36" t="s">
        <v>2295</v>
      </c>
      <c r="I876" s="36" t="s">
        <v>80</v>
      </c>
      <c r="J876" s="36" t="str">
        <f t="shared" si="35"/>
        <v>PWDCivil EstablishmentCSanitary InspectorS8 (25500 - 81100)</v>
      </c>
      <c r="K876" s="36" t="s">
        <v>2076</v>
      </c>
      <c r="L876" s="36" t="s">
        <v>228</v>
      </c>
      <c r="M876" s="38" t="s">
        <v>2296</v>
      </c>
      <c r="N876" s="36" t="s">
        <v>2078</v>
      </c>
      <c r="O876" s="6" t="s">
        <v>33</v>
      </c>
      <c r="P876" s="7">
        <v>2</v>
      </c>
      <c r="Q876" s="7" t="s">
        <v>100</v>
      </c>
      <c r="R876" s="8"/>
      <c r="S876" s="7" t="s">
        <v>2297</v>
      </c>
      <c r="T876" s="7" t="s">
        <v>61</v>
      </c>
      <c r="U876" s="36" t="s">
        <v>36</v>
      </c>
      <c r="V876" s="38" t="s">
        <v>2298</v>
      </c>
      <c r="W876" s="36"/>
      <c r="X876" s="36" t="s">
        <v>2299</v>
      </c>
      <c r="Y876" s="36" t="s">
        <v>2300</v>
      </c>
      <c r="Z876" s="41"/>
      <c r="AA876" s="42" t="e">
        <f>_xlfn.XLOOKUP(C876,#REF!,#REF!,"",0,1)</f>
        <v>#REF!</v>
      </c>
      <c r="AB876" s="43">
        <f t="shared" si="37"/>
        <v>0</v>
      </c>
    </row>
    <row r="877" spans="1:28" ht="52.5" thickBot="1" x14ac:dyDescent="0.3">
      <c r="A877" s="36">
        <v>876</v>
      </c>
      <c r="B877" s="36" t="s">
        <v>24</v>
      </c>
      <c r="C877" s="36" t="s">
        <v>263</v>
      </c>
      <c r="D877" s="37">
        <v>45209</v>
      </c>
      <c r="E877" s="36" t="s">
        <v>2246</v>
      </c>
      <c r="F877" s="36" t="s">
        <v>2259</v>
      </c>
      <c r="G877" s="36" t="s">
        <v>55</v>
      </c>
      <c r="H877" s="36" t="s">
        <v>364</v>
      </c>
      <c r="I877" s="36" t="s">
        <v>80</v>
      </c>
      <c r="J877" s="36" t="str">
        <f t="shared" si="35"/>
        <v>PWDCivil EstablishmentCStenotypistS8 (25500 - 81100)</v>
      </c>
      <c r="K877" s="36" t="s">
        <v>68</v>
      </c>
      <c r="L877" s="36" t="s">
        <v>231</v>
      </c>
      <c r="M877" s="38" t="s">
        <v>2301</v>
      </c>
      <c r="N877" s="36" t="s">
        <v>70</v>
      </c>
      <c r="O877" s="6" t="s">
        <v>33</v>
      </c>
      <c r="P877" s="7">
        <v>0</v>
      </c>
      <c r="Q877" s="7" t="s">
        <v>34</v>
      </c>
      <c r="R877" s="8"/>
      <c r="S877" s="8"/>
      <c r="T877" s="4" t="s">
        <v>3276</v>
      </c>
      <c r="U877" s="36" t="s">
        <v>36</v>
      </c>
      <c r="V877" s="38"/>
      <c r="W877" s="36"/>
      <c r="X877" s="36"/>
      <c r="Y877" s="36"/>
      <c r="Z877" s="41"/>
      <c r="AA877" s="42" t="e">
        <f>_xlfn.XLOOKUP(C877,#REF!,#REF!,"",0,1)</f>
        <v>#REF!</v>
      </c>
      <c r="AB877" s="43">
        <f t="shared" si="37"/>
        <v>0</v>
      </c>
    </row>
    <row r="878" spans="1:28" ht="104.5" thickBot="1" x14ac:dyDescent="0.3">
      <c r="A878" s="36">
        <v>877</v>
      </c>
      <c r="B878" s="36" t="s">
        <v>24</v>
      </c>
      <c r="C878" s="36" t="s">
        <v>1645</v>
      </c>
      <c r="D878" s="37">
        <v>40070</v>
      </c>
      <c r="E878" s="36" t="s">
        <v>2246</v>
      </c>
      <c r="F878" s="36" t="s">
        <v>2302</v>
      </c>
      <c r="G878" s="36" t="s">
        <v>55</v>
      </c>
      <c r="H878" s="36" t="s">
        <v>2257</v>
      </c>
      <c r="I878" s="36" t="s">
        <v>74</v>
      </c>
      <c r="J878" s="36" t="str">
        <f t="shared" si="35"/>
        <v>PWDDirectorate, Chawl Development, Worli, Mumbai EstablishmentCJunior Clerk Cum TypistS6 (19900 - 63200)</v>
      </c>
      <c r="K878" s="36" t="s">
        <v>75</v>
      </c>
      <c r="L878" s="36" t="s">
        <v>228</v>
      </c>
      <c r="M878" s="38" t="s">
        <v>2167</v>
      </c>
      <c r="N878" s="36" t="s">
        <v>70</v>
      </c>
      <c r="O878" s="6" t="s">
        <v>33</v>
      </c>
      <c r="P878" s="7">
        <v>1</v>
      </c>
      <c r="Q878" s="17" t="s">
        <v>100</v>
      </c>
      <c r="R878" s="8"/>
      <c r="S878" s="17" t="s">
        <v>2303</v>
      </c>
      <c r="T878" s="7" t="s">
        <v>2395</v>
      </c>
      <c r="U878" s="36" t="s">
        <v>36</v>
      </c>
      <c r="V878" s="38" t="s">
        <v>125</v>
      </c>
      <c r="W878" s="36"/>
      <c r="X878" s="36" t="s">
        <v>77</v>
      </c>
      <c r="Y878" s="36" t="s">
        <v>78</v>
      </c>
      <c r="Z878" s="41"/>
      <c r="AA878" s="42" t="e">
        <f>_xlfn.XLOOKUP(C878,#REF!,#REF!,"",0,1)</f>
        <v>#REF!</v>
      </c>
      <c r="AB878" s="43">
        <f t="shared" si="37"/>
        <v>0</v>
      </c>
    </row>
    <row r="879" spans="1:28" ht="91.5" thickBot="1" x14ac:dyDescent="0.3">
      <c r="A879" s="36">
        <v>878</v>
      </c>
      <c r="B879" s="36" t="s">
        <v>24</v>
      </c>
      <c r="C879" s="36" t="s">
        <v>1645</v>
      </c>
      <c r="D879" s="37">
        <v>40070</v>
      </c>
      <c r="E879" s="36" t="s">
        <v>2246</v>
      </c>
      <c r="F879" s="36" t="s">
        <v>2302</v>
      </c>
      <c r="G879" s="36" t="s">
        <v>55</v>
      </c>
      <c r="H879" s="36" t="s">
        <v>87</v>
      </c>
      <c r="I879" s="36" t="s">
        <v>80</v>
      </c>
      <c r="J879" s="36" t="str">
        <f t="shared" si="35"/>
        <v>PWDDirectorate, Chawl Development, Worli, Mumbai EstablishmentCSenior ClerkS8 (25500 - 81100)</v>
      </c>
      <c r="K879" s="36" t="s">
        <v>75</v>
      </c>
      <c r="L879" s="36" t="s">
        <v>228</v>
      </c>
      <c r="M879" s="38" t="s">
        <v>2304</v>
      </c>
      <c r="N879" s="36" t="s">
        <v>70</v>
      </c>
      <c r="O879" s="6" t="s">
        <v>33</v>
      </c>
      <c r="P879" s="7">
        <v>0</v>
      </c>
      <c r="Q879" s="7" t="s">
        <v>34</v>
      </c>
      <c r="R879" s="8"/>
      <c r="S879" s="8"/>
      <c r="T879" s="7" t="s">
        <v>2395</v>
      </c>
      <c r="U879" s="36" t="s">
        <v>36</v>
      </c>
      <c r="V879" s="38" t="s">
        <v>257</v>
      </c>
      <c r="W879" s="36"/>
      <c r="X879" s="36" t="s">
        <v>258</v>
      </c>
      <c r="Y879" s="36" t="s">
        <v>259</v>
      </c>
      <c r="Z879" s="41"/>
      <c r="AA879" s="42" t="e">
        <f>_xlfn.XLOOKUP(C879,#REF!,#REF!,"",0,1)</f>
        <v>#REF!</v>
      </c>
      <c r="AB879" s="43">
        <f t="shared" si="37"/>
        <v>0</v>
      </c>
    </row>
    <row r="880" spans="1:28" ht="143.5" thickBot="1" x14ac:dyDescent="0.3">
      <c r="A880" s="36">
        <v>879</v>
      </c>
      <c r="B880" s="36" t="s">
        <v>24</v>
      </c>
      <c r="C880" s="36" t="s">
        <v>263</v>
      </c>
      <c r="D880" s="37">
        <v>44888</v>
      </c>
      <c r="E880" s="36" t="s">
        <v>2246</v>
      </c>
      <c r="F880" s="36" t="s">
        <v>2306</v>
      </c>
      <c r="G880" s="36" t="s">
        <v>42</v>
      </c>
      <c r="H880" s="36" t="s">
        <v>2307</v>
      </c>
      <c r="I880" s="36" t="s">
        <v>54</v>
      </c>
      <c r="J880" s="36" t="str">
        <f t="shared" si="35"/>
        <v>PWDDirectorate, Parks and Gardens EstablishmentB (Gazetted)Assistant Director Parks And GardenS16 (44900 - 142400)</v>
      </c>
      <c r="K880" s="36"/>
      <c r="L880" s="36" t="s">
        <v>243</v>
      </c>
      <c r="M880" s="38" t="s">
        <v>2308</v>
      </c>
      <c r="N880" s="36" t="s">
        <v>32</v>
      </c>
      <c r="O880" s="6" t="s">
        <v>33</v>
      </c>
      <c r="P880" s="7">
        <v>0</v>
      </c>
      <c r="Q880" s="7" t="s">
        <v>34</v>
      </c>
      <c r="R880" s="8"/>
      <c r="S880" s="8"/>
      <c r="T880" s="4" t="s">
        <v>3276</v>
      </c>
      <c r="U880" s="36" t="s">
        <v>36</v>
      </c>
      <c r="V880" s="38"/>
      <c r="W880" s="36"/>
      <c r="X880" s="36"/>
      <c r="Y880" s="36"/>
      <c r="Z880" s="41"/>
      <c r="AA880" s="42" t="e">
        <f>_xlfn.XLOOKUP(C880,#REF!,#REF!,"",0,1)</f>
        <v>#REF!</v>
      </c>
      <c r="AB880" s="43">
        <f t="shared" si="37"/>
        <v>0</v>
      </c>
    </row>
    <row r="881" spans="1:28" ht="104.5" thickBot="1" x14ac:dyDescent="0.3">
      <c r="A881" s="36">
        <v>880</v>
      </c>
      <c r="B881" s="36" t="s">
        <v>24</v>
      </c>
      <c r="C881" s="36" t="s">
        <v>263</v>
      </c>
      <c r="D881" s="37">
        <v>44888</v>
      </c>
      <c r="E881" s="36" t="s">
        <v>2246</v>
      </c>
      <c r="F881" s="36" t="s">
        <v>2306</v>
      </c>
      <c r="G881" s="36" t="s">
        <v>55</v>
      </c>
      <c r="H881" s="36" t="s">
        <v>2309</v>
      </c>
      <c r="I881" s="36" t="s">
        <v>57</v>
      </c>
      <c r="J881" s="36" t="str">
        <f t="shared" si="35"/>
        <v>PWDDirectorate, Parks and Gardens EstablishmentCGarden SuperviserS13 (35400 - 112400)</v>
      </c>
      <c r="K881" s="36" t="s">
        <v>620</v>
      </c>
      <c r="L881" s="36" t="s">
        <v>225</v>
      </c>
      <c r="M881" s="38" t="s">
        <v>2310</v>
      </c>
      <c r="N881" s="36" t="s">
        <v>622</v>
      </c>
      <c r="O881" s="6" t="s">
        <v>33</v>
      </c>
      <c r="P881" s="7">
        <v>1</v>
      </c>
      <c r="Q881" s="7" t="s">
        <v>100</v>
      </c>
      <c r="R881" s="8"/>
      <c r="S881" s="7" t="s">
        <v>2311</v>
      </c>
      <c r="T881" s="7" t="s">
        <v>2395</v>
      </c>
      <c r="U881" s="36" t="s">
        <v>36</v>
      </c>
      <c r="V881" s="38" t="s">
        <v>2312</v>
      </c>
      <c r="W881" s="36"/>
      <c r="X881" s="36" t="s">
        <v>2313</v>
      </c>
      <c r="Y881" s="46">
        <v>41736</v>
      </c>
      <c r="Z881" s="41"/>
      <c r="AA881" s="42" t="e">
        <f>_xlfn.XLOOKUP(C881,#REF!,#REF!,"",0,1)</f>
        <v>#REF!</v>
      </c>
      <c r="AB881" s="43">
        <f t="shared" si="37"/>
        <v>0</v>
      </c>
    </row>
    <row r="882" spans="1:28" ht="91.5" thickBot="1" x14ac:dyDescent="0.3">
      <c r="A882" s="36">
        <v>881</v>
      </c>
      <c r="B882" s="36" t="s">
        <v>24</v>
      </c>
      <c r="C882" s="36" t="s">
        <v>263</v>
      </c>
      <c r="D882" s="37">
        <v>44888</v>
      </c>
      <c r="E882" s="36" t="s">
        <v>2246</v>
      </c>
      <c r="F882" s="36" t="s">
        <v>2306</v>
      </c>
      <c r="G882" s="36" t="s">
        <v>55</v>
      </c>
      <c r="H882" s="36" t="s">
        <v>2257</v>
      </c>
      <c r="I882" s="36" t="s">
        <v>74</v>
      </c>
      <c r="J882" s="36" t="str">
        <f t="shared" si="35"/>
        <v>PWDDirectorate, Parks and Gardens EstablishmentCJunior Clerk Cum TypistS6 (19900 - 63200)</v>
      </c>
      <c r="K882" s="36" t="s">
        <v>75</v>
      </c>
      <c r="L882" s="36" t="s">
        <v>228</v>
      </c>
      <c r="M882" s="38" t="s">
        <v>2167</v>
      </c>
      <c r="N882" s="36" t="s">
        <v>70</v>
      </c>
      <c r="O882" s="6" t="s">
        <v>33</v>
      </c>
      <c r="P882" s="7">
        <v>4</v>
      </c>
      <c r="Q882" s="7" t="s">
        <v>34</v>
      </c>
      <c r="R882" s="8"/>
      <c r="S882" s="8"/>
      <c r="T882" s="7" t="s">
        <v>35</v>
      </c>
      <c r="U882" s="36" t="s">
        <v>36</v>
      </c>
      <c r="V882" s="38" t="s">
        <v>125</v>
      </c>
      <c r="W882" s="36"/>
      <c r="X882" s="36" t="s">
        <v>77</v>
      </c>
      <c r="Y882" s="36" t="s">
        <v>78</v>
      </c>
      <c r="Z882" s="41"/>
      <c r="AA882" s="42" t="e">
        <f>_xlfn.XLOOKUP(C882,#REF!,#REF!,"",0,1)</f>
        <v>#REF!</v>
      </c>
      <c r="AB882" s="43">
        <f t="shared" si="37"/>
        <v>0</v>
      </c>
    </row>
    <row r="883" spans="1:28" ht="78.5" thickBot="1" x14ac:dyDescent="0.3">
      <c r="A883" s="36">
        <v>882</v>
      </c>
      <c r="B883" s="36" t="s">
        <v>24</v>
      </c>
      <c r="C883" s="36" t="s">
        <v>263</v>
      </c>
      <c r="D883" s="37">
        <v>44888</v>
      </c>
      <c r="E883" s="36" t="s">
        <v>2246</v>
      </c>
      <c r="F883" s="36" t="s">
        <v>2306</v>
      </c>
      <c r="G883" s="36" t="s">
        <v>55</v>
      </c>
      <c r="H883" s="36" t="s">
        <v>87</v>
      </c>
      <c r="I883" s="36" t="s">
        <v>80</v>
      </c>
      <c r="J883" s="36" t="str">
        <f t="shared" si="35"/>
        <v>PWDDirectorate, Parks and Gardens EstablishmentCSenior ClerkS8 (25500 - 81100)</v>
      </c>
      <c r="K883" s="36" t="s">
        <v>75</v>
      </c>
      <c r="L883" s="36" t="s">
        <v>228</v>
      </c>
      <c r="M883" s="38" t="s">
        <v>2288</v>
      </c>
      <c r="N883" s="36" t="s">
        <v>70</v>
      </c>
      <c r="O883" s="6" t="s">
        <v>33</v>
      </c>
      <c r="P883" s="7">
        <v>0</v>
      </c>
      <c r="Q883" s="7" t="s">
        <v>34</v>
      </c>
      <c r="R883" s="8"/>
      <c r="S883" s="8"/>
      <c r="T883" s="7" t="s">
        <v>2395</v>
      </c>
      <c r="U883" s="36" t="s">
        <v>36</v>
      </c>
      <c r="V883" s="38" t="s">
        <v>257</v>
      </c>
      <c r="W883" s="36"/>
      <c r="X883" s="36" t="s">
        <v>258</v>
      </c>
      <c r="Y883" s="36" t="s">
        <v>259</v>
      </c>
      <c r="Z883" s="41"/>
      <c r="AA883" s="42" t="e">
        <f>_xlfn.XLOOKUP(C883,#REF!,#REF!,"",0,1)</f>
        <v>#REF!</v>
      </c>
      <c r="AB883" s="43">
        <f t="shared" si="37"/>
        <v>0</v>
      </c>
    </row>
    <row r="884" spans="1:28" ht="91.5" thickBot="1" x14ac:dyDescent="0.3">
      <c r="A884" s="36">
        <v>883</v>
      </c>
      <c r="B884" s="36" t="s">
        <v>24</v>
      </c>
      <c r="C884" s="36" t="s">
        <v>263</v>
      </c>
      <c r="D884" s="37">
        <v>44152</v>
      </c>
      <c r="E884" s="36" t="s">
        <v>2246</v>
      </c>
      <c r="F884" s="36" t="s">
        <v>2314</v>
      </c>
      <c r="G884" s="36" t="s">
        <v>28</v>
      </c>
      <c r="H884" s="36" t="s">
        <v>2315</v>
      </c>
      <c r="I884" s="36" t="s">
        <v>38</v>
      </c>
      <c r="J884" s="36" t="str">
        <f t="shared" si="35"/>
        <v>PWDElectrical EstablishmentADeputy Engineer (Electrical)S20 (56100 - 177500)</v>
      </c>
      <c r="K884" s="36" t="s">
        <v>246</v>
      </c>
      <c r="L884" s="36" t="s">
        <v>247</v>
      </c>
      <c r="M884" s="38" t="s">
        <v>2316</v>
      </c>
      <c r="N884" s="36" t="s">
        <v>60</v>
      </c>
      <c r="O884" s="6" t="s">
        <v>33</v>
      </c>
      <c r="P884" s="7">
        <v>2</v>
      </c>
      <c r="Q884" s="17" t="s">
        <v>100</v>
      </c>
      <c r="R884" s="8"/>
      <c r="S884" s="17" t="s">
        <v>3258</v>
      </c>
      <c r="T884" s="7" t="s">
        <v>61</v>
      </c>
      <c r="U884" s="36" t="s">
        <v>61</v>
      </c>
      <c r="V884" s="38"/>
      <c r="W884" s="36"/>
      <c r="X884" s="36"/>
      <c r="Y884" s="36"/>
      <c r="Z884" s="41"/>
      <c r="AA884" s="42" t="e">
        <f>_xlfn.XLOOKUP(C884,#REF!,#REF!,"",0,1)</f>
        <v>#REF!</v>
      </c>
      <c r="AB884" s="43">
        <f t="shared" si="37"/>
        <v>0</v>
      </c>
    </row>
    <row r="885" spans="1:28" ht="91.5" thickBot="1" x14ac:dyDescent="0.3">
      <c r="A885" s="36">
        <v>884</v>
      </c>
      <c r="B885" s="36" t="s">
        <v>24</v>
      </c>
      <c r="C885" s="36" t="s">
        <v>263</v>
      </c>
      <c r="D885" s="37">
        <v>44152</v>
      </c>
      <c r="E885" s="36" t="s">
        <v>2246</v>
      </c>
      <c r="F885" s="36" t="s">
        <v>2314</v>
      </c>
      <c r="G885" s="36" t="s">
        <v>28</v>
      </c>
      <c r="H885" s="36" t="s">
        <v>2317</v>
      </c>
      <c r="I885" s="36" t="s">
        <v>242</v>
      </c>
      <c r="J885" s="36" t="str">
        <f t="shared" si="35"/>
        <v>PWDElectrical EstablishmentAExecutive Engineer (Electrical)S23 (67700 - 208700)</v>
      </c>
      <c r="K885" s="36"/>
      <c r="L885" s="36" t="s">
        <v>243</v>
      </c>
      <c r="M885" s="38" t="s">
        <v>2318</v>
      </c>
      <c r="N885" s="36" t="s">
        <v>32</v>
      </c>
      <c r="O885" s="6" t="s">
        <v>33</v>
      </c>
      <c r="P885" s="7">
        <v>0</v>
      </c>
      <c r="Q885" s="17" t="s">
        <v>100</v>
      </c>
      <c r="R885" s="8"/>
      <c r="S885" s="17" t="s">
        <v>3259</v>
      </c>
      <c r="T885" s="4" t="s">
        <v>3276</v>
      </c>
      <c r="U885" s="36" t="s">
        <v>61</v>
      </c>
      <c r="V885" s="38"/>
      <c r="W885" s="36"/>
      <c r="X885" s="36"/>
      <c r="Y885" s="36"/>
      <c r="Z885" s="41"/>
      <c r="AA885" s="42" t="e">
        <f>_xlfn.XLOOKUP(C885,#REF!,#REF!,"",0,1)</f>
        <v>#REF!</v>
      </c>
      <c r="AB885" s="43">
        <f t="shared" si="37"/>
        <v>0</v>
      </c>
    </row>
    <row r="886" spans="1:28" ht="117.5" thickBot="1" x14ac:dyDescent="0.3">
      <c r="A886" s="36">
        <v>885</v>
      </c>
      <c r="B886" s="36" t="s">
        <v>24</v>
      </c>
      <c r="C886" s="36" t="s">
        <v>263</v>
      </c>
      <c r="D886" s="37">
        <v>44152</v>
      </c>
      <c r="E886" s="36" t="s">
        <v>2246</v>
      </c>
      <c r="F886" s="36" t="s">
        <v>2314</v>
      </c>
      <c r="G886" s="36" t="s">
        <v>42</v>
      </c>
      <c r="H886" s="36" t="s">
        <v>2319</v>
      </c>
      <c r="I886" s="36" t="s">
        <v>54</v>
      </c>
      <c r="J886" s="36" t="str">
        <f t="shared" si="35"/>
        <v>PWDElectrical EstablishmentB (Gazetted)Assistant Engineer Grade-2 (Electrical)S16 (44900 - 142400)</v>
      </c>
      <c r="K886" s="36" t="s">
        <v>246</v>
      </c>
      <c r="L886" s="36" t="s">
        <v>247</v>
      </c>
      <c r="M886" s="38" t="s">
        <v>2320</v>
      </c>
      <c r="N886" s="36" t="s">
        <v>41</v>
      </c>
      <c r="O886" s="6" t="s">
        <v>33</v>
      </c>
      <c r="P886" s="21">
        <v>0</v>
      </c>
      <c r="Q886" s="17" t="s">
        <v>100</v>
      </c>
      <c r="R886" s="8"/>
      <c r="S886" s="17" t="s">
        <v>2321</v>
      </c>
      <c r="T886" s="7" t="s">
        <v>2395</v>
      </c>
      <c r="U886" s="36" t="s">
        <v>36</v>
      </c>
      <c r="V886" s="38"/>
      <c r="W886" s="36"/>
      <c r="X886" s="36"/>
      <c r="Y886" s="36"/>
      <c r="Z886" s="41"/>
      <c r="AA886" s="42" t="e">
        <f>_xlfn.XLOOKUP(C886,#REF!,#REF!,"",0,1)</f>
        <v>#REF!</v>
      </c>
      <c r="AB886" s="43">
        <f t="shared" si="37"/>
        <v>0</v>
      </c>
    </row>
    <row r="887" spans="1:28" ht="104.5" thickBot="1" x14ac:dyDescent="0.3">
      <c r="A887" s="36">
        <v>886</v>
      </c>
      <c r="B887" s="36" t="s">
        <v>24</v>
      </c>
      <c r="C887" s="36" t="s">
        <v>263</v>
      </c>
      <c r="D887" s="37">
        <v>44152</v>
      </c>
      <c r="E887" s="36" t="s">
        <v>2246</v>
      </c>
      <c r="F887" s="36" t="s">
        <v>2314</v>
      </c>
      <c r="G887" s="36" t="s">
        <v>65</v>
      </c>
      <c r="H887" s="36" t="s">
        <v>2322</v>
      </c>
      <c r="I887" s="36" t="s">
        <v>44</v>
      </c>
      <c r="J887" s="36" t="str">
        <f t="shared" si="35"/>
        <v>PWDElectrical EstablishmentB (Non Gazetted)Junior Engineer (Electrical)S15 (41800 - 132300)</v>
      </c>
      <c r="K887" s="36" t="s">
        <v>163</v>
      </c>
      <c r="L887" s="36" t="s">
        <v>225</v>
      </c>
      <c r="M887" s="38" t="s">
        <v>2323</v>
      </c>
      <c r="N887" s="36" t="s">
        <v>165</v>
      </c>
      <c r="O887" s="6" t="s">
        <v>33</v>
      </c>
      <c r="P887" s="7">
        <v>10</v>
      </c>
      <c r="Q887" s="7" t="s">
        <v>100</v>
      </c>
      <c r="R887" s="8"/>
      <c r="S887" s="7" t="s">
        <v>2324</v>
      </c>
      <c r="T887" s="7" t="s">
        <v>61</v>
      </c>
      <c r="U887" s="36" t="s">
        <v>36</v>
      </c>
      <c r="V887" s="38" t="s">
        <v>2325</v>
      </c>
      <c r="W887" s="36"/>
      <c r="X887" s="36" t="s">
        <v>2326</v>
      </c>
      <c r="Y887" s="46">
        <v>39268</v>
      </c>
      <c r="Z887" s="41"/>
      <c r="AA887" s="42" t="e">
        <f>_xlfn.XLOOKUP(C887,#REF!,#REF!,"",0,1)</f>
        <v>#REF!</v>
      </c>
      <c r="AB887" s="43">
        <f t="shared" si="37"/>
        <v>0</v>
      </c>
    </row>
    <row r="888" spans="1:28" ht="104.5" thickBot="1" x14ac:dyDescent="0.3">
      <c r="A888" s="36">
        <v>887</v>
      </c>
      <c r="B888" s="36" t="s">
        <v>24</v>
      </c>
      <c r="C888" s="36" t="s">
        <v>263</v>
      </c>
      <c r="D888" s="37">
        <v>44152</v>
      </c>
      <c r="E888" s="36" t="s">
        <v>2246</v>
      </c>
      <c r="F888" s="36" t="s">
        <v>2314</v>
      </c>
      <c r="G888" s="36" t="s">
        <v>65</v>
      </c>
      <c r="H888" s="36" t="s">
        <v>2272</v>
      </c>
      <c r="I888" s="36" t="s">
        <v>44</v>
      </c>
      <c r="J888" s="36" t="str">
        <f t="shared" si="35"/>
        <v>PWDElectrical EstablishmentB (Non Gazetted)Steno Lower GradeS15 (41800 - 132300)</v>
      </c>
      <c r="K888" s="36" t="s">
        <v>68</v>
      </c>
      <c r="L888" s="36" t="s">
        <v>231</v>
      </c>
      <c r="M888" s="38" t="s">
        <v>2273</v>
      </c>
      <c r="N888" s="36" t="s">
        <v>70</v>
      </c>
      <c r="O888" s="6" t="s">
        <v>33</v>
      </c>
      <c r="P888" s="7">
        <v>0</v>
      </c>
      <c r="Q888" s="7" t="s">
        <v>34</v>
      </c>
      <c r="R888" s="8"/>
      <c r="S888" s="8"/>
      <c r="T888" s="4" t="s">
        <v>3276</v>
      </c>
      <c r="U888" s="36" t="s">
        <v>36</v>
      </c>
      <c r="V888" s="38"/>
      <c r="W888" s="36"/>
      <c r="X888" s="36"/>
      <c r="Y888" s="36"/>
      <c r="Z888" s="41"/>
      <c r="AA888" s="42" t="e">
        <f>_xlfn.XLOOKUP(C888,#REF!,#REF!,"",0,1)</f>
        <v>#REF!</v>
      </c>
      <c r="AB888" s="43">
        <f t="shared" si="37"/>
        <v>0</v>
      </c>
    </row>
    <row r="889" spans="1:28" ht="91.5" thickBot="1" x14ac:dyDescent="0.3">
      <c r="A889" s="36">
        <v>888</v>
      </c>
      <c r="B889" s="36" t="s">
        <v>24</v>
      </c>
      <c r="C889" s="36" t="s">
        <v>263</v>
      </c>
      <c r="D889" s="37">
        <v>44152</v>
      </c>
      <c r="E889" s="36" t="s">
        <v>2246</v>
      </c>
      <c r="F889" s="36" t="s">
        <v>2314</v>
      </c>
      <c r="G889" s="36" t="s">
        <v>55</v>
      </c>
      <c r="H889" s="36" t="s">
        <v>2257</v>
      </c>
      <c r="I889" s="36" t="s">
        <v>74</v>
      </c>
      <c r="J889" s="36" t="str">
        <f t="shared" si="35"/>
        <v>PWDElectrical EstablishmentCJunior Clerk Cum TypistS6 (19900 - 63200)</v>
      </c>
      <c r="K889" s="36" t="s">
        <v>75</v>
      </c>
      <c r="L889" s="36" t="s">
        <v>228</v>
      </c>
      <c r="M889" s="38" t="s">
        <v>2167</v>
      </c>
      <c r="N889" s="36" t="s">
        <v>70</v>
      </c>
      <c r="O889" s="6" t="s">
        <v>33</v>
      </c>
      <c r="P889" s="7">
        <v>8</v>
      </c>
      <c r="Q889" s="7" t="s">
        <v>100</v>
      </c>
      <c r="R889" s="8"/>
      <c r="S889" s="7" t="s">
        <v>3260</v>
      </c>
      <c r="T889" s="7" t="s">
        <v>61</v>
      </c>
      <c r="U889" s="36" t="s">
        <v>36</v>
      </c>
      <c r="V889" s="38" t="s">
        <v>125</v>
      </c>
      <c r="W889" s="36"/>
      <c r="X889" s="36" t="s">
        <v>77</v>
      </c>
      <c r="Y889" s="36" t="s">
        <v>78</v>
      </c>
      <c r="Z889" s="41"/>
      <c r="AA889" s="42" t="e">
        <f>_xlfn.XLOOKUP(C889,#REF!,#REF!,"",0,1)</f>
        <v>#REF!</v>
      </c>
      <c r="AB889" s="43">
        <f t="shared" si="37"/>
        <v>0</v>
      </c>
    </row>
    <row r="890" spans="1:28" ht="65.5" thickBot="1" x14ac:dyDescent="0.3">
      <c r="A890" s="36">
        <v>889</v>
      </c>
      <c r="B890" s="36" t="s">
        <v>24</v>
      </c>
      <c r="C890" s="36" t="s">
        <v>263</v>
      </c>
      <c r="D890" s="37">
        <v>44152</v>
      </c>
      <c r="E890" s="36" t="s">
        <v>2246</v>
      </c>
      <c r="F890" s="36" t="s">
        <v>2314</v>
      </c>
      <c r="G890" s="36" t="s">
        <v>55</v>
      </c>
      <c r="H890" s="36" t="s">
        <v>87</v>
      </c>
      <c r="I890" s="36" t="s">
        <v>80</v>
      </c>
      <c r="J890" s="36" t="str">
        <f t="shared" si="35"/>
        <v>PWDElectrical EstablishmentCSenior ClerkS8 (25500 - 81100)</v>
      </c>
      <c r="K890" s="36" t="s">
        <v>75</v>
      </c>
      <c r="L890" s="36" t="s">
        <v>228</v>
      </c>
      <c r="M890" s="38" t="s">
        <v>2304</v>
      </c>
      <c r="N890" s="36" t="s">
        <v>70</v>
      </c>
      <c r="O890" s="6" t="s">
        <v>33</v>
      </c>
      <c r="P890" s="7">
        <v>1</v>
      </c>
      <c r="Q890" s="7" t="s">
        <v>34</v>
      </c>
      <c r="R890" s="8"/>
      <c r="S890" s="8"/>
      <c r="T890" s="7" t="s">
        <v>2395</v>
      </c>
      <c r="U890" s="36" t="s">
        <v>36</v>
      </c>
      <c r="V890" s="38" t="s">
        <v>257</v>
      </c>
      <c r="W890" s="36"/>
      <c r="X890" s="36" t="s">
        <v>258</v>
      </c>
      <c r="Y890" s="36" t="s">
        <v>259</v>
      </c>
      <c r="Z890" s="41"/>
      <c r="AA890" s="42" t="e">
        <f>_xlfn.XLOOKUP(C890,#REF!,#REF!,"",0,1)</f>
        <v>#REF!</v>
      </c>
      <c r="AB890" s="43">
        <f t="shared" si="37"/>
        <v>0</v>
      </c>
    </row>
    <row r="891" spans="1:28" ht="117.5" thickBot="1" x14ac:dyDescent="0.3">
      <c r="A891" s="36">
        <v>890</v>
      </c>
      <c r="B891" s="36" t="s">
        <v>24</v>
      </c>
      <c r="C891" s="36" t="s">
        <v>1645</v>
      </c>
      <c r="D891" s="37">
        <v>40257</v>
      </c>
      <c r="E891" s="36" t="s">
        <v>2246</v>
      </c>
      <c r="F891" s="36" t="s">
        <v>2327</v>
      </c>
      <c r="G891" s="36" t="s">
        <v>65</v>
      </c>
      <c r="H891" s="36" t="s">
        <v>2255</v>
      </c>
      <c r="I891" s="36" t="s">
        <v>54</v>
      </c>
      <c r="J891" s="36" t="str">
        <f t="shared" si="35"/>
        <v>PWDMechanical EstablishmentB (Non Gazetted)Steno Higher GradeS16 (44900 - 142400)</v>
      </c>
      <c r="K891" s="36" t="s">
        <v>68</v>
      </c>
      <c r="L891" s="36" t="s">
        <v>231</v>
      </c>
      <c r="M891" s="38" t="s">
        <v>2256</v>
      </c>
      <c r="N891" s="36" t="s">
        <v>70</v>
      </c>
      <c r="O891" s="6" t="s">
        <v>33</v>
      </c>
      <c r="P891" s="7">
        <v>0</v>
      </c>
      <c r="Q891" s="7" t="s">
        <v>34</v>
      </c>
      <c r="R891" s="8"/>
      <c r="S891" s="8"/>
      <c r="T891" s="4" t="s">
        <v>3276</v>
      </c>
      <c r="U891" s="36" t="s">
        <v>36</v>
      </c>
      <c r="V891" s="38"/>
      <c r="W891" s="36"/>
      <c r="X891" s="36"/>
      <c r="Y891" s="36"/>
      <c r="Z891" s="41"/>
      <c r="AA891" s="42" t="e">
        <f>_xlfn.XLOOKUP(C891,#REF!,#REF!,"",0,1)</f>
        <v>#REF!</v>
      </c>
      <c r="AB891" s="43">
        <f t="shared" si="37"/>
        <v>0</v>
      </c>
    </row>
    <row r="892" spans="1:28" ht="91.5" thickBot="1" x14ac:dyDescent="0.3">
      <c r="A892" s="36">
        <v>891</v>
      </c>
      <c r="B892" s="36" t="s">
        <v>24</v>
      </c>
      <c r="C892" s="36" t="s">
        <v>1645</v>
      </c>
      <c r="D892" s="37">
        <v>40257</v>
      </c>
      <c r="E892" s="36" t="s">
        <v>2246</v>
      </c>
      <c r="F892" s="36" t="s">
        <v>2327</v>
      </c>
      <c r="G892" s="36" t="s">
        <v>55</v>
      </c>
      <c r="H892" s="36" t="s">
        <v>2257</v>
      </c>
      <c r="I892" s="36" t="s">
        <v>74</v>
      </c>
      <c r="J892" s="36" t="str">
        <f t="shared" si="35"/>
        <v>PWDMechanical EstablishmentCJunior Clerk Cum TypistS6 (19900 - 63200)</v>
      </c>
      <c r="K892" s="36" t="s">
        <v>75</v>
      </c>
      <c r="L892" s="36" t="s">
        <v>228</v>
      </c>
      <c r="M892" s="38" t="s">
        <v>2167</v>
      </c>
      <c r="N892" s="36" t="s">
        <v>70</v>
      </c>
      <c r="O892" s="6" t="s">
        <v>33</v>
      </c>
      <c r="P892" s="7">
        <v>1</v>
      </c>
      <c r="Q892" s="7" t="s">
        <v>34</v>
      </c>
      <c r="R892" s="8"/>
      <c r="S892" s="8"/>
      <c r="T892" s="7" t="s">
        <v>2395</v>
      </c>
      <c r="U892" s="36" t="s">
        <v>36</v>
      </c>
      <c r="V892" s="38" t="s">
        <v>125</v>
      </c>
      <c r="W892" s="36"/>
      <c r="X892" s="36" t="s">
        <v>77</v>
      </c>
      <c r="Y892" s="36" t="s">
        <v>78</v>
      </c>
      <c r="Z892" s="41"/>
      <c r="AA892" s="42" t="e">
        <f>_xlfn.XLOOKUP(C892,#REF!,#REF!,"",0,1)</f>
        <v>#REF!</v>
      </c>
      <c r="AB892" s="43">
        <f t="shared" si="37"/>
        <v>0</v>
      </c>
    </row>
    <row r="893" spans="1:28" ht="65.5" thickBot="1" x14ac:dyDescent="0.3">
      <c r="A893" s="36">
        <v>892</v>
      </c>
      <c r="B893" s="36" t="s">
        <v>24</v>
      </c>
      <c r="C893" s="36" t="s">
        <v>1645</v>
      </c>
      <c r="D893" s="37">
        <v>40257</v>
      </c>
      <c r="E893" s="36" t="s">
        <v>2246</v>
      </c>
      <c r="F893" s="36" t="s">
        <v>2327</v>
      </c>
      <c r="G893" s="36" t="s">
        <v>55</v>
      </c>
      <c r="H893" s="36" t="s">
        <v>87</v>
      </c>
      <c r="I893" s="36" t="s">
        <v>80</v>
      </c>
      <c r="J893" s="36" t="str">
        <f t="shared" si="35"/>
        <v>PWDMechanical EstablishmentCSenior ClerkS8 (25500 - 81100)</v>
      </c>
      <c r="K893" s="36" t="s">
        <v>75</v>
      </c>
      <c r="L893" s="36" t="s">
        <v>228</v>
      </c>
      <c r="M893" s="38" t="s">
        <v>2328</v>
      </c>
      <c r="N893" s="49" t="s">
        <v>199</v>
      </c>
      <c r="O893" s="6" t="s">
        <v>33</v>
      </c>
      <c r="P893" s="7">
        <v>1</v>
      </c>
      <c r="Q893" s="7" t="s">
        <v>34</v>
      </c>
      <c r="R893" s="8"/>
      <c r="S893" s="8"/>
      <c r="T893" s="7" t="s">
        <v>2395</v>
      </c>
      <c r="U893" s="36" t="s">
        <v>36</v>
      </c>
      <c r="V893" s="38" t="s">
        <v>257</v>
      </c>
      <c r="W893" s="36"/>
      <c r="X893" s="36" t="s">
        <v>258</v>
      </c>
      <c r="Y893" s="36" t="s">
        <v>259</v>
      </c>
      <c r="Z893" s="41"/>
      <c r="AA893" s="42" t="e">
        <f>_xlfn.XLOOKUP(C893,#REF!,#REF!,"",0,1)</f>
        <v>#REF!</v>
      </c>
      <c r="AB893" s="43">
        <f t="shared" si="37"/>
        <v>0</v>
      </c>
    </row>
    <row r="894" spans="1:28" ht="182.5" thickBot="1" x14ac:dyDescent="0.3">
      <c r="A894" s="36">
        <v>893</v>
      </c>
      <c r="B894" s="36" t="s">
        <v>24</v>
      </c>
      <c r="C894" s="36" t="s">
        <v>25</v>
      </c>
      <c r="D894" s="37">
        <v>38796</v>
      </c>
      <c r="E894" s="36" t="s">
        <v>2329</v>
      </c>
      <c r="F894" s="36" t="s">
        <v>2330</v>
      </c>
      <c r="G894" s="36" t="s">
        <v>55</v>
      </c>
      <c r="H894" s="36" t="s">
        <v>2331</v>
      </c>
      <c r="I894" s="36" t="s">
        <v>80</v>
      </c>
      <c r="J894" s="36" t="str">
        <f t="shared" si="35"/>
        <v>RevenueAastha 10 EstablishmentCGram Mahsul AdhikariS8 (25500 - 81100)</v>
      </c>
      <c r="K894" s="36" t="s">
        <v>2332</v>
      </c>
      <c r="L894" s="36" t="s">
        <v>228</v>
      </c>
      <c r="M894" s="38" t="s">
        <v>356</v>
      </c>
      <c r="N894" s="36" t="s">
        <v>199</v>
      </c>
      <c r="O894" s="6" t="s">
        <v>33</v>
      </c>
      <c r="P894" s="7">
        <v>1735</v>
      </c>
      <c r="Q894" s="7" t="s">
        <v>34</v>
      </c>
      <c r="R894" s="8"/>
      <c r="S894" s="7" t="s">
        <v>2333</v>
      </c>
      <c r="T894" s="7" t="s">
        <v>35</v>
      </c>
      <c r="U894" s="36" t="s">
        <v>2334</v>
      </c>
      <c r="V894" s="38" t="s">
        <v>2335</v>
      </c>
      <c r="W894" s="36"/>
      <c r="X894" s="36" t="s">
        <v>2336</v>
      </c>
      <c r="Y894" s="46">
        <v>45543</v>
      </c>
      <c r="Z894" s="41"/>
      <c r="AA894" s="42" t="e">
        <f>_xlfn.XLOOKUP(C894,#REF!,#REF!,"",0,1)</f>
        <v>#REF!</v>
      </c>
      <c r="AB894" s="43">
        <f t="shared" si="37"/>
        <v>0</v>
      </c>
    </row>
    <row r="895" spans="1:28" ht="91.5" thickBot="1" x14ac:dyDescent="0.3">
      <c r="A895" s="36">
        <v>894</v>
      </c>
      <c r="B895" s="36" t="s">
        <v>24</v>
      </c>
      <c r="C895" s="36" t="s">
        <v>25</v>
      </c>
      <c r="D895" s="37">
        <v>38796</v>
      </c>
      <c r="E895" s="36" t="s">
        <v>2329</v>
      </c>
      <c r="F895" s="36" t="s">
        <v>2337</v>
      </c>
      <c r="G895" s="36" t="s">
        <v>28</v>
      </c>
      <c r="H895" s="36" t="s">
        <v>2338</v>
      </c>
      <c r="I895" s="36" t="s">
        <v>38</v>
      </c>
      <c r="J895" s="36" t="str">
        <f t="shared" si="35"/>
        <v>RevenueAastha 2 EstablishmentADeputy CollectorS20 (56100 - 177500)</v>
      </c>
      <c r="K895" s="36" t="s">
        <v>45</v>
      </c>
      <c r="L895" s="36" t="s">
        <v>247</v>
      </c>
      <c r="M895" s="38" t="s">
        <v>2339</v>
      </c>
      <c r="N895" s="36" t="s">
        <v>41</v>
      </c>
      <c r="O895" s="6" t="s">
        <v>33</v>
      </c>
      <c r="P895" s="7">
        <v>0</v>
      </c>
      <c r="Q895" s="7" t="s">
        <v>34</v>
      </c>
      <c r="R895" s="8"/>
      <c r="S895" s="8"/>
      <c r="T895" s="7" t="s">
        <v>2395</v>
      </c>
      <c r="U895" s="36"/>
      <c r="V895" s="38"/>
      <c r="W895" s="36"/>
      <c r="X895" s="36"/>
      <c r="Y895" s="36"/>
      <c r="Z895" s="41"/>
      <c r="AA895" s="42" t="e">
        <f>_xlfn.XLOOKUP(C895,#REF!,#REF!,"",0,1)</f>
        <v>#REF!</v>
      </c>
      <c r="AB895" s="43">
        <f t="shared" si="37"/>
        <v>0</v>
      </c>
    </row>
    <row r="896" spans="1:28" ht="78.5" thickBot="1" x14ac:dyDescent="0.3">
      <c r="A896" s="36">
        <v>895</v>
      </c>
      <c r="B896" s="36" t="s">
        <v>24</v>
      </c>
      <c r="C896" s="36" t="s">
        <v>25</v>
      </c>
      <c r="D896" s="37">
        <v>38796</v>
      </c>
      <c r="E896" s="36" t="s">
        <v>2329</v>
      </c>
      <c r="F896" s="36" t="s">
        <v>2340</v>
      </c>
      <c r="G896" s="36" t="s">
        <v>28</v>
      </c>
      <c r="H896" s="36" t="s">
        <v>2341</v>
      </c>
      <c r="I896" s="36" t="s">
        <v>2342</v>
      </c>
      <c r="J896" s="36" t="str">
        <f t="shared" si="35"/>
        <v>RevenueAastha 3 EstablishmentATahsildarS19 (55100 - 175100)</v>
      </c>
      <c r="K896" s="36" t="s">
        <v>45</v>
      </c>
      <c r="L896" s="36" t="s">
        <v>247</v>
      </c>
      <c r="M896" s="38" t="s">
        <v>2343</v>
      </c>
      <c r="N896" s="36" t="s">
        <v>41</v>
      </c>
      <c r="O896" s="6" t="s">
        <v>33</v>
      </c>
      <c r="P896" s="7">
        <v>0</v>
      </c>
      <c r="Q896" s="7" t="s">
        <v>34</v>
      </c>
      <c r="R896" s="8"/>
      <c r="S896" s="8"/>
      <c r="T896" s="7" t="s">
        <v>2395</v>
      </c>
      <c r="U896" s="36" t="s">
        <v>36</v>
      </c>
      <c r="V896" s="38"/>
      <c r="W896" s="36"/>
      <c r="X896" s="36"/>
      <c r="Y896" s="36"/>
      <c r="Z896" s="41"/>
      <c r="AA896" s="42" t="e">
        <f>_xlfn.XLOOKUP(C896,#REF!,#REF!,"",0,1)</f>
        <v>#REF!</v>
      </c>
      <c r="AB896" s="43">
        <f t="shared" si="37"/>
        <v>0</v>
      </c>
    </row>
    <row r="897" spans="1:28" ht="143.5" thickBot="1" x14ac:dyDescent="0.3">
      <c r="A897" s="36">
        <v>896</v>
      </c>
      <c r="B897" s="36" t="s">
        <v>24</v>
      </c>
      <c r="C897" s="36" t="s">
        <v>263</v>
      </c>
      <c r="D897" s="37">
        <v>46090</v>
      </c>
      <c r="E897" s="36" t="s">
        <v>2329</v>
      </c>
      <c r="F897" s="36" t="s">
        <v>2344</v>
      </c>
      <c r="G897" s="36" t="s">
        <v>42</v>
      </c>
      <c r="H897" s="36" t="s">
        <v>2345</v>
      </c>
      <c r="I897" s="36" t="s">
        <v>44</v>
      </c>
      <c r="J897" s="36" t="str">
        <f t="shared" si="35"/>
        <v>RevenueAastha 6 EstablishmentB (Gazetted)Deputy Superintendent of Land RecordsS15 (41800 - 132300)</v>
      </c>
      <c r="K897" s="36" t="s">
        <v>45</v>
      </c>
      <c r="L897" s="36" t="s">
        <v>247</v>
      </c>
      <c r="M897" s="38" t="s">
        <v>2100</v>
      </c>
      <c r="N897" s="36" t="s">
        <v>41</v>
      </c>
      <c r="O897" s="6" t="s">
        <v>33</v>
      </c>
      <c r="P897" s="7">
        <v>26</v>
      </c>
      <c r="Q897" s="7" t="s">
        <v>34</v>
      </c>
      <c r="R897" s="8"/>
      <c r="S897" s="8"/>
      <c r="T897" s="7" t="s">
        <v>35</v>
      </c>
      <c r="U897" s="36" t="s">
        <v>2346</v>
      </c>
      <c r="V897" s="38"/>
      <c r="W897" s="36"/>
      <c r="X897" s="36"/>
      <c r="Y897" s="36"/>
      <c r="Z897" s="41"/>
      <c r="AA897" s="42" t="e">
        <f>_xlfn.XLOOKUP(C897,#REF!,#REF!,"",0,1)</f>
        <v>#REF!</v>
      </c>
      <c r="AB897" s="43">
        <f t="shared" si="37"/>
        <v>0</v>
      </c>
    </row>
    <row r="898" spans="1:28" ht="117.5" thickBot="1" x14ac:dyDescent="0.3">
      <c r="A898" s="36">
        <v>897</v>
      </c>
      <c r="B898" s="36" t="s">
        <v>24</v>
      </c>
      <c r="C898" s="36" t="s">
        <v>263</v>
      </c>
      <c r="D898" s="37">
        <v>46090</v>
      </c>
      <c r="E898" s="36" t="s">
        <v>2329</v>
      </c>
      <c r="F898" s="36" t="s">
        <v>2344</v>
      </c>
      <c r="G898" s="36" t="s">
        <v>65</v>
      </c>
      <c r="H898" s="36" t="s">
        <v>66</v>
      </c>
      <c r="I898" s="36" t="s">
        <v>67</v>
      </c>
      <c r="J898" s="36" t="str">
        <f t="shared" ref="J898:J961" si="38">_xlfn.CONCAT(E898:I898)</f>
        <v>RevenueAastha 6 EstablishmentB (Non Gazetted)Stenographer (Lower Grade)S14 (38600 - 122800)</v>
      </c>
      <c r="K898" s="36" t="s">
        <v>68</v>
      </c>
      <c r="L898" s="36" t="s">
        <v>231</v>
      </c>
      <c r="M898" s="38" t="s">
        <v>2347</v>
      </c>
      <c r="N898" s="36" t="s">
        <v>70</v>
      </c>
      <c r="O898" s="6" t="s">
        <v>33</v>
      </c>
      <c r="P898" s="7">
        <v>98</v>
      </c>
      <c r="Q898" s="7" t="s">
        <v>34</v>
      </c>
      <c r="R898" s="8"/>
      <c r="S898" s="8"/>
      <c r="T898" s="4" t="s">
        <v>3276</v>
      </c>
      <c r="U898" s="36" t="s">
        <v>109</v>
      </c>
      <c r="V898" s="38"/>
      <c r="W898" s="36"/>
      <c r="X898" s="36"/>
      <c r="Y898" s="36"/>
      <c r="Z898" s="41"/>
      <c r="AA898" s="42" t="e">
        <f>_xlfn.XLOOKUP(C898,#REF!,#REF!,"",0,1)</f>
        <v>#REF!</v>
      </c>
      <c r="AB898" s="43">
        <f t="shared" ref="AB898:AB902" si="39">IFERROR(FLOOR(P898*AA898,1),0)</f>
        <v>0</v>
      </c>
    </row>
    <row r="899" spans="1:28" ht="117.5" thickBot="1" x14ac:dyDescent="0.3">
      <c r="A899" s="36">
        <v>898</v>
      </c>
      <c r="B899" s="36" t="s">
        <v>24</v>
      </c>
      <c r="C899" s="36" t="s">
        <v>263</v>
      </c>
      <c r="D899" s="37">
        <v>46090</v>
      </c>
      <c r="E899" s="36" t="s">
        <v>2329</v>
      </c>
      <c r="F899" s="36" t="s">
        <v>2344</v>
      </c>
      <c r="G899" s="36" t="s">
        <v>65</v>
      </c>
      <c r="H899" s="36" t="s">
        <v>71</v>
      </c>
      <c r="I899" s="36" t="s">
        <v>44</v>
      </c>
      <c r="J899" s="36" t="str">
        <f t="shared" si="38"/>
        <v>RevenueAastha 6 EstablishmentB (Non Gazetted)Stenographer (Higher Grade)S15 (41800 - 132300)</v>
      </c>
      <c r="K899" s="36" t="s">
        <v>68</v>
      </c>
      <c r="L899" s="36" t="s">
        <v>231</v>
      </c>
      <c r="M899" s="38" t="s">
        <v>2347</v>
      </c>
      <c r="N899" s="36"/>
      <c r="O899" s="6" t="s">
        <v>33</v>
      </c>
      <c r="P899" s="7">
        <v>17</v>
      </c>
      <c r="Q899" s="7" t="s">
        <v>34</v>
      </c>
      <c r="R899" s="8"/>
      <c r="S899" s="8"/>
      <c r="T899" s="4" t="s">
        <v>3276</v>
      </c>
      <c r="U899" s="36" t="s">
        <v>35</v>
      </c>
      <c r="V899" s="38"/>
      <c r="W899" s="36"/>
      <c r="X899" s="36"/>
      <c r="Y899" s="36"/>
      <c r="Z899" s="41"/>
      <c r="AA899" s="42" t="e">
        <f>_xlfn.XLOOKUP(C899,#REF!,#REF!,"",0,1)</f>
        <v>#REF!</v>
      </c>
      <c r="AB899" s="43">
        <f t="shared" si="39"/>
        <v>0</v>
      </c>
    </row>
    <row r="900" spans="1:28" ht="130.5" thickBot="1" x14ac:dyDescent="0.3">
      <c r="A900" s="36">
        <v>899</v>
      </c>
      <c r="B900" s="36" t="s">
        <v>24</v>
      </c>
      <c r="C900" s="36" t="s">
        <v>263</v>
      </c>
      <c r="D900" s="37">
        <v>46090</v>
      </c>
      <c r="E900" s="36" t="s">
        <v>2329</v>
      </c>
      <c r="F900" s="36" t="s">
        <v>2344</v>
      </c>
      <c r="G900" s="36" t="s">
        <v>55</v>
      </c>
      <c r="H900" s="36" t="s">
        <v>2348</v>
      </c>
      <c r="I900" s="36" t="s">
        <v>74</v>
      </c>
      <c r="J900" s="36" t="str">
        <f t="shared" si="38"/>
        <v>RevenueAastha 6 EstablishmentCCadastral SurveyorS6 (19900 - 63200)</v>
      </c>
      <c r="K900" s="36" t="s">
        <v>163</v>
      </c>
      <c r="L900" s="36" t="s">
        <v>225</v>
      </c>
      <c r="M900" s="38" t="s">
        <v>2349</v>
      </c>
      <c r="N900" s="36" t="s">
        <v>165</v>
      </c>
      <c r="O900" s="6" t="s">
        <v>33</v>
      </c>
      <c r="P900" s="7">
        <v>285</v>
      </c>
      <c r="Q900" s="7" t="s">
        <v>34</v>
      </c>
      <c r="R900" s="8"/>
      <c r="S900" s="8"/>
      <c r="T900" s="7" t="s">
        <v>61</v>
      </c>
      <c r="U900" s="36" t="s">
        <v>61</v>
      </c>
      <c r="V900" s="38" t="s">
        <v>2350</v>
      </c>
      <c r="W900" s="36"/>
      <c r="X900" s="36" t="s">
        <v>2351</v>
      </c>
      <c r="Y900" s="46">
        <v>41675</v>
      </c>
      <c r="Z900" s="41"/>
      <c r="AA900" s="42" t="e">
        <f>_xlfn.XLOOKUP(C900,#REF!,#REF!,"",0,1)</f>
        <v>#REF!</v>
      </c>
      <c r="AB900" s="43">
        <f t="shared" si="39"/>
        <v>0</v>
      </c>
    </row>
    <row r="901" spans="1:28" ht="143.5" thickBot="1" x14ac:dyDescent="0.3">
      <c r="A901" s="36">
        <v>900</v>
      </c>
      <c r="B901" s="36" t="s">
        <v>24</v>
      </c>
      <c r="C901" s="36" t="s">
        <v>25</v>
      </c>
      <c r="D901" s="37">
        <v>38796</v>
      </c>
      <c r="E901" s="36" t="s">
        <v>2329</v>
      </c>
      <c r="F901" s="36" t="s">
        <v>2352</v>
      </c>
      <c r="G901" s="36" t="s">
        <v>65</v>
      </c>
      <c r="H901" s="36" t="s">
        <v>2353</v>
      </c>
      <c r="I901" s="36" t="s">
        <v>44</v>
      </c>
      <c r="J901" s="36" t="str">
        <f t="shared" si="38"/>
        <v>RevenueAastha 7 EstablishmentB (Non Gazetted)Lower Grade Stenographer 
  (Non gazeetted)S15 (41800 - 132300)</v>
      </c>
      <c r="K901" s="36" t="s">
        <v>68</v>
      </c>
      <c r="L901" s="36" t="s">
        <v>231</v>
      </c>
      <c r="M901" s="38" t="s">
        <v>2354</v>
      </c>
      <c r="N901" s="36" t="s">
        <v>70</v>
      </c>
      <c r="O901" s="6" t="s">
        <v>33</v>
      </c>
      <c r="P901" s="7">
        <v>98</v>
      </c>
      <c r="Q901" s="7" t="s">
        <v>34</v>
      </c>
      <c r="R901" s="8"/>
      <c r="S901" s="8"/>
      <c r="T901" s="4" t="s">
        <v>3276</v>
      </c>
      <c r="U901" s="36" t="s">
        <v>2355</v>
      </c>
      <c r="V901" s="38"/>
      <c r="W901" s="36"/>
      <c r="X901" s="36"/>
      <c r="Y901" s="36"/>
      <c r="Z901" s="41"/>
      <c r="AA901" s="42" t="e">
        <f>_xlfn.XLOOKUP(C901,#REF!,#REF!,"",0,1)</f>
        <v>#REF!</v>
      </c>
      <c r="AB901" s="43">
        <f t="shared" si="39"/>
        <v>0</v>
      </c>
    </row>
    <row r="902" spans="1:28" ht="143.5" thickBot="1" x14ac:dyDescent="0.3">
      <c r="A902" s="36">
        <v>901</v>
      </c>
      <c r="B902" s="36" t="s">
        <v>24</v>
      </c>
      <c r="C902" s="36" t="s">
        <v>25</v>
      </c>
      <c r="D902" s="37">
        <v>38796</v>
      </c>
      <c r="E902" s="36" t="s">
        <v>2329</v>
      </c>
      <c r="F902" s="36" t="s">
        <v>2352</v>
      </c>
      <c r="G902" s="36" t="s">
        <v>65</v>
      </c>
      <c r="H902" s="36" t="s">
        <v>2356</v>
      </c>
      <c r="I902" s="36" t="s">
        <v>54</v>
      </c>
      <c r="J902" s="36" t="str">
        <f t="shared" si="38"/>
        <v>RevenueAastha 7 EstablishmentB (Non Gazetted)Higher Grade Stenographer 
  (Non gazeetted)S16 (44900 - 142400)</v>
      </c>
      <c r="K902" s="36" t="s">
        <v>68</v>
      </c>
      <c r="L902" s="36" t="s">
        <v>231</v>
      </c>
      <c r="M902" s="38" t="s">
        <v>2357</v>
      </c>
      <c r="N902" s="36" t="s">
        <v>70</v>
      </c>
      <c r="O902" s="6" t="s">
        <v>33</v>
      </c>
      <c r="P902" s="7">
        <v>17</v>
      </c>
      <c r="Q902" s="7" t="s">
        <v>34</v>
      </c>
      <c r="R902" s="8"/>
      <c r="S902" s="8"/>
      <c r="T902" s="4" t="s">
        <v>3276</v>
      </c>
      <c r="U902" s="36" t="s">
        <v>2355</v>
      </c>
      <c r="V902" s="38"/>
      <c r="W902" s="36"/>
      <c r="X902" s="36"/>
      <c r="Y902" s="36"/>
      <c r="Z902" s="41"/>
      <c r="AA902" s="42" t="e">
        <f>_xlfn.XLOOKUP(C902,#REF!,#REF!,"",0,1)</f>
        <v>#REF!</v>
      </c>
      <c r="AB902" s="43">
        <f t="shared" si="39"/>
        <v>0</v>
      </c>
    </row>
    <row r="903" spans="1:28" ht="104.5" thickBot="1" x14ac:dyDescent="0.3">
      <c r="A903" s="36">
        <v>902</v>
      </c>
      <c r="B903" s="36" t="s">
        <v>584</v>
      </c>
      <c r="C903" s="36" t="s">
        <v>25</v>
      </c>
      <c r="D903" s="37">
        <v>38796</v>
      </c>
      <c r="E903" s="36" t="s">
        <v>2329</v>
      </c>
      <c r="F903" s="36" t="s">
        <v>2352</v>
      </c>
      <c r="G903" s="36" t="s">
        <v>55</v>
      </c>
      <c r="H903" s="36" t="s">
        <v>2358</v>
      </c>
      <c r="I903" s="36" t="s">
        <v>668</v>
      </c>
      <c r="J903" s="36" t="str">
        <f t="shared" si="38"/>
        <v>RevenueAastha 7 EstablishmentCAssitant Revenue OfficerS12 (32000 - 101600)</v>
      </c>
      <c r="K903" s="36"/>
      <c r="L903" s="36"/>
      <c r="M903" s="38" t="s">
        <v>2359</v>
      </c>
      <c r="N903" s="36"/>
      <c r="O903" s="6" t="s">
        <v>33</v>
      </c>
      <c r="P903" s="8"/>
      <c r="Q903" s="7" t="s">
        <v>34</v>
      </c>
      <c r="R903" s="8"/>
      <c r="S903" s="8"/>
      <c r="T903" s="4" t="s">
        <v>3276</v>
      </c>
      <c r="U903" s="36" t="s">
        <v>35</v>
      </c>
      <c r="V903" s="38"/>
      <c r="W903" s="36"/>
      <c r="X903" s="36"/>
      <c r="Y903" s="36"/>
      <c r="Z903" s="41"/>
      <c r="AA903" s="42" t="e">
        <f>_xlfn.XLOOKUP(C903,#REF!,#REF!,"",0,1)</f>
        <v>#REF!</v>
      </c>
      <c r="AB903" s="43">
        <f t="shared" ref="AB903:AB961" si="40">IFERROR(FLOOR(P903*AA903,1),0)</f>
        <v>0</v>
      </c>
    </row>
    <row r="904" spans="1:28" ht="91.5" thickBot="1" x14ac:dyDescent="0.3">
      <c r="A904" s="36">
        <v>903</v>
      </c>
      <c r="B904" s="36" t="s">
        <v>584</v>
      </c>
      <c r="C904" s="36" t="s">
        <v>25</v>
      </c>
      <c r="D904" s="37">
        <v>38796</v>
      </c>
      <c r="E904" s="36" t="s">
        <v>2329</v>
      </c>
      <c r="F904" s="36" t="s">
        <v>2352</v>
      </c>
      <c r="G904" s="36" t="s">
        <v>55</v>
      </c>
      <c r="H904" s="36" t="s">
        <v>2360</v>
      </c>
      <c r="I904" s="36" t="s">
        <v>668</v>
      </c>
      <c r="J904" s="36" t="str">
        <f t="shared" si="38"/>
        <v>RevenueAastha 7 EstablishmentCCircle OfficerS12 (32000 - 101600)</v>
      </c>
      <c r="K904" s="36"/>
      <c r="L904" s="36"/>
      <c r="M904" s="38" t="s">
        <v>449</v>
      </c>
      <c r="N904" s="36"/>
      <c r="O904" s="6" t="s">
        <v>33</v>
      </c>
      <c r="P904" s="8"/>
      <c r="Q904" s="7" t="s">
        <v>34</v>
      </c>
      <c r="R904" s="8"/>
      <c r="S904" s="8"/>
      <c r="T904" s="4" t="s">
        <v>3276</v>
      </c>
      <c r="U904" s="36" t="s">
        <v>35</v>
      </c>
      <c r="V904" s="38"/>
      <c r="W904" s="36"/>
      <c r="X904" s="36"/>
      <c r="Y904" s="36"/>
      <c r="Z904" s="41"/>
      <c r="AA904" s="42" t="e">
        <f>_xlfn.XLOOKUP(C904,#REF!,#REF!,"",0,1)</f>
        <v>#REF!</v>
      </c>
      <c r="AB904" s="43">
        <f t="shared" si="40"/>
        <v>0</v>
      </c>
    </row>
    <row r="905" spans="1:28" ht="91.5" thickBot="1" x14ac:dyDescent="0.3">
      <c r="A905" s="36">
        <v>904</v>
      </c>
      <c r="B905" s="36" t="s">
        <v>24</v>
      </c>
      <c r="C905" s="36" t="s">
        <v>25</v>
      </c>
      <c r="D905" s="37">
        <v>38796</v>
      </c>
      <c r="E905" s="36" t="s">
        <v>2329</v>
      </c>
      <c r="F905" s="36" t="s">
        <v>2352</v>
      </c>
      <c r="G905" s="36" t="s">
        <v>55</v>
      </c>
      <c r="H905" s="36" t="s">
        <v>2361</v>
      </c>
      <c r="I905" s="36" t="s">
        <v>74</v>
      </c>
      <c r="J905" s="36" t="str">
        <f t="shared" si="38"/>
        <v>RevenueAastha 7 EstablishmentCRevenue Assistant / Clerk TypistS6 (19900 - 63200)</v>
      </c>
      <c r="K905" s="36" t="s">
        <v>75</v>
      </c>
      <c r="L905" s="36" t="s">
        <v>228</v>
      </c>
      <c r="M905" s="38" t="s">
        <v>2362</v>
      </c>
      <c r="N905" s="36" t="s">
        <v>70</v>
      </c>
      <c r="O905" s="6" t="s">
        <v>33</v>
      </c>
      <c r="P905" s="7">
        <v>1304</v>
      </c>
      <c r="Q905" s="7" t="s">
        <v>100</v>
      </c>
      <c r="R905" s="7">
        <v>477</v>
      </c>
      <c r="S905" s="7" t="s">
        <v>2363</v>
      </c>
      <c r="T905" s="7" t="s">
        <v>61</v>
      </c>
      <c r="U905" s="36" t="s">
        <v>2364</v>
      </c>
      <c r="V905" s="38" t="s">
        <v>125</v>
      </c>
      <c r="W905" s="36"/>
      <c r="X905" s="36" t="s">
        <v>77</v>
      </c>
      <c r="Y905" s="36" t="s">
        <v>78</v>
      </c>
      <c r="Z905" s="41"/>
      <c r="AA905" s="42" t="e">
        <f>_xlfn.XLOOKUP(C905,#REF!,#REF!,"",0,1)</f>
        <v>#REF!</v>
      </c>
      <c r="AB905" s="43">
        <f t="shared" si="40"/>
        <v>0</v>
      </c>
    </row>
    <row r="906" spans="1:28" ht="65.5" thickBot="1" x14ac:dyDescent="0.3">
      <c r="A906" s="36">
        <v>905</v>
      </c>
      <c r="B906" s="36" t="s">
        <v>24</v>
      </c>
      <c r="C906" s="36" t="s">
        <v>25</v>
      </c>
      <c r="D906" s="37">
        <v>38796</v>
      </c>
      <c r="E906" s="36" t="s">
        <v>2329</v>
      </c>
      <c r="F906" s="36" t="s">
        <v>2352</v>
      </c>
      <c r="G906" s="36" t="s">
        <v>55</v>
      </c>
      <c r="H906" s="36" t="s">
        <v>2365</v>
      </c>
      <c r="I906" s="36" t="s">
        <v>80</v>
      </c>
      <c r="J906" s="36" t="str">
        <f t="shared" si="38"/>
        <v>RevenueAastha 7 EstablishmentCSteno typistS8 (25500 - 81100)</v>
      </c>
      <c r="K906" s="36" t="s">
        <v>68</v>
      </c>
      <c r="L906" s="36" t="s">
        <v>231</v>
      </c>
      <c r="M906" s="38" t="s">
        <v>2366</v>
      </c>
      <c r="N906" s="36" t="s">
        <v>70</v>
      </c>
      <c r="O906" s="6" t="s">
        <v>33</v>
      </c>
      <c r="P906" s="7">
        <v>41</v>
      </c>
      <c r="Q906" s="7" t="s">
        <v>100</v>
      </c>
      <c r="R906" s="8"/>
      <c r="S906" s="8"/>
      <c r="T906" s="4" t="s">
        <v>3276</v>
      </c>
      <c r="U906" s="36" t="s">
        <v>2364</v>
      </c>
      <c r="V906" s="38"/>
      <c r="W906" s="36"/>
      <c r="X906" s="36"/>
      <c r="Y906" s="36"/>
      <c r="Z906" s="41"/>
      <c r="AA906" s="42" t="e">
        <f>_xlfn.XLOOKUP(C906,#REF!,#REF!,"",0,1)</f>
        <v>#REF!</v>
      </c>
      <c r="AB906" s="43">
        <f t="shared" si="40"/>
        <v>0</v>
      </c>
    </row>
    <row r="907" spans="1:28" ht="104.5" thickBot="1" x14ac:dyDescent="0.3">
      <c r="A907" s="36">
        <v>906</v>
      </c>
      <c r="B907" s="36" t="s">
        <v>24</v>
      </c>
      <c r="C907" s="36" t="s">
        <v>25</v>
      </c>
      <c r="D907" s="37">
        <v>38796</v>
      </c>
      <c r="E907" s="36" t="s">
        <v>2329</v>
      </c>
      <c r="F907" s="36" t="s">
        <v>2367</v>
      </c>
      <c r="G907" s="36" t="s">
        <v>42</v>
      </c>
      <c r="H907" s="36" t="s">
        <v>2368</v>
      </c>
      <c r="I907" s="36" t="s">
        <v>67</v>
      </c>
      <c r="J907" s="36" t="str">
        <f t="shared" si="38"/>
        <v>RevenueAastha 9 EstablishmentB (Gazetted)Naib TahsildarS14 (38600 - 122800)</v>
      </c>
      <c r="K907" s="36" t="s">
        <v>45</v>
      </c>
      <c r="L907" s="36" t="s">
        <v>247</v>
      </c>
      <c r="M907" s="38" t="s">
        <v>356</v>
      </c>
      <c r="N907" s="36" t="s">
        <v>41</v>
      </c>
      <c r="O907" s="6" t="s">
        <v>33</v>
      </c>
      <c r="P907" s="7">
        <v>290</v>
      </c>
      <c r="Q907" s="7" t="s">
        <v>34</v>
      </c>
      <c r="R907" s="8"/>
      <c r="S907" s="8"/>
      <c r="T907" s="7" t="s">
        <v>35</v>
      </c>
      <c r="U907" s="36" t="s">
        <v>109</v>
      </c>
      <c r="V907" s="38"/>
      <c r="W907" s="36"/>
      <c r="X907" s="36"/>
      <c r="Y907" s="36"/>
      <c r="Z907" s="41"/>
      <c r="AA907" s="42" t="e">
        <f>_xlfn.XLOOKUP(C907,#REF!,#REF!,"",0,1)</f>
        <v>#REF!</v>
      </c>
      <c r="AB907" s="43">
        <f t="shared" si="40"/>
        <v>0</v>
      </c>
    </row>
    <row r="908" spans="1:28" ht="117.5" thickBot="1" x14ac:dyDescent="0.3">
      <c r="A908" s="36">
        <v>907</v>
      </c>
      <c r="B908" s="36" t="s">
        <v>24</v>
      </c>
      <c r="C908" s="36" t="s">
        <v>263</v>
      </c>
      <c r="D908" s="37">
        <v>45995</v>
      </c>
      <c r="E908" s="36" t="s">
        <v>2329</v>
      </c>
      <c r="F908" s="36" t="s">
        <v>2369</v>
      </c>
      <c r="G908" s="36" t="s">
        <v>65</v>
      </c>
      <c r="H908" s="36" t="s">
        <v>2370</v>
      </c>
      <c r="I908" s="36" t="s">
        <v>67</v>
      </c>
      <c r="J908" s="36" t="str">
        <f t="shared" si="38"/>
        <v>RevenueStamp 1 and Stamp 2 EstablishmentB (Non Gazetted)Sub Registrar Grade1S14 (38600 - 122800)</v>
      </c>
      <c r="K908" s="36" t="s">
        <v>197</v>
      </c>
      <c r="L908" s="36" t="s">
        <v>228</v>
      </c>
      <c r="M908" s="38" t="s">
        <v>728</v>
      </c>
      <c r="N908" s="36" t="s">
        <v>41</v>
      </c>
      <c r="O908" s="6" t="s">
        <v>33</v>
      </c>
      <c r="P908" s="7">
        <v>124</v>
      </c>
      <c r="Q908" s="7" t="s">
        <v>100</v>
      </c>
      <c r="R908" s="7">
        <v>84</v>
      </c>
      <c r="S908" s="7" t="s">
        <v>2371</v>
      </c>
      <c r="T908" s="7" t="s">
        <v>61</v>
      </c>
      <c r="U908" s="36" t="s">
        <v>989</v>
      </c>
      <c r="V908" s="38" t="s">
        <v>2372</v>
      </c>
      <c r="W908" s="36"/>
      <c r="X908" s="36" t="s">
        <v>2373</v>
      </c>
      <c r="Y908" s="36" t="s">
        <v>2374</v>
      </c>
      <c r="Z908" s="41"/>
      <c r="AA908" s="42" t="e">
        <f>_xlfn.XLOOKUP(C908,#REF!,#REF!,"",0,1)</f>
        <v>#REF!</v>
      </c>
      <c r="AB908" s="43">
        <f t="shared" si="40"/>
        <v>0</v>
      </c>
    </row>
    <row r="909" spans="1:28" ht="91.5" thickBot="1" x14ac:dyDescent="0.3">
      <c r="A909" s="36">
        <v>908</v>
      </c>
      <c r="B909" s="36" t="s">
        <v>24</v>
      </c>
      <c r="C909" s="36" t="s">
        <v>263</v>
      </c>
      <c r="D909" s="37">
        <v>45995</v>
      </c>
      <c r="E909" s="36" t="s">
        <v>2329</v>
      </c>
      <c r="F909" s="36" t="s">
        <v>2369</v>
      </c>
      <c r="G909" s="36" t="s">
        <v>55</v>
      </c>
      <c r="H909" s="36" t="s">
        <v>123</v>
      </c>
      <c r="I909" s="36" t="s">
        <v>74</v>
      </c>
      <c r="J909" s="36" t="str">
        <f t="shared" si="38"/>
        <v>RevenueStamp 1 and Stamp 2 EstablishmentCJunior ClerkS6 (19900 - 63200)</v>
      </c>
      <c r="K909" s="36" t="s">
        <v>75</v>
      </c>
      <c r="L909" s="36" t="s">
        <v>228</v>
      </c>
      <c r="M909" s="38" t="s">
        <v>2375</v>
      </c>
      <c r="N909" s="36" t="s">
        <v>70</v>
      </c>
      <c r="O909" s="6" t="s">
        <v>33</v>
      </c>
      <c r="P909" s="7">
        <v>735</v>
      </c>
      <c r="Q909" s="7" t="s">
        <v>100</v>
      </c>
      <c r="R909" s="7">
        <v>316</v>
      </c>
      <c r="S909" s="7" t="s">
        <v>2376</v>
      </c>
      <c r="T909" s="7" t="s">
        <v>61</v>
      </c>
      <c r="U909" s="36" t="s">
        <v>989</v>
      </c>
      <c r="V909" s="38" t="s">
        <v>125</v>
      </c>
      <c r="W909" s="36"/>
      <c r="X909" s="36" t="s">
        <v>77</v>
      </c>
      <c r="Y909" s="36" t="s">
        <v>78</v>
      </c>
      <c r="Z909" s="41"/>
      <c r="AA909" s="42" t="e">
        <f>_xlfn.XLOOKUP(C909,#REF!,#REF!,"",0,1)</f>
        <v>#REF!</v>
      </c>
      <c r="AB909" s="43">
        <f t="shared" si="40"/>
        <v>0</v>
      </c>
    </row>
    <row r="910" spans="1:28" ht="130.5" thickBot="1" x14ac:dyDescent="0.3">
      <c r="A910" s="36">
        <v>909</v>
      </c>
      <c r="B910" s="36" t="s">
        <v>24</v>
      </c>
      <c r="C910" s="36" t="s">
        <v>263</v>
      </c>
      <c r="D910" s="37">
        <v>45301</v>
      </c>
      <c r="E910" s="36" t="s">
        <v>2377</v>
      </c>
      <c r="F910" s="36" t="s">
        <v>2378</v>
      </c>
      <c r="G910" s="36" t="s">
        <v>28</v>
      </c>
      <c r="H910" s="36" t="s">
        <v>2379</v>
      </c>
      <c r="I910" s="36" t="s">
        <v>38</v>
      </c>
      <c r="J910" s="36" t="str">
        <f t="shared" si="38"/>
        <v>Rural DevelopmentRural Development EstablishmentABlock Development OfficerS20 (56100 - 177500)</v>
      </c>
      <c r="K910" s="36" t="s">
        <v>45</v>
      </c>
      <c r="L910" s="36" t="s">
        <v>247</v>
      </c>
      <c r="M910" s="38" t="s">
        <v>728</v>
      </c>
      <c r="N910" s="36" t="s">
        <v>41</v>
      </c>
      <c r="O910" s="9"/>
      <c r="P910" s="8"/>
      <c r="Q910" s="7" t="s">
        <v>34</v>
      </c>
      <c r="R910" s="8"/>
      <c r="S910" s="8"/>
      <c r="T910" s="8" t="s">
        <v>61</v>
      </c>
      <c r="U910" s="36"/>
      <c r="V910" s="38"/>
      <c r="W910" s="36"/>
      <c r="X910" s="36"/>
      <c r="Y910" s="36"/>
      <c r="Z910" s="41"/>
      <c r="AA910" s="42" t="e">
        <f>_xlfn.XLOOKUP(C910,#REF!,#REF!,"",0,1)</f>
        <v>#REF!</v>
      </c>
      <c r="AB910" s="43">
        <f t="shared" si="40"/>
        <v>0</v>
      </c>
    </row>
    <row r="911" spans="1:28" ht="156.5" thickBot="1" x14ac:dyDescent="0.3">
      <c r="A911" s="36">
        <v>910</v>
      </c>
      <c r="B911" s="36" t="s">
        <v>24</v>
      </c>
      <c r="C911" s="36" t="s">
        <v>263</v>
      </c>
      <c r="D911" s="37">
        <v>45301</v>
      </c>
      <c r="E911" s="36" t="s">
        <v>2377</v>
      </c>
      <c r="F911" s="36" t="s">
        <v>2378</v>
      </c>
      <c r="G911" s="36" t="s">
        <v>42</v>
      </c>
      <c r="H911" s="36" t="s">
        <v>2380</v>
      </c>
      <c r="I911" s="36" t="s">
        <v>54</v>
      </c>
      <c r="J911" s="36" t="str">
        <f t="shared" si="38"/>
        <v>Rural DevelopmentRural Development EstablishmentB (Gazetted)Assistant Block Development OfficerS16 (44900 - 142400)</v>
      </c>
      <c r="K911" s="36" t="s">
        <v>45</v>
      </c>
      <c r="L911" s="36" t="s">
        <v>247</v>
      </c>
      <c r="M911" s="38" t="s">
        <v>728</v>
      </c>
      <c r="N911" s="36" t="s">
        <v>41</v>
      </c>
      <c r="O911" s="9"/>
      <c r="P911" s="8"/>
      <c r="Q911" s="7" t="s">
        <v>34</v>
      </c>
      <c r="R911" s="8"/>
      <c r="S911" s="8"/>
      <c r="T911" s="8" t="s">
        <v>61</v>
      </c>
      <c r="U911" s="36"/>
      <c r="V911" s="38"/>
      <c r="W911" s="36"/>
      <c r="X911" s="36"/>
      <c r="Y911" s="36"/>
      <c r="Z911" s="41"/>
      <c r="AA911" s="42" t="e">
        <f>_xlfn.XLOOKUP(C911,#REF!,#REF!,"",0,1)</f>
        <v>#REF!</v>
      </c>
      <c r="AB911" s="43">
        <f t="shared" si="40"/>
        <v>0</v>
      </c>
    </row>
    <row r="912" spans="1:28" ht="130.5" thickBot="1" x14ac:dyDescent="0.3">
      <c r="A912" s="36">
        <v>911</v>
      </c>
      <c r="B912" s="36" t="s">
        <v>24</v>
      </c>
      <c r="C912" s="36" t="s">
        <v>1645</v>
      </c>
      <c r="D912" s="37">
        <v>37697</v>
      </c>
      <c r="E912" s="36" t="s">
        <v>2381</v>
      </c>
      <c r="F912" s="36" t="s">
        <v>2382</v>
      </c>
      <c r="G912" s="36" t="s">
        <v>28</v>
      </c>
      <c r="H912" s="36" t="s">
        <v>2383</v>
      </c>
      <c r="I912" s="36" t="s">
        <v>38</v>
      </c>
      <c r="J912" s="36" t="str">
        <f t="shared" si="38"/>
        <v>School EducationAdministrative Division EstablishmentAEducation Officer &amp; equivalentS20 (56100 - 177500)</v>
      </c>
      <c r="K912" s="36" t="s">
        <v>45</v>
      </c>
      <c r="L912" s="36" t="s">
        <v>247</v>
      </c>
      <c r="M912" s="38" t="s">
        <v>2100</v>
      </c>
      <c r="N912" s="36" t="s">
        <v>41</v>
      </c>
      <c r="O912" s="6" t="s">
        <v>33</v>
      </c>
      <c r="P912" s="7">
        <v>0</v>
      </c>
      <c r="Q912" s="7" t="s">
        <v>34</v>
      </c>
      <c r="R912" s="8"/>
      <c r="S912" s="8"/>
      <c r="T912" s="7" t="s">
        <v>2395</v>
      </c>
      <c r="U912" s="36" t="s">
        <v>34</v>
      </c>
      <c r="V912" s="38" t="s">
        <v>2384</v>
      </c>
      <c r="W912" s="36" t="s">
        <v>2385</v>
      </c>
      <c r="X912" s="36" t="s">
        <v>2386</v>
      </c>
      <c r="Y912" s="36" t="s">
        <v>2387</v>
      </c>
      <c r="Z912" s="56" t="s">
        <v>2388</v>
      </c>
      <c r="AA912" s="42" t="e">
        <f>_xlfn.XLOOKUP(C912,#REF!,#REF!,"",0,1)</f>
        <v>#REF!</v>
      </c>
      <c r="AB912" s="43">
        <f t="shared" si="40"/>
        <v>0</v>
      </c>
    </row>
    <row r="913" spans="1:28" ht="234.5" thickBot="1" x14ac:dyDescent="0.3">
      <c r="A913" s="36">
        <v>955</v>
      </c>
      <c r="B913" s="36" t="s">
        <v>24</v>
      </c>
      <c r="C913" s="36" t="s">
        <v>1645</v>
      </c>
      <c r="D913" s="37">
        <v>37697</v>
      </c>
      <c r="E913" s="36" t="s">
        <v>2381</v>
      </c>
      <c r="F913" s="36" t="s">
        <v>2389</v>
      </c>
      <c r="G913" s="36" t="s">
        <v>28</v>
      </c>
      <c r="H913" s="36" t="s">
        <v>2390</v>
      </c>
      <c r="I913" s="36" t="s">
        <v>242</v>
      </c>
      <c r="J913" s="36" t="str">
        <f t="shared" si="38"/>
        <v>School EducationEmpowerment Division EstablishmentAPrincipalS23 (67700 - 208700)</v>
      </c>
      <c r="K913" s="36"/>
      <c r="L913" s="48" t="s">
        <v>243</v>
      </c>
      <c r="M913" s="38" t="s">
        <v>2391</v>
      </c>
      <c r="N913" s="36" t="s">
        <v>32</v>
      </c>
      <c r="O913" s="9"/>
      <c r="P913" s="7">
        <v>12</v>
      </c>
      <c r="Q913" s="7" t="s">
        <v>34</v>
      </c>
      <c r="R913" s="8"/>
      <c r="S913" s="8"/>
      <c r="T913" s="4" t="s">
        <v>3276</v>
      </c>
      <c r="U913" s="36" t="s">
        <v>34</v>
      </c>
      <c r="V913" s="38" t="s">
        <v>2392</v>
      </c>
      <c r="W913" s="39" t="s">
        <v>2393</v>
      </c>
      <c r="X913" s="36" t="s">
        <v>2394</v>
      </c>
      <c r="Y913" s="46">
        <v>36281</v>
      </c>
      <c r="Z913" s="56" t="s">
        <v>2395</v>
      </c>
      <c r="AA913" s="42" t="e">
        <f>_xlfn.XLOOKUP(C913,#REF!,#REF!,"",0,1)</f>
        <v>#REF!</v>
      </c>
      <c r="AB913" s="43">
        <f t="shared" si="40"/>
        <v>0</v>
      </c>
    </row>
    <row r="914" spans="1:28" ht="143.5" thickBot="1" x14ac:dyDescent="0.3">
      <c r="A914" s="36">
        <v>912</v>
      </c>
      <c r="B914" s="36" t="s">
        <v>24</v>
      </c>
      <c r="C914" s="36" t="s">
        <v>1645</v>
      </c>
      <c r="D914" s="37">
        <v>37697</v>
      </c>
      <c r="E914" s="36" t="s">
        <v>2381</v>
      </c>
      <c r="F914" s="36" t="s">
        <v>2382</v>
      </c>
      <c r="G914" s="36" t="s">
        <v>42</v>
      </c>
      <c r="H914" s="36" t="s">
        <v>2396</v>
      </c>
      <c r="I914" s="36" t="s">
        <v>67</v>
      </c>
      <c r="J914" s="36" t="str">
        <f t="shared" si="38"/>
        <v>School EducationAdministrative Division EstablishmentB (Gazetted)Superintendent (G.S.S.)S14 (38600 - 122800)</v>
      </c>
      <c r="K914" s="36" t="s">
        <v>45</v>
      </c>
      <c r="L914" s="36" t="s">
        <v>247</v>
      </c>
      <c r="M914" s="38" t="s">
        <v>2397</v>
      </c>
      <c r="N914" s="36" t="s">
        <v>47</v>
      </c>
      <c r="O914" s="6" t="s">
        <v>33</v>
      </c>
      <c r="P914" s="7">
        <v>30</v>
      </c>
      <c r="Q914" s="7" t="s">
        <v>34</v>
      </c>
      <c r="R914" s="8"/>
      <c r="S914" s="8"/>
      <c r="T914" s="7" t="s">
        <v>35</v>
      </c>
      <c r="U914" s="36" t="s">
        <v>34</v>
      </c>
      <c r="V914" s="38"/>
      <c r="W914" s="36"/>
      <c r="X914" s="36"/>
      <c r="Y914" s="36"/>
      <c r="Z914" s="56"/>
      <c r="AA914" s="42" t="e">
        <f>_xlfn.XLOOKUP(C914,#REF!,#REF!,"",0,1)</f>
        <v>#REF!</v>
      </c>
      <c r="AB914" s="43">
        <f t="shared" si="40"/>
        <v>0</v>
      </c>
    </row>
    <row r="915" spans="1:28" ht="117.5" thickBot="1" x14ac:dyDescent="0.3">
      <c r="A915" s="36">
        <v>913</v>
      </c>
      <c r="B915" s="36" t="s">
        <v>24</v>
      </c>
      <c r="C915" s="36" t="s">
        <v>1645</v>
      </c>
      <c r="D915" s="37">
        <v>37697</v>
      </c>
      <c r="E915" s="36" t="s">
        <v>2381</v>
      </c>
      <c r="F915" s="36" t="s">
        <v>2382</v>
      </c>
      <c r="G915" s="36" t="s">
        <v>42</v>
      </c>
      <c r="H915" s="36" t="s">
        <v>1011</v>
      </c>
      <c r="I915" s="36" t="s">
        <v>30</v>
      </c>
      <c r="J915" s="36" t="str">
        <f t="shared" si="38"/>
        <v>School EducationAdministrative Division EstablishmentB (Gazetted)Law OfficerS18 (49100 - 155800)</v>
      </c>
      <c r="K915" s="36" t="s">
        <v>408</v>
      </c>
      <c r="L915" s="36" t="s">
        <v>247</v>
      </c>
      <c r="M915" s="38" t="s">
        <v>2398</v>
      </c>
      <c r="N915" s="36" t="s">
        <v>410</v>
      </c>
      <c r="O915" s="6" t="s">
        <v>33</v>
      </c>
      <c r="P915" s="7">
        <v>0</v>
      </c>
      <c r="Q915" s="7" t="s">
        <v>34</v>
      </c>
      <c r="R915" s="8"/>
      <c r="S915" s="8"/>
      <c r="T915" s="7" t="s">
        <v>2395</v>
      </c>
      <c r="U915" s="36" t="s">
        <v>34</v>
      </c>
      <c r="V915" s="38" t="s">
        <v>2399</v>
      </c>
      <c r="W915" s="36" t="s">
        <v>2400</v>
      </c>
      <c r="X915" s="36" t="s">
        <v>2401</v>
      </c>
      <c r="Y915" s="36" t="s">
        <v>2402</v>
      </c>
      <c r="Z915" s="56" t="s">
        <v>2395</v>
      </c>
      <c r="AA915" s="42" t="e">
        <f>_xlfn.XLOOKUP(C915,#REF!,#REF!,"",0,1)</f>
        <v>#REF!</v>
      </c>
      <c r="AB915" s="43">
        <f t="shared" si="40"/>
        <v>0</v>
      </c>
    </row>
    <row r="916" spans="1:28" ht="286.5" thickBot="1" x14ac:dyDescent="0.3">
      <c r="A916" s="36">
        <v>914</v>
      </c>
      <c r="B916" s="36" t="s">
        <v>24</v>
      </c>
      <c r="C916" s="36" t="s">
        <v>1645</v>
      </c>
      <c r="D916" s="37">
        <v>37697</v>
      </c>
      <c r="E916" s="36" t="s">
        <v>2381</v>
      </c>
      <c r="F916" s="36" t="s">
        <v>2382</v>
      </c>
      <c r="G916" s="36" t="s">
        <v>42</v>
      </c>
      <c r="H916" s="36" t="s">
        <v>2403</v>
      </c>
      <c r="I916" s="36" t="s">
        <v>372</v>
      </c>
      <c r="J916" s="36" t="str">
        <f t="shared" si="38"/>
        <v>School EducationAdministrative Division EstablishmentB (Gazetted)Deputy Education Officer &amp; equivalentS17 (47600 - 151100)</v>
      </c>
      <c r="K916" s="36" t="s">
        <v>45</v>
      </c>
      <c r="L916" s="36" t="s">
        <v>247</v>
      </c>
      <c r="M916" s="38" t="s">
        <v>2100</v>
      </c>
      <c r="N916" s="36" t="s">
        <v>41</v>
      </c>
      <c r="O916" s="6" t="s">
        <v>33</v>
      </c>
      <c r="P916" s="7">
        <v>110</v>
      </c>
      <c r="Q916" s="7" t="s">
        <v>34</v>
      </c>
      <c r="R916" s="8"/>
      <c r="S916" s="8"/>
      <c r="T916" s="7" t="s">
        <v>35</v>
      </c>
      <c r="U916" s="36" t="s">
        <v>34</v>
      </c>
      <c r="V916" s="57" t="s">
        <v>2404</v>
      </c>
      <c r="W916" s="38" t="s">
        <v>2405</v>
      </c>
      <c r="X916" s="36" t="s">
        <v>2406</v>
      </c>
      <c r="Y916" s="36" t="s">
        <v>2387</v>
      </c>
      <c r="Z916" s="56" t="s">
        <v>2407</v>
      </c>
      <c r="AA916" s="42" t="e">
        <f>_xlfn.XLOOKUP(C916,#REF!,#REF!,"",0,1)</f>
        <v>#REF!</v>
      </c>
      <c r="AB916" s="43">
        <f t="shared" si="40"/>
        <v>0</v>
      </c>
    </row>
    <row r="917" spans="1:28" ht="156.5" thickBot="1" x14ac:dyDescent="0.3">
      <c r="A917" s="36">
        <v>956</v>
      </c>
      <c r="B917" s="36" t="s">
        <v>24</v>
      </c>
      <c r="C917" s="36" t="s">
        <v>1645</v>
      </c>
      <c r="D917" s="37">
        <v>37697</v>
      </c>
      <c r="E917" s="36" t="s">
        <v>2381</v>
      </c>
      <c r="F917" s="36" t="s">
        <v>2389</v>
      </c>
      <c r="G917" s="36" t="s">
        <v>42</v>
      </c>
      <c r="H917" s="36" t="s">
        <v>750</v>
      </c>
      <c r="I917" s="36" t="s">
        <v>44</v>
      </c>
      <c r="J917" s="36" t="str">
        <f t="shared" si="38"/>
        <v>School EducationEmpowerment Division EstablishmentB (Gazetted)LecturerS15 (41800 - 132300)</v>
      </c>
      <c r="K917" s="36" t="s">
        <v>2408</v>
      </c>
      <c r="L917" s="36" t="s">
        <v>247</v>
      </c>
      <c r="M917" s="38" t="s">
        <v>2409</v>
      </c>
      <c r="N917" s="36"/>
      <c r="O917" s="9"/>
      <c r="P917" s="7">
        <v>57</v>
      </c>
      <c r="Q917" s="7" t="s">
        <v>34</v>
      </c>
      <c r="R917" s="8"/>
      <c r="S917" s="8"/>
      <c r="T917" s="7" t="s">
        <v>35</v>
      </c>
      <c r="U917" s="36" t="s">
        <v>34</v>
      </c>
      <c r="V917" s="38" t="s">
        <v>2410</v>
      </c>
      <c r="W917" s="36" t="s">
        <v>2411</v>
      </c>
      <c r="X917" s="36" t="s">
        <v>2394</v>
      </c>
      <c r="Y917" s="46">
        <v>36281</v>
      </c>
      <c r="Z917" s="56" t="s">
        <v>2395</v>
      </c>
      <c r="AA917" s="42" t="e">
        <f>_xlfn.XLOOKUP(C917,#REF!,#REF!,"",0,1)</f>
        <v>#REF!</v>
      </c>
      <c r="AB917" s="43">
        <f t="shared" si="40"/>
        <v>0</v>
      </c>
    </row>
    <row r="918" spans="1:28" ht="260.5" thickBot="1" x14ac:dyDescent="0.3">
      <c r="A918" s="36">
        <v>957</v>
      </c>
      <c r="B918" s="36" t="s">
        <v>24</v>
      </c>
      <c r="C918" s="36" t="s">
        <v>1645</v>
      </c>
      <c r="D918" s="37">
        <v>37697</v>
      </c>
      <c r="E918" s="36" t="s">
        <v>2381</v>
      </c>
      <c r="F918" s="36" t="s">
        <v>2389</v>
      </c>
      <c r="G918" s="36" t="s">
        <v>42</v>
      </c>
      <c r="H918" s="36" t="s">
        <v>2412</v>
      </c>
      <c r="I918" s="36" t="s">
        <v>38</v>
      </c>
      <c r="J918" s="36" t="str">
        <f t="shared" si="38"/>
        <v>School EducationEmpowerment Division EstablishmentB (Gazetted)Senior LecturerS20 (56100 - 177500)</v>
      </c>
      <c r="K918" s="36" t="s">
        <v>2408</v>
      </c>
      <c r="L918" s="36" t="s">
        <v>247</v>
      </c>
      <c r="M918" s="38" t="s">
        <v>2413</v>
      </c>
      <c r="N918" s="36"/>
      <c r="O918" s="9"/>
      <c r="P918" s="7">
        <v>13</v>
      </c>
      <c r="Q918" s="7" t="s">
        <v>34</v>
      </c>
      <c r="R918" s="8"/>
      <c r="S918" s="8"/>
      <c r="T918" s="7" t="s">
        <v>35</v>
      </c>
      <c r="U918" s="36" t="s">
        <v>34</v>
      </c>
      <c r="V918" s="38" t="s">
        <v>2414</v>
      </c>
      <c r="W918" s="36" t="s">
        <v>2415</v>
      </c>
      <c r="X918" s="36" t="s">
        <v>2394</v>
      </c>
      <c r="Y918" s="46">
        <v>36281</v>
      </c>
      <c r="Z918" s="56" t="s">
        <v>2395</v>
      </c>
      <c r="AA918" s="42" t="e">
        <f>_xlfn.XLOOKUP(C918,#REF!,#REF!,"",0,1)</f>
        <v>#REF!</v>
      </c>
      <c r="AB918" s="43">
        <f t="shared" si="40"/>
        <v>0</v>
      </c>
    </row>
    <row r="919" spans="1:28" ht="117.5" thickBot="1" x14ac:dyDescent="0.3">
      <c r="A919" s="36">
        <v>915</v>
      </c>
      <c r="B919" s="36" t="s">
        <v>1521</v>
      </c>
      <c r="C919" s="36" t="s">
        <v>1645</v>
      </c>
      <c r="D919" s="37">
        <v>37697</v>
      </c>
      <c r="E919" s="36" t="s">
        <v>2381</v>
      </c>
      <c r="F919" s="36" t="s">
        <v>2416</v>
      </c>
      <c r="G919" s="36" t="s">
        <v>55</v>
      </c>
      <c r="H919" s="58" t="s">
        <v>2417</v>
      </c>
      <c r="I919" s="36" t="s">
        <v>276</v>
      </c>
      <c r="J919" s="36" t="str">
        <f t="shared" si="38"/>
        <v>School EducationAmravati School Education EstablishmentCLibrarian (GE/MSCERT/SIET/DIET)S10 (29200 - 92300)</v>
      </c>
      <c r="K919" s="36" t="s">
        <v>170</v>
      </c>
      <c r="L919" s="36" t="s">
        <v>228</v>
      </c>
      <c r="M919" s="38" t="s">
        <v>2418</v>
      </c>
      <c r="N919" s="36" t="s">
        <v>172</v>
      </c>
      <c r="O919" s="6" t="s">
        <v>33</v>
      </c>
      <c r="P919" s="8"/>
      <c r="Q919" s="7" t="s">
        <v>34</v>
      </c>
      <c r="R919" s="8"/>
      <c r="S919" s="8"/>
      <c r="T919" s="7" t="s">
        <v>35</v>
      </c>
      <c r="U919" s="36" t="s">
        <v>34</v>
      </c>
      <c r="V919" s="38" t="s">
        <v>2419</v>
      </c>
      <c r="W919" s="36"/>
      <c r="X919" s="59" t="s">
        <v>815</v>
      </c>
      <c r="Y919" s="50">
        <v>25121</v>
      </c>
      <c r="Z919" s="41"/>
      <c r="AA919" s="42" t="e">
        <f>_xlfn.XLOOKUP(C919,#REF!,#REF!,"",0,1)</f>
        <v>#REF!</v>
      </c>
      <c r="AB919" s="43">
        <f t="shared" si="40"/>
        <v>0</v>
      </c>
    </row>
    <row r="920" spans="1:28" ht="143.5" thickBot="1" x14ac:dyDescent="0.3">
      <c r="A920" s="36">
        <v>916</v>
      </c>
      <c r="B920" s="36" t="s">
        <v>24</v>
      </c>
      <c r="C920" s="36" t="s">
        <v>1645</v>
      </c>
      <c r="D920" s="37">
        <v>37697</v>
      </c>
      <c r="E920" s="36" t="s">
        <v>2381</v>
      </c>
      <c r="F920" s="36" t="s">
        <v>2416</v>
      </c>
      <c r="G920" s="36" t="s">
        <v>55</v>
      </c>
      <c r="H920" s="36" t="s">
        <v>2420</v>
      </c>
      <c r="I920" s="36" t="s">
        <v>276</v>
      </c>
      <c r="J920" s="36" t="str">
        <f t="shared" si="38"/>
        <v>School EducationAmravati School Education EstablishmentCStatistical Assistant (PE/GE/AE/ MSCERT/SIET/MSCE)S10 (29200 - 92300)</v>
      </c>
      <c r="K920" s="36" t="s">
        <v>115</v>
      </c>
      <c r="L920" s="36" t="s">
        <v>225</v>
      </c>
      <c r="M920" s="45" t="s">
        <v>2421</v>
      </c>
      <c r="N920" s="36" t="s">
        <v>179</v>
      </c>
      <c r="O920" s="6" t="s">
        <v>33</v>
      </c>
      <c r="P920" s="7">
        <v>3</v>
      </c>
      <c r="Q920" s="7" t="s">
        <v>34</v>
      </c>
      <c r="R920" s="8"/>
      <c r="S920" s="8"/>
      <c r="T920" s="7" t="s">
        <v>35</v>
      </c>
      <c r="U920" s="36" t="s">
        <v>34</v>
      </c>
      <c r="V920" s="39" t="s">
        <v>2422</v>
      </c>
      <c r="W920" s="36" t="s">
        <v>2423</v>
      </c>
      <c r="X920" s="36" t="s">
        <v>2424</v>
      </c>
      <c r="Y920" s="59" t="s">
        <v>2234</v>
      </c>
      <c r="Z920" s="56" t="s">
        <v>2395</v>
      </c>
      <c r="AA920" s="42" t="e">
        <f>_xlfn.XLOOKUP(C920,#REF!,#REF!,"",0,1)</f>
        <v>#REF!</v>
      </c>
      <c r="AB920" s="43">
        <f t="shared" si="40"/>
        <v>0</v>
      </c>
    </row>
    <row r="921" spans="1:28" ht="182.5" thickBot="1" x14ac:dyDescent="0.3">
      <c r="A921" s="36">
        <v>917</v>
      </c>
      <c r="B921" s="36" t="s">
        <v>24</v>
      </c>
      <c r="C921" s="36" t="s">
        <v>1645</v>
      </c>
      <c r="D921" s="37">
        <v>37697</v>
      </c>
      <c r="E921" s="36" t="s">
        <v>2381</v>
      </c>
      <c r="F921" s="36" t="s">
        <v>2416</v>
      </c>
      <c r="G921" s="36" t="s">
        <v>55</v>
      </c>
      <c r="H921" s="36" t="s">
        <v>2425</v>
      </c>
      <c r="I921" s="36" t="s">
        <v>57</v>
      </c>
      <c r="J921" s="36" t="str">
        <f t="shared" si="38"/>
        <v>School EducationAmravati School Education EstablishmentCChief Clerk, S.Sc./Prof. / Prof. Shi./ M.Ra.Shai.No.P.P. Head Clerk GE/PE/AE /SIETS13 (35400 - 112400)</v>
      </c>
      <c r="K921" s="36" t="s">
        <v>75</v>
      </c>
      <c r="L921" s="36" t="s">
        <v>228</v>
      </c>
      <c r="M921" s="45" t="s">
        <v>2426</v>
      </c>
      <c r="N921" s="36" t="s">
        <v>2427</v>
      </c>
      <c r="O921" s="6" t="s">
        <v>33</v>
      </c>
      <c r="P921" s="7">
        <v>5</v>
      </c>
      <c r="Q921" s="7" t="s">
        <v>34</v>
      </c>
      <c r="R921" s="8"/>
      <c r="S921" s="8"/>
      <c r="T921" s="7" t="s">
        <v>35</v>
      </c>
      <c r="U921" s="36" t="s">
        <v>34</v>
      </c>
      <c r="V921" s="60" t="s">
        <v>2428</v>
      </c>
      <c r="W921" s="36"/>
      <c r="X921" s="36" t="s">
        <v>2429</v>
      </c>
      <c r="Y921" s="50">
        <v>25121</v>
      </c>
      <c r="Z921" s="56" t="s">
        <v>2395</v>
      </c>
      <c r="AA921" s="42" t="e">
        <f>_xlfn.XLOOKUP(C921,#REF!,#REF!,"",0,1)</f>
        <v>#REF!</v>
      </c>
      <c r="AB921" s="43">
        <f t="shared" si="40"/>
        <v>0</v>
      </c>
    </row>
    <row r="922" spans="1:28" ht="143.5" thickBot="1" x14ac:dyDescent="0.3">
      <c r="A922" s="36">
        <v>918</v>
      </c>
      <c r="B922" s="36" t="s">
        <v>494</v>
      </c>
      <c r="C922" s="36" t="s">
        <v>1645</v>
      </c>
      <c r="D922" s="37">
        <v>37697</v>
      </c>
      <c r="E922" s="36" t="s">
        <v>2381</v>
      </c>
      <c r="F922" s="36" t="s">
        <v>2416</v>
      </c>
      <c r="G922" s="36" t="s">
        <v>55</v>
      </c>
      <c r="H922" s="49" t="s">
        <v>2430</v>
      </c>
      <c r="I922" s="36" t="s">
        <v>57</v>
      </c>
      <c r="J922" s="36" t="str">
        <f t="shared" si="38"/>
        <v>School EducationAmravati School Education EstablishmentCTechnician (PE/GE/AE/ MSCERT/SIET/MSCE)S13 (35400 - 112400)</v>
      </c>
      <c r="K922" s="36"/>
      <c r="L922" s="36"/>
      <c r="M922" s="45" t="s">
        <v>2431</v>
      </c>
      <c r="N922" s="36" t="s">
        <v>129</v>
      </c>
      <c r="O922" s="6" t="s">
        <v>33</v>
      </c>
      <c r="P922" s="8"/>
      <c r="Q922" s="7" t="s">
        <v>34</v>
      </c>
      <c r="R922" s="8"/>
      <c r="S922" s="8"/>
      <c r="T922" s="4" t="s">
        <v>3276</v>
      </c>
      <c r="U922" s="36" t="s">
        <v>34</v>
      </c>
      <c r="V922" s="39" t="s">
        <v>2432</v>
      </c>
      <c r="W922" s="36"/>
      <c r="X922" s="36" t="s">
        <v>2433</v>
      </c>
      <c r="Y922" s="36" t="s">
        <v>2434</v>
      </c>
      <c r="Z922" s="41"/>
      <c r="AA922" s="42" t="e">
        <f>_xlfn.XLOOKUP(C922,#REF!,#REF!,"",0,1)</f>
        <v>#REF!</v>
      </c>
      <c r="AB922" s="43">
        <f t="shared" si="40"/>
        <v>0</v>
      </c>
    </row>
    <row r="923" spans="1:28" ht="156.5" thickBot="1" x14ac:dyDescent="0.3">
      <c r="A923" s="36">
        <v>919</v>
      </c>
      <c r="B923" s="36" t="s">
        <v>494</v>
      </c>
      <c r="C923" s="36" t="s">
        <v>1645</v>
      </c>
      <c r="D923" s="37">
        <v>37697</v>
      </c>
      <c r="E923" s="36" t="s">
        <v>2381</v>
      </c>
      <c r="F923" s="36" t="s">
        <v>2416</v>
      </c>
      <c r="G923" s="36" t="s">
        <v>55</v>
      </c>
      <c r="H923" s="49" t="s">
        <v>2435</v>
      </c>
      <c r="I923" s="36" t="s">
        <v>67</v>
      </c>
      <c r="J923" s="36" t="str">
        <f t="shared" si="38"/>
        <v>School EducationAmravati School Education EstablishmentCWorkshop Assistance (PE/GE/AE/ MSCERT/SIET/MSCE)S14 (38600 - 122800)</v>
      </c>
      <c r="K923" s="36"/>
      <c r="L923" s="36"/>
      <c r="M923" s="45" t="s">
        <v>2436</v>
      </c>
      <c r="N923" s="36" t="s">
        <v>165</v>
      </c>
      <c r="O923" s="6" t="s">
        <v>33</v>
      </c>
      <c r="P923" s="8"/>
      <c r="Q923" s="7" t="s">
        <v>34</v>
      </c>
      <c r="R923" s="8"/>
      <c r="S923" s="8"/>
      <c r="T923" s="4" t="s">
        <v>3276</v>
      </c>
      <c r="U923" s="36" t="s">
        <v>34</v>
      </c>
      <c r="V923" s="38" t="s">
        <v>2437</v>
      </c>
      <c r="W923" s="36"/>
      <c r="X923" s="36" t="s">
        <v>2438</v>
      </c>
      <c r="Y923" s="36" t="s">
        <v>2434</v>
      </c>
      <c r="Z923" s="41" t="s">
        <v>2395</v>
      </c>
      <c r="AA923" s="42" t="e">
        <f>_xlfn.XLOOKUP(C923,#REF!,#REF!,"",0,1)</f>
        <v>#REF!</v>
      </c>
      <c r="AB923" s="43">
        <f t="shared" si="40"/>
        <v>0</v>
      </c>
    </row>
    <row r="924" spans="1:28" ht="260.5" thickBot="1" x14ac:dyDescent="0.3">
      <c r="A924" s="36">
        <v>920</v>
      </c>
      <c r="B924" s="36" t="s">
        <v>24</v>
      </c>
      <c r="C924" s="36" t="s">
        <v>1645</v>
      </c>
      <c r="D924" s="37">
        <v>37697</v>
      </c>
      <c r="E924" s="36" t="s">
        <v>2381</v>
      </c>
      <c r="F924" s="36" t="s">
        <v>2416</v>
      </c>
      <c r="G924" s="36" t="s">
        <v>55</v>
      </c>
      <c r="H924" s="36" t="s">
        <v>2439</v>
      </c>
      <c r="I924" s="36" t="s">
        <v>67</v>
      </c>
      <c r="J924" s="36" t="str">
        <f t="shared" si="38"/>
        <v>School EducationAmravati School Education EstablishmentCStenographer (Lower Grade), Sashi/Adult Education/M.R.Shai.Tech.No./ Marashai Samprap/Dist. Shi. Q. no. / Stenographer (Lower Grade), GE/AE/ MSIET/ MSCERT/ D.I.E.T.S14 (38600 - 122800)</v>
      </c>
      <c r="K924" s="36" t="s">
        <v>68</v>
      </c>
      <c r="L924" s="36" t="s">
        <v>231</v>
      </c>
      <c r="M924" s="38" t="s">
        <v>2440</v>
      </c>
      <c r="N924" s="36" t="s">
        <v>70</v>
      </c>
      <c r="O924" s="6" t="s">
        <v>33</v>
      </c>
      <c r="P924" s="7">
        <v>9</v>
      </c>
      <c r="Q924" s="7" t="s">
        <v>34</v>
      </c>
      <c r="R924" s="8"/>
      <c r="S924" s="8"/>
      <c r="T924" s="4" t="s">
        <v>3276</v>
      </c>
      <c r="U924" s="36" t="s">
        <v>34</v>
      </c>
      <c r="V924" s="38" t="s">
        <v>2441</v>
      </c>
      <c r="W924" s="36"/>
      <c r="X924" s="36"/>
      <c r="Y924" s="36"/>
      <c r="Z924" s="56"/>
      <c r="AA924" s="42" t="e">
        <f>_xlfn.XLOOKUP(C924,#REF!,#REF!,"",0,1)</f>
        <v>#REF!</v>
      </c>
      <c r="AB924" s="43">
        <f t="shared" si="40"/>
        <v>0</v>
      </c>
    </row>
    <row r="925" spans="1:28" ht="156.5" thickBot="1" x14ac:dyDescent="0.3">
      <c r="A925" s="36">
        <v>921</v>
      </c>
      <c r="B925" s="36" t="s">
        <v>532</v>
      </c>
      <c r="C925" s="36" t="s">
        <v>1645</v>
      </c>
      <c r="D925" s="37">
        <v>37697</v>
      </c>
      <c r="E925" s="36" t="s">
        <v>2381</v>
      </c>
      <c r="F925" s="36" t="s">
        <v>2416</v>
      </c>
      <c r="G925" s="36" t="s">
        <v>55</v>
      </c>
      <c r="H925" s="36" t="s">
        <v>2442</v>
      </c>
      <c r="I925" s="36" t="s">
        <v>67</v>
      </c>
      <c r="J925" s="36" t="str">
        <f t="shared" si="38"/>
        <v>School EducationAmravati School Education EstablishmentCAssistant Deputy Education Inspector (GE/AE)S14 (38600 - 122800)</v>
      </c>
      <c r="K925" s="36"/>
      <c r="L925" s="36"/>
      <c r="M925" s="38" t="s">
        <v>2443</v>
      </c>
      <c r="N925" s="36"/>
      <c r="O925" s="6" t="s">
        <v>33</v>
      </c>
      <c r="P925" s="8"/>
      <c r="Q925" s="7" t="s">
        <v>34</v>
      </c>
      <c r="R925" s="8"/>
      <c r="S925" s="8"/>
      <c r="T925" s="4" t="s">
        <v>3276</v>
      </c>
      <c r="U925" s="36" t="s">
        <v>34</v>
      </c>
      <c r="V925" s="38" t="s">
        <v>444</v>
      </c>
      <c r="W925" s="36"/>
      <c r="X925" s="36"/>
      <c r="Y925" s="36"/>
      <c r="Z925" s="41"/>
      <c r="AA925" s="42" t="e">
        <f>_xlfn.XLOOKUP(C925,#REF!,#REF!,"",0,1)</f>
        <v>#REF!</v>
      </c>
      <c r="AB925" s="43">
        <f t="shared" si="40"/>
        <v>0</v>
      </c>
    </row>
    <row r="926" spans="1:28" ht="221.5" thickBot="1" x14ac:dyDescent="0.3">
      <c r="A926" s="36">
        <v>922</v>
      </c>
      <c r="B926" s="36" t="s">
        <v>532</v>
      </c>
      <c r="C926" s="36" t="s">
        <v>1645</v>
      </c>
      <c r="D926" s="37">
        <v>37697</v>
      </c>
      <c r="E926" s="36" t="s">
        <v>2381</v>
      </c>
      <c r="F926" s="36" t="s">
        <v>2416</v>
      </c>
      <c r="G926" s="36" t="s">
        <v>55</v>
      </c>
      <c r="H926" s="36" t="s">
        <v>2444</v>
      </c>
      <c r="I926" s="36" t="s">
        <v>67</v>
      </c>
      <c r="J926" s="36" t="str">
        <f t="shared" si="38"/>
        <v>School EducationAmravati School Education EstablishmentCAdministration Officer (Municipal Board of Education), General Education / Admn. Officer (Municipal School Board), GES14 (38600 - 122800)</v>
      </c>
      <c r="K926" s="36"/>
      <c r="L926" s="36"/>
      <c r="M926" s="38" t="s">
        <v>2445</v>
      </c>
      <c r="N926" s="36"/>
      <c r="O926" s="6" t="s">
        <v>33</v>
      </c>
      <c r="P926" s="8"/>
      <c r="Q926" s="7" t="s">
        <v>34</v>
      </c>
      <c r="R926" s="8"/>
      <c r="S926" s="8"/>
      <c r="T926" s="4" t="s">
        <v>3276</v>
      </c>
      <c r="U926" s="36" t="s">
        <v>34</v>
      </c>
      <c r="V926" s="38" t="s">
        <v>444</v>
      </c>
      <c r="W926" s="36"/>
      <c r="X926" s="36"/>
      <c r="Y926" s="36"/>
      <c r="Z926" s="41"/>
      <c r="AA926" s="42" t="e">
        <f>_xlfn.XLOOKUP(C926,#REF!,#REF!,"",0,1)</f>
        <v>#REF!</v>
      </c>
      <c r="AB926" s="43">
        <f t="shared" si="40"/>
        <v>0</v>
      </c>
    </row>
    <row r="927" spans="1:28" ht="130.5" thickBot="1" x14ac:dyDescent="0.3">
      <c r="A927" s="44">
        <v>923</v>
      </c>
      <c r="B927" s="44" t="s">
        <v>24</v>
      </c>
      <c r="C927" s="36" t="s">
        <v>1645</v>
      </c>
      <c r="D927" s="37">
        <v>37697</v>
      </c>
      <c r="E927" s="44" t="s">
        <v>2381</v>
      </c>
      <c r="F927" s="44" t="s">
        <v>2416</v>
      </c>
      <c r="G927" s="44" t="s">
        <v>55</v>
      </c>
      <c r="H927" s="44" t="s">
        <v>2446</v>
      </c>
      <c r="I927" s="44" t="s">
        <v>44</v>
      </c>
      <c r="J927" s="44" t="str">
        <f t="shared" si="38"/>
        <v>School EducationAmravati School Education EstablishmentCScience Supervisor (GE/MSCERT)S15 (41800 - 132300)</v>
      </c>
      <c r="K927" s="44"/>
      <c r="L927" s="44" t="s">
        <v>261</v>
      </c>
      <c r="M927" s="45" t="s">
        <v>2447</v>
      </c>
      <c r="N927" s="44" t="s">
        <v>113</v>
      </c>
      <c r="O927" s="11" t="s">
        <v>33</v>
      </c>
      <c r="P927" s="13"/>
      <c r="Q927" s="12" t="s">
        <v>34</v>
      </c>
      <c r="R927" s="13"/>
      <c r="S927" s="13"/>
      <c r="T927" s="4" t="s">
        <v>3276</v>
      </c>
      <c r="U927" s="44" t="s">
        <v>34</v>
      </c>
      <c r="V927" s="45" t="s">
        <v>2448</v>
      </c>
      <c r="W927" s="44"/>
      <c r="X927" s="44" t="s">
        <v>2449</v>
      </c>
      <c r="Y927" s="44" t="s">
        <v>2450</v>
      </c>
      <c r="Z927" s="44" t="s">
        <v>2451</v>
      </c>
      <c r="AA927" s="42" t="e">
        <f>_xlfn.XLOOKUP(C927,#REF!,#REF!,"",0,1)</f>
        <v>#REF!</v>
      </c>
      <c r="AB927" s="43">
        <f t="shared" si="40"/>
        <v>0</v>
      </c>
    </row>
    <row r="928" spans="1:28" ht="143.5" thickBot="1" x14ac:dyDescent="0.3">
      <c r="A928" s="36">
        <v>924</v>
      </c>
      <c r="B928" s="36" t="s">
        <v>24</v>
      </c>
      <c r="C928" s="36" t="s">
        <v>1645</v>
      </c>
      <c r="D928" s="37">
        <v>37697</v>
      </c>
      <c r="E928" s="36" t="s">
        <v>2381</v>
      </c>
      <c r="F928" s="36" t="s">
        <v>2416</v>
      </c>
      <c r="G928" s="36" t="s">
        <v>55</v>
      </c>
      <c r="H928" s="36" t="s">
        <v>2452</v>
      </c>
      <c r="I928" s="36" t="s">
        <v>44</v>
      </c>
      <c r="J928" s="36" t="str">
        <f t="shared" si="38"/>
        <v>School EducationAmravati School Education EstablishmentCAssistant Project Officer (AE) (Planning)S15 (41800 - 132300)</v>
      </c>
      <c r="K928" s="36" t="s">
        <v>2453</v>
      </c>
      <c r="L928" s="36" t="s">
        <v>225</v>
      </c>
      <c r="M928" s="45" t="s">
        <v>2447</v>
      </c>
      <c r="N928" s="36" t="s">
        <v>2454</v>
      </c>
      <c r="O928" s="6" t="s">
        <v>33</v>
      </c>
      <c r="P928" s="7">
        <v>8</v>
      </c>
      <c r="Q928" s="7" t="s">
        <v>34</v>
      </c>
      <c r="R928" s="8"/>
      <c r="S928" s="8"/>
      <c r="T928" s="7" t="s">
        <v>35</v>
      </c>
      <c r="U928" s="36" t="s">
        <v>34</v>
      </c>
      <c r="V928" s="38" t="s">
        <v>2455</v>
      </c>
      <c r="W928" s="36"/>
      <c r="X928" s="36" t="s">
        <v>2456</v>
      </c>
      <c r="Y928" s="36" t="s">
        <v>2450</v>
      </c>
      <c r="Z928" s="36" t="s">
        <v>2451</v>
      </c>
      <c r="AA928" s="42" t="e">
        <f>_xlfn.XLOOKUP(C928,#REF!,#REF!,"",0,1)</f>
        <v>#REF!</v>
      </c>
      <c r="AB928" s="43">
        <f t="shared" si="40"/>
        <v>0</v>
      </c>
    </row>
    <row r="929" spans="1:28" ht="156.5" thickBot="1" x14ac:dyDescent="0.3">
      <c r="A929" s="44">
        <v>925</v>
      </c>
      <c r="B929" s="44" t="s">
        <v>24</v>
      </c>
      <c r="C929" s="36" t="s">
        <v>1645</v>
      </c>
      <c r="D929" s="37">
        <v>37697</v>
      </c>
      <c r="E929" s="44" t="s">
        <v>2381</v>
      </c>
      <c r="F929" s="44" t="s">
        <v>2416</v>
      </c>
      <c r="G929" s="44" t="s">
        <v>55</v>
      </c>
      <c r="H929" s="61" t="s">
        <v>2457</v>
      </c>
      <c r="I929" s="44" t="s">
        <v>44</v>
      </c>
      <c r="J929" s="44" t="str">
        <f t="shared" si="38"/>
        <v>School EducationAmravati School Education EstablishmentCCounselor (General Education / Adult Education)S15 (41800 - 132300)</v>
      </c>
      <c r="K929" s="44"/>
      <c r="L929" s="44" t="s">
        <v>261</v>
      </c>
      <c r="M929" s="45" t="s">
        <v>2447</v>
      </c>
      <c r="N929" s="44" t="s">
        <v>113</v>
      </c>
      <c r="O929" s="11" t="s">
        <v>33</v>
      </c>
      <c r="P929" s="13"/>
      <c r="Q929" s="12" t="s">
        <v>34</v>
      </c>
      <c r="R929" s="13"/>
      <c r="S929" s="13"/>
      <c r="T929" s="4" t="s">
        <v>3276</v>
      </c>
      <c r="U929" s="44" t="s">
        <v>34</v>
      </c>
      <c r="V929" s="45" t="s">
        <v>2458</v>
      </c>
      <c r="W929" s="44"/>
      <c r="X929" s="44" t="s">
        <v>2449</v>
      </c>
      <c r="Y929" s="44" t="s">
        <v>2450</v>
      </c>
      <c r="Z929" s="44" t="s">
        <v>2451</v>
      </c>
      <c r="AA929" s="42" t="e">
        <f>_xlfn.XLOOKUP(C929,#REF!,#REF!,"",0,1)</f>
        <v>#REF!</v>
      </c>
      <c r="AB929" s="43">
        <f t="shared" si="40"/>
        <v>0</v>
      </c>
    </row>
    <row r="930" spans="1:28" ht="299.5" thickBot="1" x14ac:dyDescent="0.3">
      <c r="A930" s="36">
        <v>926</v>
      </c>
      <c r="B930" s="36" t="s">
        <v>983</v>
      </c>
      <c r="C930" s="36" t="s">
        <v>1645</v>
      </c>
      <c r="D930" s="37">
        <v>37697</v>
      </c>
      <c r="E930" s="36" t="s">
        <v>2381</v>
      </c>
      <c r="F930" s="36" t="s">
        <v>2416</v>
      </c>
      <c r="G930" s="36" t="s">
        <v>55</v>
      </c>
      <c r="H930" s="36" t="s">
        <v>2459</v>
      </c>
      <c r="I930" s="36" t="s">
        <v>44</v>
      </c>
      <c r="J930" s="36" t="str">
        <f t="shared" si="38"/>
        <v>School EducationAmravati School Education EstablishmentCAssistant Teacher, Government Teachers College / S. T. College, Mumbai / Government Vidyaniketane / Asst. Teacher, Govt. D.Ed. College/S.T. College, Mumbai/ Govt. Vidya NiketanS15 (41800 - 132300)</v>
      </c>
      <c r="K930" s="36"/>
      <c r="L930" s="36"/>
      <c r="M930" s="45" t="s">
        <v>2460</v>
      </c>
      <c r="N930" s="36" t="s">
        <v>986</v>
      </c>
      <c r="O930" s="6" t="s">
        <v>33</v>
      </c>
      <c r="P930" s="8"/>
      <c r="Q930" s="7" t="s">
        <v>34</v>
      </c>
      <c r="R930" s="8"/>
      <c r="S930" s="8"/>
      <c r="T930" s="4" t="s">
        <v>3276</v>
      </c>
      <c r="U930" s="36" t="s">
        <v>34</v>
      </c>
      <c r="V930" s="38"/>
      <c r="W930" s="36"/>
      <c r="X930" s="36"/>
      <c r="Y930" s="36"/>
      <c r="Z930" s="41"/>
      <c r="AA930" s="42" t="e">
        <f>_xlfn.XLOOKUP(C930,#REF!,#REF!,"",0,1)</f>
        <v>#REF!</v>
      </c>
      <c r="AB930" s="43">
        <f t="shared" si="40"/>
        <v>0</v>
      </c>
    </row>
    <row r="931" spans="1:28" ht="130.5" thickBot="1" x14ac:dyDescent="0.3">
      <c r="A931" s="36">
        <v>927</v>
      </c>
      <c r="B931" s="36" t="s">
        <v>24</v>
      </c>
      <c r="C931" s="36" t="s">
        <v>1645</v>
      </c>
      <c r="D931" s="37">
        <v>37697</v>
      </c>
      <c r="E931" s="36" t="s">
        <v>2381</v>
      </c>
      <c r="F931" s="36" t="s">
        <v>2416</v>
      </c>
      <c r="G931" s="36" t="s">
        <v>55</v>
      </c>
      <c r="H931" s="36" t="s">
        <v>2461</v>
      </c>
      <c r="I931" s="36" t="s">
        <v>169</v>
      </c>
      <c r="J931" s="36" t="str">
        <f t="shared" si="38"/>
        <v>School EducationAmravati School Education EstablishmentCLaboratory Assistant, General EducationS7 (21700 - 69100)</v>
      </c>
      <c r="K931" s="36" t="s">
        <v>377</v>
      </c>
      <c r="L931" s="36" t="s">
        <v>225</v>
      </c>
      <c r="M931" s="38" t="s">
        <v>2462</v>
      </c>
      <c r="N931" s="36" t="s">
        <v>379</v>
      </c>
      <c r="O931" s="6" t="s">
        <v>33</v>
      </c>
      <c r="P931" s="7"/>
      <c r="Q931" s="7" t="s">
        <v>34</v>
      </c>
      <c r="R931" s="8"/>
      <c r="S931" s="8"/>
      <c r="T931" s="7" t="s">
        <v>35</v>
      </c>
      <c r="U931" s="36" t="s">
        <v>34</v>
      </c>
      <c r="V931" s="38" t="s">
        <v>2463</v>
      </c>
      <c r="W931" s="36"/>
      <c r="X931" s="36" t="s">
        <v>2464</v>
      </c>
      <c r="Y931" s="36" t="s">
        <v>2465</v>
      </c>
      <c r="Z931" s="56"/>
      <c r="AA931" s="42" t="e">
        <f>_xlfn.XLOOKUP(C931,#REF!,#REF!,"",0,1)</f>
        <v>#REF!</v>
      </c>
      <c r="AB931" s="43">
        <f t="shared" si="40"/>
        <v>0</v>
      </c>
    </row>
    <row r="932" spans="1:28" ht="130.5" thickBot="1" x14ac:dyDescent="0.3">
      <c r="A932" s="36">
        <v>928</v>
      </c>
      <c r="B932" s="36" t="s">
        <v>24</v>
      </c>
      <c r="C932" s="36" t="s">
        <v>1645</v>
      </c>
      <c r="D932" s="37">
        <v>37697</v>
      </c>
      <c r="E932" s="36" t="s">
        <v>2381</v>
      </c>
      <c r="F932" s="36" t="s">
        <v>2416</v>
      </c>
      <c r="G932" s="36" t="s">
        <v>55</v>
      </c>
      <c r="H932" s="36" t="s">
        <v>2466</v>
      </c>
      <c r="I932" s="36" t="s">
        <v>74</v>
      </c>
      <c r="J932" s="36" t="str">
        <f t="shared" si="38"/>
        <v>School EducationAmravati School Education EstablishmentCJunior Clerk (PE/GE/AE/ MSCERT/SIET/MSCE)S6 (19900 - 63200)</v>
      </c>
      <c r="K932" s="36" t="s">
        <v>75</v>
      </c>
      <c r="L932" s="36" t="s">
        <v>228</v>
      </c>
      <c r="M932" s="45" t="s">
        <v>2467</v>
      </c>
      <c r="N932" s="36" t="s">
        <v>70</v>
      </c>
      <c r="O932" s="6" t="s">
        <v>33</v>
      </c>
      <c r="P932" s="7">
        <v>18</v>
      </c>
      <c r="Q932" s="7" t="s">
        <v>34</v>
      </c>
      <c r="R932" s="8"/>
      <c r="S932" s="8"/>
      <c r="T932" s="7" t="s">
        <v>61</v>
      </c>
      <c r="U932" s="36" t="s">
        <v>100</v>
      </c>
      <c r="V932" s="38" t="s">
        <v>2468</v>
      </c>
      <c r="W932" s="36"/>
      <c r="X932" s="36" t="s">
        <v>2469</v>
      </c>
      <c r="Y932" s="50">
        <v>25121</v>
      </c>
      <c r="Z932" s="56"/>
      <c r="AA932" s="42" t="e">
        <f>_xlfn.XLOOKUP(C932,#REF!,#REF!,"",0,1)</f>
        <v>#REF!</v>
      </c>
      <c r="AB932" s="43">
        <f t="shared" si="40"/>
        <v>0</v>
      </c>
    </row>
    <row r="933" spans="1:28" ht="117.5" thickBot="1" x14ac:dyDescent="0.3">
      <c r="A933" s="36">
        <v>929</v>
      </c>
      <c r="B933" s="36" t="s">
        <v>494</v>
      </c>
      <c r="C933" s="36" t="s">
        <v>1645</v>
      </c>
      <c r="D933" s="37">
        <v>37697</v>
      </c>
      <c r="E933" s="36" t="s">
        <v>2381</v>
      </c>
      <c r="F933" s="36" t="s">
        <v>2416</v>
      </c>
      <c r="G933" s="36" t="s">
        <v>55</v>
      </c>
      <c r="H933" s="36" t="s">
        <v>2470</v>
      </c>
      <c r="I933" s="36" t="s">
        <v>74</v>
      </c>
      <c r="J933" s="36" t="str">
        <f t="shared" si="38"/>
        <v>School EducationAmravati School Education EstablishmentCMetron (G.E.) / Metron (G.E.)S6 (19900 - 63200)</v>
      </c>
      <c r="K933" s="36"/>
      <c r="L933" s="36"/>
      <c r="M933" s="38" t="s">
        <v>480</v>
      </c>
      <c r="N933" s="36" t="s">
        <v>496</v>
      </c>
      <c r="O933" s="6" t="s">
        <v>33</v>
      </c>
      <c r="P933" s="8"/>
      <c r="Q933" s="7" t="s">
        <v>34</v>
      </c>
      <c r="R933" s="8"/>
      <c r="S933" s="8"/>
      <c r="T933" s="4" t="s">
        <v>3276</v>
      </c>
      <c r="U933" s="36" t="s">
        <v>34</v>
      </c>
      <c r="V933" s="38"/>
      <c r="W933" s="36"/>
      <c r="X933" s="36"/>
      <c r="Y933" s="36"/>
      <c r="Z933" s="41"/>
      <c r="AA933" s="42" t="e">
        <f>_xlfn.XLOOKUP(C933,#REF!,#REF!,"",0,1)</f>
        <v>#REF!</v>
      </c>
      <c r="AB933" s="43">
        <f t="shared" si="40"/>
        <v>0</v>
      </c>
    </row>
    <row r="934" spans="1:28" ht="130.5" thickBot="1" x14ac:dyDescent="0.3">
      <c r="A934" s="36">
        <v>930</v>
      </c>
      <c r="B934" s="36" t="s">
        <v>24</v>
      </c>
      <c r="C934" s="36" t="s">
        <v>1645</v>
      </c>
      <c r="D934" s="37">
        <v>37697</v>
      </c>
      <c r="E934" s="36" t="s">
        <v>2381</v>
      </c>
      <c r="F934" s="36" t="s">
        <v>2416</v>
      </c>
      <c r="G934" s="36" t="s">
        <v>55</v>
      </c>
      <c r="H934" s="36" t="s">
        <v>2471</v>
      </c>
      <c r="I934" s="36" t="s">
        <v>80</v>
      </c>
      <c r="J934" s="36" t="str">
        <f t="shared" si="38"/>
        <v>School EducationAmravati School Education EstablishmentCSenior Clerk (PE/GE/AE/ MSCERT/SIET/MSCE)S8 (25500 - 81100)</v>
      </c>
      <c r="K934" s="36" t="s">
        <v>75</v>
      </c>
      <c r="L934" s="36" t="s">
        <v>228</v>
      </c>
      <c r="M934" s="45" t="s">
        <v>2426</v>
      </c>
      <c r="N934" s="36" t="s">
        <v>2427</v>
      </c>
      <c r="O934" s="6" t="s">
        <v>33</v>
      </c>
      <c r="P934" s="7">
        <v>11</v>
      </c>
      <c r="Q934" s="7" t="s">
        <v>34</v>
      </c>
      <c r="R934" s="8"/>
      <c r="S934" s="8"/>
      <c r="T934" s="7" t="s">
        <v>35</v>
      </c>
      <c r="U934" s="36" t="s">
        <v>34</v>
      </c>
      <c r="V934" s="38" t="s">
        <v>2472</v>
      </c>
      <c r="W934" s="36"/>
      <c r="X934" s="36" t="s">
        <v>2469</v>
      </c>
      <c r="Y934" s="50">
        <v>25121</v>
      </c>
      <c r="Z934" s="56"/>
      <c r="AA934" s="42" t="e">
        <f>_xlfn.XLOOKUP(C934,#REF!,#REF!,"",0,1)</f>
        <v>#REF!</v>
      </c>
      <c r="AB934" s="43">
        <f t="shared" si="40"/>
        <v>0</v>
      </c>
    </row>
    <row r="935" spans="1:28" ht="143.5" thickBot="1" x14ac:dyDescent="0.3">
      <c r="A935" s="36">
        <v>931</v>
      </c>
      <c r="B935" s="36" t="s">
        <v>102</v>
      </c>
      <c r="C935" s="36" t="s">
        <v>1645</v>
      </c>
      <c r="D935" s="37">
        <v>37697</v>
      </c>
      <c r="E935" s="36" t="s">
        <v>2381</v>
      </c>
      <c r="F935" s="36" t="s">
        <v>2473</v>
      </c>
      <c r="G935" s="36" t="s">
        <v>55</v>
      </c>
      <c r="H935" s="58" t="s">
        <v>2474</v>
      </c>
      <c r="I935" s="36" t="s">
        <v>276</v>
      </c>
      <c r="J935" s="36" t="str">
        <f t="shared" si="38"/>
        <v>School EducationCh Sambhajinagar School Education EstablishmentCGrathampal, (V.M.S.) / Librarian, (I.V.G.)S10 (29200 - 92300)</v>
      </c>
      <c r="K935" s="36"/>
      <c r="L935" s="36"/>
      <c r="M935" s="38" t="s">
        <v>2475</v>
      </c>
      <c r="N935" s="36" t="s">
        <v>1521</v>
      </c>
      <c r="O935" s="6" t="s">
        <v>33</v>
      </c>
      <c r="P935" s="8"/>
      <c r="Q935" s="7" t="s">
        <v>34</v>
      </c>
      <c r="R935" s="8"/>
      <c r="S935" s="8"/>
      <c r="T935" s="4" t="s">
        <v>3276</v>
      </c>
      <c r="U935" s="36" t="s">
        <v>34</v>
      </c>
      <c r="V935" s="38"/>
      <c r="W935" s="36"/>
      <c r="X935" s="36"/>
      <c r="Y935" s="36"/>
      <c r="Z935" s="41"/>
      <c r="AA935" s="42" t="e">
        <f>_xlfn.XLOOKUP(C935,#REF!,#REF!,"",0,1)</f>
        <v>#REF!</v>
      </c>
      <c r="AB935" s="43">
        <f t="shared" si="40"/>
        <v>0</v>
      </c>
    </row>
    <row r="936" spans="1:28" ht="117.5" thickBot="1" x14ac:dyDescent="0.3">
      <c r="A936" s="36">
        <v>932</v>
      </c>
      <c r="B936" s="36" t="s">
        <v>24</v>
      </c>
      <c r="C936" s="36" t="s">
        <v>1645</v>
      </c>
      <c r="D936" s="37">
        <v>37697</v>
      </c>
      <c r="E936" s="36" t="s">
        <v>2381</v>
      </c>
      <c r="F936" s="36" t="s">
        <v>2473</v>
      </c>
      <c r="G936" s="36" t="s">
        <v>55</v>
      </c>
      <c r="H936" s="36" t="s">
        <v>2476</v>
      </c>
      <c r="I936" s="36" t="s">
        <v>57</v>
      </c>
      <c r="J936" s="36" t="str">
        <f t="shared" si="38"/>
        <v>School EducationCh Sambhajinagar School Education EstablishmentCChief ClerkS13 (35400 - 112400)</v>
      </c>
      <c r="K936" s="36" t="s">
        <v>75</v>
      </c>
      <c r="L936" s="36" t="s">
        <v>228</v>
      </c>
      <c r="M936" s="45" t="s">
        <v>2477</v>
      </c>
      <c r="N936" s="36" t="s">
        <v>2427</v>
      </c>
      <c r="O936" s="6" t="s">
        <v>33</v>
      </c>
      <c r="P936" s="7">
        <v>3</v>
      </c>
      <c r="Q936" s="7" t="s">
        <v>34</v>
      </c>
      <c r="R936" s="8"/>
      <c r="S936" s="8"/>
      <c r="T936" s="7" t="s">
        <v>35</v>
      </c>
      <c r="U936" s="36" t="s">
        <v>34</v>
      </c>
      <c r="V936" s="38" t="s">
        <v>2472</v>
      </c>
      <c r="W936" s="36"/>
      <c r="X936" s="36" t="s">
        <v>2469</v>
      </c>
      <c r="Y936" s="50">
        <v>25121</v>
      </c>
      <c r="Z936" s="56"/>
      <c r="AA936" s="42" t="e">
        <f>_xlfn.XLOOKUP(C936,#REF!,#REF!,"",0,1)</f>
        <v>#REF!</v>
      </c>
      <c r="AB936" s="43">
        <f t="shared" si="40"/>
        <v>0</v>
      </c>
    </row>
    <row r="937" spans="1:28" ht="143.5" thickBot="1" x14ac:dyDescent="0.3">
      <c r="A937" s="36">
        <v>933</v>
      </c>
      <c r="B937" s="36" t="s">
        <v>102</v>
      </c>
      <c r="C937" s="36" t="s">
        <v>1645</v>
      </c>
      <c r="D937" s="37">
        <v>37697</v>
      </c>
      <c r="E937" s="36" t="s">
        <v>2381</v>
      </c>
      <c r="F937" s="36" t="s">
        <v>2473</v>
      </c>
      <c r="G937" s="36" t="s">
        <v>55</v>
      </c>
      <c r="H937" s="58" t="s">
        <v>2417</v>
      </c>
      <c r="I937" s="36" t="s">
        <v>67</v>
      </c>
      <c r="J937" s="36" t="str">
        <f t="shared" si="38"/>
        <v>School EducationCh Sambhajinagar School Education EstablishmentCLibrarian (GE/MSCERT/SIET/DIET)S14 (38600 - 122800)</v>
      </c>
      <c r="K937" s="36" t="s">
        <v>170</v>
      </c>
      <c r="L937" s="36" t="s">
        <v>228</v>
      </c>
      <c r="M937" s="38" t="s">
        <v>2418</v>
      </c>
      <c r="N937" s="36" t="s">
        <v>172</v>
      </c>
      <c r="O937" s="6" t="s">
        <v>33</v>
      </c>
      <c r="P937" s="8"/>
      <c r="Q937" s="7" t="s">
        <v>34</v>
      </c>
      <c r="R937" s="8"/>
      <c r="S937" s="8"/>
      <c r="T937" s="7" t="s">
        <v>35</v>
      </c>
      <c r="U937" s="36" t="s">
        <v>34</v>
      </c>
      <c r="V937" s="38" t="s">
        <v>2419</v>
      </c>
      <c r="W937" s="36"/>
      <c r="X937" s="36" t="s">
        <v>815</v>
      </c>
      <c r="Y937" s="50">
        <v>25121</v>
      </c>
      <c r="Z937" s="41"/>
      <c r="AA937" s="42" t="e">
        <f>_xlfn.XLOOKUP(C937,#REF!,#REF!,"",0,1)</f>
        <v>#REF!</v>
      </c>
      <c r="AB937" s="43">
        <f t="shared" si="40"/>
        <v>0</v>
      </c>
    </row>
    <row r="938" spans="1:28" ht="273.5" thickBot="1" x14ac:dyDescent="0.3">
      <c r="A938" s="36">
        <v>934</v>
      </c>
      <c r="B938" s="36" t="s">
        <v>24</v>
      </c>
      <c r="C938" s="36" t="s">
        <v>1645</v>
      </c>
      <c r="D938" s="37">
        <v>37697</v>
      </c>
      <c r="E938" s="61" t="s">
        <v>2381</v>
      </c>
      <c r="F938" s="61" t="s">
        <v>2473</v>
      </c>
      <c r="G938" s="61" t="s">
        <v>55</v>
      </c>
      <c r="H938" s="61" t="s">
        <v>2439</v>
      </c>
      <c r="I938" s="61" t="s">
        <v>67</v>
      </c>
      <c r="J938" s="61" t="str">
        <f t="shared" si="38"/>
        <v>School EducationCh Sambhajinagar School Education EstablishmentCStenographer (Lower Grade), Sashi/Adult Education/M.R.Shai.Tech.No./ Marashai Samprap/Dist. Shi. Q. no. / Stenographer (Lower Grade), GE/AE/ MSIET/ MSCERT/ D.I.E.T.S14 (38600 - 122800)</v>
      </c>
      <c r="K938" s="61" t="s">
        <v>68</v>
      </c>
      <c r="L938" s="61" t="s">
        <v>231</v>
      </c>
      <c r="M938" s="62" t="s">
        <v>2478</v>
      </c>
      <c r="N938" s="61" t="s">
        <v>70</v>
      </c>
      <c r="O938" s="22" t="s">
        <v>33</v>
      </c>
      <c r="P938" s="23"/>
      <c r="Q938" s="24" t="s">
        <v>34</v>
      </c>
      <c r="R938" s="23"/>
      <c r="S938" s="23"/>
      <c r="T938" s="4" t="s">
        <v>3276</v>
      </c>
      <c r="U938" s="61" t="s">
        <v>34</v>
      </c>
      <c r="V938" s="61" t="s">
        <v>2441</v>
      </c>
      <c r="W938" s="61"/>
      <c r="X938" s="61"/>
      <c r="Y938" s="61"/>
      <c r="Z938" s="63"/>
      <c r="AA938" s="42" t="e">
        <f>_xlfn.XLOOKUP(C938,#REF!,#REF!,"",0,1)</f>
        <v>#REF!</v>
      </c>
      <c r="AB938" s="43">
        <f t="shared" si="40"/>
        <v>0</v>
      </c>
    </row>
    <row r="939" spans="1:28" ht="286.5" thickBot="1" x14ac:dyDescent="0.3">
      <c r="A939" s="36">
        <v>935</v>
      </c>
      <c r="B939" s="36" t="s">
        <v>24</v>
      </c>
      <c r="C939" s="36" t="s">
        <v>1645</v>
      </c>
      <c r="D939" s="37">
        <v>37697</v>
      </c>
      <c r="E939" s="36" t="s">
        <v>2381</v>
      </c>
      <c r="F939" s="36" t="s">
        <v>2473</v>
      </c>
      <c r="G939" s="36" t="s">
        <v>55</v>
      </c>
      <c r="H939" s="36" t="s">
        <v>2479</v>
      </c>
      <c r="I939" s="36" t="s">
        <v>44</v>
      </c>
      <c r="J939" s="36" t="str">
        <f t="shared" si="38"/>
        <v>School EducationCh Sambhajinagar School Education EstablishmentCStenographer (Higher Grade) (General Education / Maharashtra State Council of Educational Research and Training / Adult Education) / Stenographer(Higher Grade)(G.E./MSCERT/A.E.)S15 (41800 - 132300)</v>
      </c>
      <c r="K939" s="36" t="s">
        <v>1335</v>
      </c>
      <c r="L939" s="36" t="s">
        <v>228</v>
      </c>
      <c r="M939" s="38" t="s">
        <v>2480</v>
      </c>
      <c r="N939" s="36" t="s">
        <v>70</v>
      </c>
      <c r="O939" s="6" t="s">
        <v>33</v>
      </c>
      <c r="P939" s="7"/>
      <c r="Q939" s="7" t="s">
        <v>34</v>
      </c>
      <c r="R939" s="8"/>
      <c r="S939" s="8"/>
      <c r="T939" s="7" t="s">
        <v>35</v>
      </c>
      <c r="U939" s="36" t="s">
        <v>34</v>
      </c>
      <c r="V939" s="38" t="s">
        <v>2441</v>
      </c>
      <c r="W939" s="36"/>
      <c r="X939" s="36"/>
      <c r="Y939" s="36"/>
      <c r="Z939" s="56"/>
      <c r="AA939" s="42" t="e">
        <f>_xlfn.XLOOKUP(C939,#REF!,#REF!,"",0,1)</f>
        <v>#REF!</v>
      </c>
      <c r="AB939" s="43">
        <f t="shared" si="40"/>
        <v>0</v>
      </c>
    </row>
    <row r="940" spans="1:28" ht="143.5" thickBot="1" x14ac:dyDescent="0.3">
      <c r="A940" s="44">
        <v>936</v>
      </c>
      <c r="B940" s="44" t="s">
        <v>24</v>
      </c>
      <c r="C940" s="36" t="s">
        <v>1645</v>
      </c>
      <c r="D940" s="37">
        <v>37697</v>
      </c>
      <c r="E940" s="44" t="s">
        <v>2381</v>
      </c>
      <c r="F940" s="44" t="s">
        <v>2473</v>
      </c>
      <c r="G940" s="44" t="s">
        <v>55</v>
      </c>
      <c r="H940" s="44" t="s">
        <v>2446</v>
      </c>
      <c r="I940" s="44" t="s">
        <v>44</v>
      </c>
      <c r="J940" s="44" t="str">
        <f t="shared" si="38"/>
        <v>School EducationCh Sambhajinagar School Education EstablishmentCScience Supervisor (GE/MSCERT)S15 (41800 - 132300)</v>
      </c>
      <c r="K940" s="44"/>
      <c r="L940" s="44" t="s">
        <v>261</v>
      </c>
      <c r="M940" s="45" t="s">
        <v>2447</v>
      </c>
      <c r="N940" s="44" t="s">
        <v>113</v>
      </c>
      <c r="O940" s="11" t="s">
        <v>33</v>
      </c>
      <c r="P940" s="13"/>
      <c r="Q940" s="12" t="s">
        <v>34</v>
      </c>
      <c r="R940" s="13"/>
      <c r="S940" s="13"/>
      <c r="T940" s="4" t="s">
        <v>3276</v>
      </c>
      <c r="U940" s="44" t="s">
        <v>34</v>
      </c>
      <c r="V940" s="45"/>
      <c r="W940" s="44"/>
      <c r="X940" s="44"/>
      <c r="Y940" s="44"/>
      <c r="Z940" s="44"/>
      <c r="AA940" s="42" t="e">
        <f>_xlfn.XLOOKUP(C940,#REF!,#REF!,"",0,1)</f>
        <v>#REF!</v>
      </c>
      <c r="AB940" s="43">
        <f t="shared" si="40"/>
        <v>0</v>
      </c>
    </row>
    <row r="941" spans="1:28" ht="156.5" thickBot="1" x14ac:dyDescent="0.3">
      <c r="A941" s="36">
        <v>937</v>
      </c>
      <c r="B941" s="36" t="s">
        <v>24</v>
      </c>
      <c r="C941" s="36" t="s">
        <v>1645</v>
      </c>
      <c r="D941" s="37">
        <v>37697</v>
      </c>
      <c r="E941" s="36" t="s">
        <v>2381</v>
      </c>
      <c r="F941" s="36" t="s">
        <v>2473</v>
      </c>
      <c r="G941" s="36" t="s">
        <v>55</v>
      </c>
      <c r="H941" s="36" t="s">
        <v>2452</v>
      </c>
      <c r="I941" s="36" t="s">
        <v>44</v>
      </c>
      <c r="J941" s="36" t="str">
        <f t="shared" si="38"/>
        <v>School EducationCh Sambhajinagar School Education EstablishmentCAssistant Project Officer (AE) (Planning)S15 (41800 - 132300)</v>
      </c>
      <c r="K941" s="36" t="s">
        <v>2453</v>
      </c>
      <c r="L941" s="36" t="s">
        <v>225</v>
      </c>
      <c r="M941" s="38" t="s">
        <v>2481</v>
      </c>
      <c r="N941" s="36" t="s">
        <v>2454</v>
      </c>
      <c r="O941" s="9"/>
      <c r="P941" s="7">
        <v>8</v>
      </c>
      <c r="Q941" s="7" t="s">
        <v>34</v>
      </c>
      <c r="R941" s="8"/>
      <c r="S941" s="8"/>
      <c r="T941" s="7" t="s">
        <v>35</v>
      </c>
      <c r="U941" s="36" t="s">
        <v>34</v>
      </c>
      <c r="V941" s="38" t="s">
        <v>2455</v>
      </c>
      <c r="W941" s="36"/>
      <c r="X941" s="36" t="s">
        <v>2456</v>
      </c>
      <c r="Y941" s="36" t="s">
        <v>2450</v>
      </c>
      <c r="Z941" s="56" t="s">
        <v>2451</v>
      </c>
      <c r="AA941" s="42" t="e">
        <f>_xlfn.XLOOKUP(C941,#REF!,#REF!,"",0,1)</f>
        <v>#REF!</v>
      </c>
      <c r="AB941" s="43">
        <f t="shared" si="40"/>
        <v>0</v>
      </c>
    </row>
    <row r="942" spans="1:28" ht="169.5" thickBot="1" x14ac:dyDescent="0.3">
      <c r="A942" s="36">
        <v>938</v>
      </c>
      <c r="B942" s="36" t="s">
        <v>532</v>
      </c>
      <c r="C942" s="36" t="s">
        <v>1645</v>
      </c>
      <c r="D942" s="37">
        <v>37697</v>
      </c>
      <c r="E942" s="36" t="s">
        <v>2381</v>
      </c>
      <c r="F942" s="36" t="s">
        <v>2473</v>
      </c>
      <c r="G942" s="36" t="s">
        <v>55</v>
      </c>
      <c r="H942" s="36" t="s">
        <v>2442</v>
      </c>
      <c r="I942" s="36" t="s">
        <v>44</v>
      </c>
      <c r="J942" s="36" t="str">
        <f t="shared" si="38"/>
        <v>School EducationCh Sambhajinagar School Education EstablishmentCAssistant Deputy Education Inspector (GE/AE)S15 (41800 - 132300)</v>
      </c>
      <c r="K942" s="36"/>
      <c r="L942" s="36"/>
      <c r="M942" s="38" t="s">
        <v>2482</v>
      </c>
      <c r="N942" s="36"/>
      <c r="O942" s="6" t="s">
        <v>33</v>
      </c>
      <c r="P942" s="8"/>
      <c r="Q942" s="7" t="s">
        <v>34</v>
      </c>
      <c r="R942" s="8"/>
      <c r="S942" s="8"/>
      <c r="T942" s="4" t="s">
        <v>3276</v>
      </c>
      <c r="U942" s="36" t="s">
        <v>34</v>
      </c>
      <c r="V942" s="38"/>
      <c r="W942" s="36"/>
      <c r="X942" s="36"/>
      <c r="Y942" s="36"/>
      <c r="Z942" s="41"/>
      <c r="AA942" s="42" t="e">
        <f>_xlfn.XLOOKUP(C942,#REF!,#REF!,"",0,1)</f>
        <v>#REF!</v>
      </c>
      <c r="AB942" s="43">
        <f t="shared" si="40"/>
        <v>0</v>
      </c>
    </row>
    <row r="943" spans="1:28" ht="234.5" thickBot="1" x14ac:dyDescent="0.3">
      <c r="A943" s="36">
        <v>939</v>
      </c>
      <c r="B943" s="36" t="s">
        <v>532</v>
      </c>
      <c r="C943" s="36" t="s">
        <v>1645</v>
      </c>
      <c r="D943" s="37">
        <v>37697</v>
      </c>
      <c r="E943" s="36" t="s">
        <v>2381</v>
      </c>
      <c r="F943" s="36" t="s">
        <v>2473</v>
      </c>
      <c r="G943" s="36" t="s">
        <v>55</v>
      </c>
      <c r="H943" s="36" t="s">
        <v>2444</v>
      </c>
      <c r="I943" s="36" t="s">
        <v>44</v>
      </c>
      <c r="J943" s="36" t="str">
        <f t="shared" si="38"/>
        <v>School EducationCh Sambhajinagar School Education EstablishmentCAdministration Officer (Municipal Board of Education), General Education / Admn. Officer (Municipal School Board), GES15 (41800 - 132300)</v>
      </c>
      <c r="K943" s="36"/>
      <c r="L943" s="36"/>
      <c r="M943" s="38" t="s">
        <v>2483</v>
      </c>
      <c r="N943" s="36"/>
      <c r="O943" s="6" t="s">
        <v>33</v>
      </c>
      <c r="P943" s="8"/>
      <c r="Q943" s="7" t="s">
        <v>34</v>
      </c>
      <c r="R943" s="8"/>
      <c r="S943" s="8"/>
      <c r="T943" s="4" t="s">
        <v>3276</v>
      </c>
      <c r="U943" s="36" t="s">
        <v>34</v>
      </c>
      <c r="V943" s="38"/>
      <c r="W943" s="36"/>
      <c r="X943" s="36"/>
      <c r="Y943" s="36"/>
      <c r="Z943" s="41"/>
      <c r="AA943" s="42" t="e">
        <f>_xlfn.XLOOKUP(C943,#REF!,#REF!,"",0,1)</f>
        <v>#REF!</v>
      </c>
      <c r="AB943" s="43">
        <f t="shared" si="40"/>
        <v>0</v>
      </c>
    </row>
    <row r="944" spans="1:28" ht="312.5" thickBot="1" x14ac:dyDescent="0.3">
      <c r="A944" s="36">
        <v>940</v>
      </c>
      <c r="B944" s="36" t="s">
        <v>983</v>
      </c>
      <c r="C944" s="36" t="s">
        <v>1645</v>
      </c>
      <c r="D944" s="37">
        <v>37697</v>
      </c>
      <c r="E944" s="36" t="s">
        <v>2381</v>
      </c>
      <c r="F944" s="36" t="s">
        <v>2473</v>
      </c>
      <c r="G944" s="36" t="s">
        <v>55</v>
      </c>
      <c r="H944" s="36" t="s">
        <v>2459</v>
      </c>
      <c r="I944" s="36" t="s">
        <v>44</v>
      </c>
      <c r="J944" s="36" t="str">
        <f t="shared" si="38"/>
        <v>School EducationCh Sambhajinagar School Education EstablishmentCAssistant Teacher, Government Teachers College / S. T. College, Mumbai / Government Vidyaniketane / Asst. Teacher, Govt. D.Ed. College/S.T. College, Mumbai/ Govt. Vidya NiketanS15 (41800 - 132300)</v>
      </c>
      <c r="K944" s="36"/>
      <c r="L944" s="36"/>
      <c r="M944" s="45" t="s">
        <v>2447</v>
      </c>
      <c r="N944" s="36" t="s">
        <v>986</v>
      </c>
      <c r="O944" s="6" t="s">
        <v>33</v>
      </c>
      <c r="P944" s="8"/>
      <c r="Q944" s="7" t="s">
        <v>34</v>
      </c>
      <c r="R944" s="8"/>
      <c r="S944" s="8"/>
      <c r="T944" s="4" t="s">
        <v>3276</v>
      </c>
      <c r="U944" s="36" t="s">
        <v>34</v>
      </c>
      <c r="V944" s="38"/>
      <c r="W944" s="36"/>
      <c r="X944" s="36"/>
      <c r="Y944" s="36"/>
      <c r="Z944" s="41"/>
      <c r="AA944" s="42" t="e">
        <f>_xlfn.XLOOKUP(C944,#REF!,#REF!,"",0,1)</f>
        <v>#REF!</v>
      </c>
      <c r="AB944" s="43">
        <f t="shared" si="40"/>
        <v>0</v>
      </c>
    </row>
    <row r="945" spans="1:28" ht="104.5" thickBot="1" x14ac:dyDescent="0.3">
      <c r="A945" s="36">
        <v>941</v>
      </c>
      <c r="B945" s="36" t="s">
        <v>24</v>
      </c>
      <c r="C945" s="36" t="s">
        <v>1645</v>
      </c>
      <c r="D945" s="37">
        <v>37697</v>
      </c>
      <c r="E945" s="36" t="s">
        <v>2381</v>
      </c>
      <c r="F945" s="36" t="s">
        <v>2473</v>
      </c>
      <c r="G945" s="36" t="s">
        <v>55</v>
      </c>
      <c r="H945" s="36" t="s">
        <v>123</v>
      </c>
      <c r="I945" s="36" t="s">
        <v>74</v>
      </c>
      <c r="J945" s="36" t="str">
        <f t="shared" si="38"/>
        <v>School EducationCh Sambhajinagar School Education EstablishmentCJunior ClerkS6 (19900 - 63200)</v>
      </c>
      <c r="K945" s="36" t="s">
        <v>75</v>
      </c>
      <c r="L945" s="36" t="s">
        <v>228</v>
      </c>
      <c r="M945" s="45" t="s">
        <v>2467</v>
      </c>
      <c r="N945" s="36" t="s">
        <v>70</v>
      </c>
      <c r="O945" s="6" t="s">
        <v>33</v>
      </c>
      <c r="P945" s="7">
        <v>11</v>
      </c>
      <c r="Q945" s="7" t="s">
        <v>34</v>
      </c>
      <c r="R945" s="8"/>
      <c r="S945" s="8"/>
      <c r="T945" s="7" t="s">
        <v>61</v>
      </c>
      <c r="U945" s="36" t="s">
        <v>100</v>
      </c>
      <c r="V945" s="38" t="s">
        <v>2468</v>
      </c>
      <c r="W945" s="36"/>
      <c r="X945" s="36" t="s">
        <v>2469</v>
      </c>
      <c r="Y945" s="50">
        <v>25121</v>
      </c>
      <c r="Z945" s="56"/>
      <c r="AA945" s="42" t="e">
        <f>_xlfn.XLOOKUP(C945,#REF!,#REF!,"",0,1)</f>
        <v>#REF!</v>
      </c>
      <c r="AB945" s="43">
        <f t="shared" si="40"/>
        <v>0</v>
      </c>
    </row>
    <row r="946" spans="1:28" ht="130.5" thickBot="1" x14ac:dyDescent="0.3">
      <c r="A946" s="36">
        <v>942</v>
      </c>
      <c r="B946" s="36" t="s">
        <v>494</v>
      </c>
      <c r="C946" s="36" t="s">
        <v>1645</v>
      </c>
      <c r="D946" s="37">
        <v>37697</v>
      </c>
      <c r="E946" s="36" t="s">
        <v>2381</v>
      </c>
      <c r="F946" s="36" t="s">
        <v>2473</v>
      </c>
      <c r="G946" s="36" t="s">
        <v>55</v>
      </c>
      <c r="H946" s="36" t="s">
        <v>2470</v>
      </c>
      <c r="I946" s="36" t="s">
        <v>74</v>
      </c>
      <c r="J946" s="36" t="str">
        <f t="shared" si="38"/>
        <v>School EducationCh Sambhajinagar School Education EstablishmentCMetron (G.E.) / Metron (G.E.)S6 (19900 - 63200)</v>
      </c>
      <c r="K946" s="36"/>
      <c r="L946" s="36"/>
      <c r="M946" s="38" t="s">
        <v>480</v>
      </c>
      <c r="N946" s="36" t="s">
        <v>496</v>
      </c>
      <c r="O946" s="6" t="s">
        <v>33</v>
      </c>
      <c r="P946" s="8"/>
      <c r="Q946" s="7" t="s">
        <v>34</v>
      </c>
      <c r="R946" s="8"/>
      <c r="S946" s="8"/>
      <c r="T946" s="4" t="s">
        <v>3276</v>
      </c>
      <c r="U946" s="36" t="s">
        <v>34</v>
      </c>
      <c r="V946" s="38"/>
      <c r="W946" s="36"/>
      <c r="X946" s="36"/>
      <c r="Y946" s="36"/>
      <c r="Z946" s="41"/>
      <c r="AA946" s="42" t="e">
        <f>_xlfn.XLOOKUP(C946,#REF!,#REF!,"",0,1)</f>
        <v>#REF!</v>
      </c>
      <c r="AB946" s="43">
        <f t="shared" si="40"/>
        <v>0</v>
      </c>
    </row>
    <row r="947" spans="1:28" ht="143.5" thickBot="1" x14ac:dyDescent="0.3">
      <c r="A947" s="36">
        <v>943</v>
      </c>
      <c r="B947" s="36" t="s">
        <v>24</v>
      </c>
      <c r="C947" s="36" t="s">
        <v>1645</v>
      </c>
      <c r="D947" s="37">
        <v>37697</v>
      </c>
      <c r="E947" s="36" t="s">
        <v>2381</v>
      </c>
      <c r="F947" s="36" t="s">
        <v>2473</v>
      </c>
      <c r="G947" s="36" t="s">
        <v>55</v>
      </c>
      <c r="H947" s="36" t="s">
        <v>2461</v>
      </c>
      <c r="I947" s="36" t="s">
        <v>169</v>
      </c>
      <c r="J947" s="36" t="str">
        <f t="shared" si="38"/>
        <v>School EducationCh Sambhajinagar School Education EstablishmentCLaboratory Assistant, General EducationS7 (21700 - 69100)</v>
      </c>
      <c r="K947" s="36" t="s">
        <v>377</v>
      </c>
      <c r="L947" s="36" t="s">
        <v>225</v>
      </c>
      <c r="M947" s="45" t="s">
        <v>2484</v>
      </c>
      <c r="N947" s="36" t="s">
        <v>379</v>
      </c>
      <c r="O947" s="6" t="s">
        <v>33</v>
      </c>
      <c r="P947" s="7">
        <v>5</v>
      </c>
      <c r="Q947" s="7" t="s">
        <v>34</v>
      </c>
      <c r="R947" s="8"/>
      <c r="S947" s="8"/>
      <c r="T947" s="7" t="s">
        <v>35</v>
      </c>
      <c r="U947" s="36" t="s">
        <v>34</v>
      </c>
      <c r="V947" s="38" t="s">
        <v>2463</v>
      </c>
      <c r="W947" s="36"/>
      <c r="X947" s="36" t="s">
        <v>2464</v>
      </c>
      <c r="Y947" s="36" t="s">
        <v>2465</v>
      </c>
      <c r="Z947" s="56"/>
      <c r="AA947" s="42" t="e">
        <f>_xlfn.XLOOKUP(C947,#REF!,#REF!,"",0,1)</f>
        <v>#REF!</v>
      </c>
      <c r="AB947" s="43">
        <f t="shared" si="40"/>
        <v>0</v>
      </c>
    </row>
    <row r="948" spans="1:28" ht="195.5" thickBot="1" x14ac:dyDescent="0.3">
      <c r="A948" s="36">
        <v>944</v>
      </c>
      <c r="B948" s="36" t="s">
        <v>24</v>
      </c>
      <c r="C948" s="36" t="s">
        <v>1645</v>
      </c>
      <c r="D948" s="37">
        <v>37697</v>
      </c>
      <c r="E948" s="36" t="s">
        <v>2381</v>
      </c>
      <c r="F948" s="36" t="s">
        <v>2473</v>
      </c>
      <c r="G948" s="36" t="s">
        <v>55</v>
      </c>
      <c r="H948" s="36" t="s">
        <v>2485</v>
      </c>
      <c r="I948" s="36" t="s">
        <v>169</v>
      </c>
      <c r="J948" s="36" t="str">
        <f t="shared" si="38"/>
        <v>School EducationCh Sambhajinagar School Education EstablishmentCInstructor (Sculpture Modeling) (Balbhavan) / Instructor (Sculpture Modeling) (Balbhavan)S7 (21700 - 69100)</v>
      </c>
      <c r="K948" s="36"/>
      <c r="L948" s="36" t="s">
        <v>238</v>
      </c>
      <c r="M948" s="38" t="s">
        <v>2486</v>
      </c>
      <c r="N948" s="36" t="s">
        <v>283</v>
      </c>
      <c r="O948" s="9"/>
      <c r="P948" s="8"/>
      <c r="Q948" s="7" t="s">
        <v>34</v>
      </c>
      <c r="R948" s="8"/>
      <c r="S948" s="8"/>
      <c r="T948" s="7" t="s">
        <v>35</v>
      </c>
      <c r="U948" s="36" t="s">
        <v>34</v>
      </c>
      <c r="V948" s="38"/>
      <c r="W948" s="36"/>
      <c r="X948" s="36"/>
      <c r="Y948" s="36"/>
      <c r="Z948" s="56"/>
      <c r="AA948" s="42" t="e">
        <f>_xlfn.XLOOKUP(C948,#REF!,#REF!,"",0,1)</f>
        <v>#REF!</v>
      </c>
      <c r="AB948" s="43">
        <f t="shared" si="40"/>
        <v>0</v>
      </c>
    </row>
    <row r="949" spans="1:28" ht="130.5" thickBot="1" x14ac:dyDescent="0.3">
      <c r="A949" s="36">
        <v>945</v>
      </c>
      <c r="B949" s="36" t="s">
        <v>102</v>
      </c>
      <c r="C949" s="36" t="s">
        <v>1645</v>
      </c>
      <c r="D949" s="37">
        <v>37697</v>
      </c>
      <c r="E949" s="36" t="s">
        <v>2381</v>
      </c>
      <c r="F949" s="36" t="s">
        <v>2473</v>
      </c>
      <c r="G949" s="36" t="s">
        <v>55</v>
      </c>
      <c r="H949" s="58" t="s">
        <v>2487</v>
      </c>
      <c r="I949" s="36" t="s">
        <v>169</v>
      </c>
      <c r="J949" s="36" t="str">
        <f t="shared" si="38"/>
        <v>School EducationCh Sambhajinagar School Education EstablishmentCAssistant Librarian (MSCERT)S7 (21700 - 69100)</v>
      </c>
      <c r="K949" s="36"/>
      <c r="L949" s="36"/>
      <c r="M949" s="38" t="s">
        <v>2475</v>
      </c>
      <c r="N949" s="36" t="s">
        <v>1521</v>
      </c>
      <c r="O949" s="6" t="s">
        <v>33</v>
      </c>
      <c r="P949" s="8"/>
      <c r="Q949" s="7" t="s">
        <v>34</v>
      </c>
      <c r="R949" s="8"/>
      <c r="S949" s="8"/>
      <c r="T949" s="4" t="s">
        <v>3276</v>
      </c>
      <c r="U949" s="36" t="s">
        <v>34</v>
      </c>
      <c r="V949" s="38"/>
      <c r="W949" s="36"/>
      <c r="X949" s="36"/>
      <c r="Y949" s="36"/>
      <c r="Z949" s="41"/>
      <c r="AA949" s="42" t="e">
        <f>_xlfn.XLOOKUP(C949,#REF!,#REF!,"",0,1)</f>
        <v>#REF!</v>
      </c>
      <c r="AB949" s="43">
        <f t="shared" si="40"/>
        <v>0</v>
      </c>
    </row>
    <row r="950" spans="1:28" ht="104.5" thickBot="1" x14ac:dyDescent="0.3">
      <c r="A950" s="36">
        <v>946</v>
      </c>
      <c r="B950" s="36" t="s">
        <v>24</v>
      </c>
      <c r="C950" s="36" t="s">
        <v>1645</v>
      </c>
      <c r="D950" s="37">
        <v>37697</v>
      </c>
      <c r="E950" s="36" t="s">
        <v>2381</v>
      </c>
      <c r="F950" s="36" t="s">
        <v>2473</v>
      </c>
      <c r="G950" s="36" t="s">
        <v>55</v>
      </c>
      <c r="H950" s="36" t="s">
        <v>87</v>
      </c>
      <c r="I950" s="36" t="s">
        <v>80</v>
      </c>
      <c r="J950" s="36" t="str">
        <f t="shared" si="38"/>
        <v>School EducationCh Sambhajinagar School Education EstablishmentCSenior ClerkS8 (25500 - 81100)</v>
      </c>
      <c r="K950" s="36" t="s">
        <v>75</v>
      </c>
      <c r="L950" s="36" t="s">
        <v>228</v>
      </c>
      <c r="M950" s="45" t="s">
        <v>2426</v>
      </c>
      <c r="N950" s="36" t="s">
        <v>2427</v>
      </c>
      <c r="O950" s="6" t="s">
        <v>33</v>
      </c>
      <c r="P950" s="7">
        <v>15</v>
      </c>
      <c r="Q950" s="7" t="s">
        <v>34</v>
      </c>
      <c r="R950" s="8"/>
      <c r="S950" s="8"/>
      <c r="T950" s="7" t="s">
        <v>35</v>
      </c>
      <c r="U950" s="36" t="s">
        <v>34</v>
      </c>
      <c r="V950" s="38" t="s">
        <v>2472</v>
      </c>
      <c r="W950" s="36"/>
      <c r="X950" s="36" t="s">
        <v>2469</v>
      </c>
      <c r="Y950" s="50">
        <v>25121</v>
      </c>
      <c r="Z950" s="56"/>
      <c r="AA950" s="42" t="e">
        <f>_xlfn.XLOOKUP(C950,#REF!,#REF!,"",0,1)</f>
        <v>#REF!</v>
      </c>
      <c r="AB950" s="43">
        <f t="shared" si="40"/>
        <v>0</v>
      </c>
    </row>
    <row r="951" spans="1:28" ht="130.5" thickBot="1" x14ac:dyDescent="0.3">
      <c r="A951" s="36">
        <v>947</v>
      </c>
      <c r="B951" s="36" t="s">
        <v>24</v>
      </c>
      <c r="C951" s="36" t="s">
        <v>1645</v>
      </c>
      <c r="D951" s="37">
        <v>37697</v>
      </c>
      <c r="E951" s="36" t="s">
        <v>2381</v>
      </c>
      <c r="F951" s="36" t="s">
        <v>2473</v>
      </c>
      <c r="G951" s="36" t="s">
        <v>55</v>
      </c>
      <c r="H951" s="36" t="s">
        <v>2488</v>
      </c>
      <c r="I951" s="36" t="s">
        <v>80</v>
      </c>
      <c r="J951" s="36" t="str">
        <f t="shared" si="38"/>
        <v>School EducationCh Sambhajinagar School Education EstablishmentCStenoTypist (PE/GE/MSCERT)S8 (25500 - 81100)</v>
      </c>
      <c r="K951" s="36" t="s">
        <v>68</v>
      </c>
      <c r="L951" s="36" t="s">
        <v>231</v>
      </c>
      <c r="M951" s="38" t="s">
        <v>2489</v>
      </c>
      <c r="N951" s="36" t="s">
        <v>70</v>
      </c>
      <c r="O951" s="9"/>
      <c r="P951" s="8"/>
      <c r="Q951" s="7" t="s">
        <v>34</v>
      </c>
      <c r="R951" s="8"/>
      <c r="S951" s="8"/>
      <c r="T951" s="4" t="s">
        <v>3276</v>
      </c>
      <c r="U951" s="36" t="s">
        <v>34</v>
      </c>
      <c r="V951" s="38" t="s">
        <v>2490</v>
      </c>
      <c r="W951" s="36"/>
      <c r="X951" s="36"/>
      <c r="Y951" s="36"/>
      <c r="Z951" s="56"/>
      <c r="AA951" s="42" t="e">
        <f>_xlfn.XLOOKUP(C951,#REF!,#REF!,"",0,1)</f>
        <v>#REF!</v>
      </c>
      <c r="AB951" s="43">
        <f t="shared" si="40"/>
        <v>0</v>
      </c>
    </row>
    <row r="952" spans="1:28" ht="104.5" thickBot="1" x14ac:dyDescent="0.35">
      <c r="A952" s="36">
        <v>948</v>
      </c>
      <c r="B952" s="36" t="s">
        <v>24</v>
      </c>
      <c r="C952" s="36" t="s">
        <v>1645</v>
      </c>
      <c r="D952" s="37">
        <v>37697</v>
      </c>
      <c r="E952" s="36" t="s">
        <v>2381</v>
      </c>
      <c r="F952" s="36" t="s">
        <v>2491</v>
      </c>
      <c r="G952" s="36" t="s">
        <v>55</v>
      </c>
      <c r="H952" s="39" t="s">
        <v>2492</v>
      </c>
      <c r="I952" s="36" t="s">
        <v>276</v>
      </c>
      <c r="J952" s="36" t="str">
        <f t="shared" si="38"/>
        <v>School EducationCommissionerate of Education Pune EstablishmentCLibrarian (MSCERT)S10 (29200 - 92300)</v>
      </c>
      <c r="K952" s="36" t="s">
        <v>170</v>
      </c>
      <c r="L952" s="36" t="s">
        <v>228</v>
      </c>
      <c r="M952" s="64" t="s">
        <v>2493</v>
      </c>
      <c r="N952" s="36" t="s">
        <v>41</v>
      </c>
      <c r="O952" s="9"/>
      <c r="P952" s="7">
        <v>0</v>
      </c>
      <c r="Q952" s="7" t="s">
        <v>34</v>
      </c>
      <c r="R952" s="8"/>
      <c r="S952" s="8"/>
      <c r="T952" s="7" t="s">
        <v>2395</v>
      </c>
      <c r="U952" s="36" t="s">
        <v>34</v>
      </c>
      <c r="V952" s="38" t="s">
        <v>2493</v>
      </c>
      <c r="W952" s="47"/>
      <c r="X952" s="39" t="s">
        <v>150</v>
      </c>
      <c r="Y952" s="39" t="s">
        <v>150</v>
      </c>
      <c r="Z952" s="56"/>
      <c r="AA952" s="42" t="e">
        <f>_xlfn.XLOOKUP(C952,#REF!,#REF!,"",0,1)</f>
        <v>#REF!</v>
      </c>
      <c r="AB952" s="43">
        <f t="shared" si="40"/>
        <v>0</v>
      </c>
    </row>
    <row r="953" spans="1:28" ht="130.5" thickBot="1" x14ac:dyDescent="0.3">
      <c r="A953" s="36">
        <v>949</v>
      </c>
      <c r="B953" s="36" t="s">
        <v>24</v>
      </c>
      <c r="C953" s="36" t="s">
        <v>1645</v>
      </c>
      <c r="D953" s="37">
        <v>37697</v>
      </c>
      <c r="E953" s="36" t="s">
        <v>2381</v>
      </c>
      <c r="F953" s="36" t="s">
        <v>2491</v>
      </c>
      <c r="G953" s="36" t="s">
        <v>55</v>
      </c>
      <c r="H953" s="36" t="s">
        <v>2494</v>
      </c>
      <c r="I953" s="36" t="s">
        <v>57</v>
      </c>
      <c r="J953" s="36" t="str">
        <f t="shared" si="38"/>
        <v>School EducationCommissionerate of Education Pune EstablishmentCChief Clerk GE/PE/AE /SIETS13 (35400 - 112400)</v>
      </c>
      <c r="K953" s="36" t="s">
        <v>75</v>
      </c>
      <c r="L953" s="36" t="s">
        <v>228</v>
      </c>
      <c r="M953" s="65" t="s">
        <v>2477</v>
      </c>
      <c r="N953" s="36" t="s">
        <v>2427</v>
      </c>
      <c r="O953" s="9"/>
      <c r="P953" s="7">
        <v>8</v>
      </c>
      <c r="Q953" s="7" t="s">
        <v>34</v>
      </c>
      <c r="R953" s="8"/>
      <c r="S953" s="8"/>
      <c r="T953" s="7" t="s">
        <v>35</v>
      </c>
      <c r="U953" s="36" t="s">
        <v>34</v>
      </c>
      <c r="V953" s="38" t="s">
        <v>2477</v>
      </c>
      <c r="W953" s="39"/>
      <c r="X953" s="39" t="s">
        <v>150</v>
      </c>
      <c r="Y953" s="39" t="s">
        <v>150</v>
      </c>
      <c r="Z953" s="56"/>
      <c r="AA953" s="42" t="e">
        <f>_xlfn.XLOOKUP(C953,#REF!,#REF!,"",0,1)</f>
        <v>#REF!</v>
      </c>
      <c r="AB953" s="43">
        <f t="shared" si="40"/>
        <v>0</v>
      </c>
    </row>
    <row r="954" spans="1:28" ht="156.5" thickBot="1" x14ac:dyDescent="0.3">
      <c r="A954" s="36">
        <v>950</v>
      </c>
      <c r="B954" s="36" t="s">
        <v>24</v>
      </c>
      <c r="C954" s="36" t="s">
        <v>1645</v>
      </c>
      <c r="D954" s="37">
        <v>37697</v>
      </c>
      <c r="E954" s="36" t="s">
        <v>2381</v>
      </c>
      <c r="F954" s="36" t="s">
        <v>2491</v>
      </c>
      <c r="G954" s="36" t="s">
        <v>55</v>
      </c>
      <c r="H954" s="38" t="s">
        <v>2495</v>
      </c>
      <c r="I954" s="36" t="s">
        <v>67</v>
      </c>
      <c r="J954" s="36" t="str">
        <f t="shared" si="38"/>
        <v>School EducationCommissionerate of Education Pune EstablishmentCStenographer (Lower Grade), GE/AE/ MSIET/ MSCERT/ D.I.E.T.S14 (38600 - 122800)</v>
      </c>
      <c r="K954" s="36"/>
      <c r="L954" s="36" t="s">
        <v>231</v>
      </c>
      <c r="M954" s="64" t="s">
        <v>2496</v>
      </c>
      <c r="N954" s="36" t="s">
        <v>113</v>
      </c>
      <c r="O954" s="9"/>
      <c r="P954" s="8"/>
      <c r="Q954" s="8"/>
      <c r="R954" s="8"/>
      <c r="S954" s="8"/>
      <c r="T954" s="4" t="s">
        <v>3276</v>
      </c>
      <c r="U954" s="36"/>
      <c r="V954" s="38" t="s">
        <v>2490</v>
      </c>
      <c r="W954" s="36"/>
      <c r="X954" s="36"/>
      <c r="Y954" s="36"/>
      <c r="Z954" s="56"/>
      <c r="AA954" s="42" t="e">
        <f>_xlfn.XLOOKUP(C954,#REF!,#REF!,"",0,1)</f>
        <v>#REF!</v>
      </c>
      <c r="AB954" s="43">
        <f t="shared" si="40"/>
        <v>0</v>
      </c>
    </row>
    <row r="955" spans="1:28" ht="130.5" thickBot="1" x14ac:dyDescent="0.3">
      <c r="A955" s="36">
        <v>951</v>
      </c>
      <c r="B955" s="36" t="s">
        <v>24</v>
      </c>
      <c r="C955" s="36" t="s">
        <v>1645</v>
      </c>
      <c r="D955" s="37">
        <v>37697</v>
      </c>
      <c r="E955" s="36" t="s">
        <v>2381</v>
      </c>
      <c r="F955" s="36" t="s">
        <v>2491</v>
      </c>
      <c r="G955" s="36" t="s">
        <v>55</v>
      </c>
      <c r="H955" s="36" t="s">
        <v>2466</v>
      </c>
      <c r="I955" s="36" t="s">
        <v>74</v>
      </c>
      <c r="J955" s="36" t="str">
        <f t="shared" si="38"/>
        <v>School EducationCommissionerate of Education Pune EstablishmentCJunior Clerk (PE/GE/AE/ MSCERT/SIET/MSCE)S6 (19900 - 63200)</v>
      </c>
      <c r="K955" s="36" t="s">
        <v>75</v>
      </c>
      <c r="L955" s="36" t="s">
        <v>228</v>
      </c>
      <c r="M955" s="65" t="s">
        <v>2497</v>
      </c>
      <c r="N955" s="36" t="s">
        <v>2498</v>
      </c>
      <c r="O955" s="9"/>
      <c r="P955" s="7">
        <v>11</v>
      </c>
      <c r="Q955" s="7" t="s">
        <v>34</v>
      </c>
      <c r="R955" s="8"/>
      <c r="S955" s="8"/>
      <c r="T955" s="7" t="s">
        <v>61</v>
      </c>
      <c r="U955" s="36"/>
      <c r="V955" s="38" t="s">
        <v>2497</v>
      </c>
      <c r="W955" s="39"/>
      <c r="X955" s="39" t="s">
        <v>150</v>
      </c>
      <c r="Y955" s="39" t="s">
        <v>150</v>
      </c>
      <c r="Z955" s="56"/>
      <c r="AA955" s="42" t="e">
        <f>_xlfn.XLOOKUP(C955,#REF!,#REF!,"",0,1)</f>
        <v>#REF!</v>
      </c>
      <c r="AB955" s="43">
        <f t="shared" si="40"/>
        <v>0</v>
      </c>
    </row>
    <row r="956" spans="1:28" ht="117.5" thickBot="1" x14ac:dyDescent="0.3">
      <c r="A956" s="36">
        <v>952</v>
      </c>
      <c r="B956" s="36" t="s">
        <v>1521</v>
      </c>
      <c r="C956" s="36" t="s">
        <v>1645</v>
      </c>
      <c r="D956" s="37">
        <v>37697</v>
      </c>
      <c r="E956" s="36" t="s">
        <v>2381</v>
      </c>
      <c r="F956" s="36" t="s">
        <v>2491</v>
      </c>
      <c r="G956" s="36" t="s">
        <v>55</v>
      </c>
      <c r="H956" s="58" t="s">
        <v>2487</v>
      </c>
      <c r="I956" s="36" t="s">
        <v>169</v>
      </c>
      <c r="J956" s="36" t="str">
        <f t="shared" si="38"/>
        <v>School EducationCommissionerate of Education Pune EstablishmentCAssistant Librarian (MSCERT)S7 (21700 - 69100)</v>
      </c>
      <c r="K956" s="36" t="s">
        <v>170</v>
      </c>
      <c r="L956" s="36" t="s">
        <v>228</v>
      </c>
      <c r="M956" s="38" t="s">
        <v>2499</v>
      </c>
      <c r="N956" s="36" t="s">
        <v>41</v>
      </c>
      <c r="O956" s="9"/>
      <c r="P956" s="8"/>
      <c r="Q956" s="8"/>
      <c r="R956" s="8"/>
      <c r="S956" s="8"/>
      <c r="T956" s="8" t="s">
        <v>3276</v>
      </c>
      <c r="U956" s="36"/>
      <c r="V956" s="38" t="s">
        <v>2499</v>
      </c>
      <c r="W956" s="39"/>
      <c r="X956" s="39" t="s">
        <v>150</v>
      </c>
      <c r="Y956" s="39" t="s">
        <v>150</v>
      </c>
      <c r="Z956" s="41"/>
      <c r="AA956" s="42" t="e">
        <f>_xlfn.XLOOKUP(C956,#REF!,#REF!,"",0,1)</f>
        <v>#REF!</v>
      </c>
      <c r="AB956" s="43">
        <f t="shared" si="40"/>
        <v>0</v>
      </c>
    </row>
    <row r="957" spans="1:28" ht="130.5" thickBot="1" x14ac:dyDescent="0.3">
      <c r="A957" s="36">
        <v>953</v>
      </c>
      <c r="B957" s="36" t="s">
        <v>24</v>
      </c>
      <c r="C957" s="36" t="s">
        <v>1645</v>
      </c>
      <c r="D957" s="37">
        <v>37697</v>
      </c>
      <c r="E957" s="36" t="s">
        <v>2381</v>
      </c>
      <c r="F957" s="36" t="s">
        <v>2491</v>
      </c>
      <c r="G957" s="36" t="s">
        <v>55</v>
      </c>
      <c r="H957" s="36" t="s">
        <v>2471</v>
      </c>
      <c r="I957" s="36" t="s">
        <v>80</v>
      </c>
      <c r="J957" s="36" t="str">
        <f t="shared" si="38"/>
        <v>School EducationCommissionerate of Education Pune EstablishmentCSenior Clerk (PE/GE/AE/ MSCERT/SIET/MSCE)S8 (25500 - 81100)</v>
      </c>
      <c r="K957" s="36" t="s">
        <v>75</v>
      </c>
      <c r="L957" s="36" t="s">
        <v>228</v>
      </c>
      <c r="M957" s="65" t="s">
        <v>2426</v>
      </c>
      <c r="N957" s="36" t="s">
        <v>2427</v>
      </c>
      <c r="O957" s="9"/>
      <c r="P957" s="7">
        <v>14</v>
      </c>
      <c r="Q957" s="7" t="s">
        <v>34</v>
      </c>
      <c r="R957" s="8"/>
      <c r="S957" s="8"/>
      <c r="T957" s="7" t="s">
        <v>35</v>
      </c>
      <c r="U957" s="36"/>
      <c r="V957" s="38" t="s">
        <v>2426</v>
      </c>
      <c r="W957" s="39"/>
      <c r="X957" s="39" t="s">
        <v>150</v>
      </c>
      <c r="Y957" s="39" t="s">
        <v>150</v>
      </c>
      <c r="Z957" s="56"/>
      <c r="AA957" s="42" t="e">
        <f>_xlfn.XLOOKUP(C957,#REF!,#REF!,"",0,1)</f>
        <v>#REF!</v>
      </c>
      <c r="AB957" s="43">
        <f t="shared" si="40"/>
        <v>0</v>
      </c>
    </row>
    <row r="958" spans="1:28" ht="117.5" thickBot="1" x14ac:dyDescent="0.3">
      <c r="A958" s="36">
        <v>954</v>
      </c>
      <c r="B958" s="36" t="s">
        <v>24</v>
      </c>
      <c r="C958" s="36" t="s">
        <v>1645</v>
      </c>
      <c r="D958" s="37">
        <v>37697</v>
      </c>
      <c r="E958" s="36" t="s">
        <v>2381</v>
      </c>
      <c r="F958" s="36" t="s">
        <v>2491</v>
      </c>
      <c r="G958" s="36" t="s">
        <v>55</v>
      </c>
      <c r="H958" s="38" t="s">
        <v>2488</v>
      </c>
      <c r="I958" s="36" t="s">
        <v>80</v>
      </c>
      <c r="J958" s="36" t="str">
        <f t="shared" si="38"/>
        <v>School EducationCommissionerate of Education Pune EstablishmentCStenoTypist (PE/GE/MSCERT)S8 (25500 - 81100)</v>
      </c>
      <c r="K958" s="36"/>
      <c r="L958" s="36" t="s">
        <v>231</v>
      </c>
      <c r="M958" s="64" t="s">
        <v>2500</v>
      </c>
      <c r="N958" s="36" t="s">
        <v>113</v>
      </c>
      <c r="O958" s="9"/>
      <c r="P958" s="8"/>
      <c r="Q958" s="8"/>
      <c r="R958" s="8"/>
      <c r="S958" s="8"/>
      <c r="T958" s="4" t="s">
        <v>3276</v>
      </c>
      <c r="U958" s="36"/>
      <c r="V958" s="38" t="s">
        <v>2490</v>
      </c>
      <c r="W958" s="36"/>
      <c r="X958" s="36"/>
      <c r="Y958" s="36"/>
      <c r="Z958" s="56"/>
      <c r="AA958" s="42" t="e">
        <f>_xlfn.XLOOKUP(C958,#REF!,#REF!,"",0,1)</f>
        <v>#REF!</v>
      </c>
      <c r="AB958" s="43">
        <f t="shared" si="40"/>
        <v>0</v>
      </c>
    </row>
    <row r="959" spans="1:28" ht="156.5" thickBot="1" x14ac:dyDescent="0.3">
      <c r="A959" s="36">
        <v>958</v>
      </c>
      <c r="B959" s="36" t="s">
        <v>1521</v>
      </c>
      <c r="C959" s="36" t="s">
        <v>1645</v>
      </c>
      <c r="D959" s="37">
        <v>37697</v>
      </c>
      <c r="E959" s="36" t="s">
        <v>2381</v>
      </c>
      <c r="F959" s="36" t="s">
        <v>2501</v>
      </c>
      <c r="G959" s="36" t="s">
        <v>55</v>
      </c>
      <c r="H959" s="58" t="s">
        <v>2502</v>
      </c>
      <c r="I959" s="36" t="s">
        <v>276</v>
      </c>
      <c r="J959" s="36" t="str">
        <f t="shared" si="38"/>
        <v>School EducationKolhapur School Education EstablishmentCLibrarian (S.S.S./M.R.S.S.S.P.P./ R.S.S.T.S.S./ D.S.S.P.S.S.)S10 (29200 - 92300)</v>
      </c>
      <c r="K959" s="36" t="s">
        <v>170</v>
      </c>
      <c r="L959" s="36" t="s">
        <v>228</v>
      </c>
      <c r="M959" s="38" t="s">
        <v>2503</v>
      </c>
      <c r="N959" s="36" t="s">
        <v>172</v>
      </c>
      <c r="O959" s="6" t="s">
        <v>33</v>
      </c>
      <c r="P959" s="8"/>
      <c r="Q959" s="7" t="s">
        <v>34</v>
      </c>
      <c r="R959" s="8"/>
      <c r="S959" s="8"/>
      <c r="T959" s="7" t="s">
        <v>35</v>
      </c>
      <c r="U959" s="36" t="s">
        <v>34</v>
      </c>
      <c r="V959" s="38" t="s">
        <v>2419</v>
      </c>
      <c r="W959" s="36"/>
      <c r="X959" s="36" t="s">
        <v>815</v>
      </c>
      <c r="Y959" s="50">
        <v>25121</v>
      </c>
      <c r="Z959" s="41"/>
      <c r="AA959" s="42" t="e">
        <f>_xlfn.XLOOKUP(C959,#REF!,#REF!,"",0,1)</f>
        <v>#REF!</v>
      </c>
      <c r="AB959" s="43">
        <f t="shared" si="40"/>
        <v>0</v>
      </c>
    </row>
    <row r="960" spans="1:28" ht="104.5" thickBot="1" x14ac:dyDescent="0.3">
      <c r="A960" s="36">
        <v>959</v>
      </c>
      <c r="B960" s="36" t="s">
        <v>24</v>
      </c>
      <c r="C960" s="36" t="s">
        <v>1645</v>
      </c>
      <c r="D960" s="37">
        <v>37697</v>
      </c>
      <c r="E960" s="36" t="s">
        <v>2381</v>
      </c>
      <c r="F960" s="36" t="s">
        <v>2501</v>
      </c>
      <c r="G960" s="36" t="s">
        <v>55</v>
      </c>
      <c r="H960" s="36" t="s">
        <v>177</v>
      </c>
      <c r="I960" s="36" t="s">
        <v>276</v>
      </c>
      <c r="J960" s="36" t="str">
        <f t="shared" si="38"/>
        <v>School EducationKolhapur School Education EstablishmentCStatistical AssistantS10 (29200 - 92300)</v>
      </c>
      <c r="K960" s="36" t="s">
        <v>115</v>
      </c>
      <c r="L960" s="36" t="s">
        <v>225</v>
      </c>
      <c r="M960" s="38" t="s">
        <v>2504</v>
      </c>
      <c r="N960" s="36" t="s">
        <v>179</v>
      </c>
      <c r="O960" s="6" t="s">
        <v>33</v>
      </c>
      <c r="P960" s="7">
        <v>2</v>
      </c>
      <c r="Q960" s="7" t="s">
        <v>34</v>
      </c>
      <c r="R960" s="8"/>
      <c r="S960" s="8"/>
      <c r="T960" s="7" t="s">
        <v>35</v>
      </c>
      <c r="U960" s="36" t="s">
        <v>34</v>
      </c>
      <c r="V960" s="38" t="s">
        <v>2238</v>
      </c>
      <c r="W960" s="36"/>
      <c r="X960" s="36" t="s">
        <v>2233</v>
      </c>
      <c r="Y960" s="36" t="s">
        <v>2234</v>
      </c>
      <c r="Z960" s="56"/>
      <c r="AA960" s="42" t="e">
        <f>_xlfn.XLOOKUP(C960,#REF!,#REF!,"",0,1)</f>
        <v>#REF!</v>
      </c>
      <c r="AB960" s="43">
        <f t="shared" si="40"/>
        <v>0</v>
      </c>
    </row>
    <row r="961" spans="1:28" ht="130.5" thickBot="1" x14ac:dyDescent="0.3">
      <c r="A961" s="36">
        <v>960</v>
      </c>
      <c r="B961" s="36" t="s">
        <v>102</v>
      </c>
      <c r="C961" s="36" t="s">
        <v>1645</v>
      </c>
      <c r="D961" s="37">
        <v>37697</v>
      </c>
      <c r="E961" s="36" t="s">
        <v>2381</v>
      </c>
      <c r="F961" s="36" t="s">
        <v>2501</v>
      </c>
      <c r="G961" s="36" t="s">
        <v>55</v>
      </c>
      <c r="H961" s="49" t="s">
        <v>2505</v>
      </c>
      <c r="I961" s="36" t="s">
        <v>57</v>
      </c>
      <c r="J961" s="36" t="str">
        <f t="shared" si="38"/>
        <v>School EducationKolhapur School Education EstablishmentCAccountant, (D.S.P.S)/ Chief ClerkS13 (35400 - 112400)</v>
      </c>
      <c r="K961" s="36" t="s">
        <v>75</v>
      </c>
      <c r="L961" s="36" t="s">
        <v>225</v>
      </c>
      <c r="M961" s="45" t="s">
        <v>2506</v>
      </c>
      <c r="N961" s="36" t="s">
        <v>199</v>
      </c>
      <c r="O961" s="6" t="s">
        <v>33</v>
      </c>
      <c r="P961" s="8"/>
      <c r="Q961" s="7" t="s">
        <v>34</v>
      </c>
      <c r="R961" s="8"/>
      <c r="S961" s="8"/>
      <c r="T961" s="7" t="s">
        <v>35</v>
      </c>
      <c r="U961" s="36" t="s">
        <v>34</v>
      </c>
      <c r="V961" s="38" t="s">
        <v>2506</v>
      </c>
      <c r="W961" s="36"/>
      <c r="X961" s="36" t="s">
        <v>150</v>
      </c>
      <c r="Y961" s="36" t="s">
        <v>150</v>
      </c>
      <c r="Z961" s="41"/>
      <c r="AA961" s="42" t="e">
        <f>_xlfn.XLOOKUP(C961,#REF!,#REF!,"",0,1)</f>
        <v>#REF!</v>
      </c>
      <c r="AB961" s="43">
        <f t="shared" si="40"/>
        <v>0</v>
      </c>
    </row>
    <row r="962" spans="1:28" ht="117.5" thickBot="1" x14ac:dyDescent="0.3">
      <c r="A962" s="36">
        <v>961</v>
      </c>
      <c r="B962" s="36" t="s">
        <v>24</v>
      </c>
      <c r="C962" s="36" t="s">
        <v>1645</v>
      </c>
      <c r="D962" s="37">
        <v>37697</v>
      </c>
      <c r="E962" s="36" t="s">
        <v>2381</v>
      </c>
      <c r="F962" s="36" t="s">
        <v>2501</v>
      </c>
      <c r="G962" s="36" t="s">
        <v>55</v>
      </c>
      <c r="H962" s="36" t="s">
        <v>2507</v>
      </c>
      <c r="I962" s="36" t="s">
        <v>57</v>
      </c>
      <c r="J962" s="36" t="str">
        <f t="shared" ref="J962:J1025" si="41">_xlfn.CONCAT(E962:I962)</f>
        <v>School EducationKolhapur School Education EstablishmentCJunior Auditor (S.S.)S13 (35400 - 112400)</v>
      </c>
      <c r="K962" s="36"/>
      <c r="L962" s="36" t="s">
        <v>243</v>
      </c>
      <c r="M962" s="45" t="s">
        <v>2508</v>
      </c>
      <c r="N962" s="36" t="s">
        <v>32</v>
      </c>
      <c r="O962" s="6" t="s">
        <v>33</v>
      </c>
      <c r="P962" s="7">
        <v>3</v>
      </c>
      <c r="Q962" s="7" t="s">
        <v>34</v>
      </c>
      <c r="R962" s="8"/>
      <c r="S962" s="8"/>
      <c r="T962" s="4" t="s">
        <v>3276</v>
      </c>
      <c r="U962" s="36" t="s">
        <v>34</v>
      </c>
      <c r="V962" s="38"/>
      <c r="W962" s="36"/>
      <c r="X962" s="36"/>
      <c r="Y962" s="36"/>
      <c r="Z962" s="56"/>
      <c r="AA962" s="42" t="e">
        <f>_xlfn.XLOOKUP(C962,#REF!,#REF!,"",0,1)</f>
        <v>#REF!</v>
      </c>
      <c r="AB962" s="43">
        <f t="shared" ref="AB962:AB963" si="42">IFERROR(FLOOR(P962*AA962,1),0)</f>
        <v>0</v>
      </c>
    </row>
    <row r="963" spans="1:28" ht="104.5" thickBot="1" x14ac:dyDescent="0.3">
      <c r="A963" s="36">
        <v>962</v>
      </c>
      <c r="B963" s="36" t="s">
        <v>24</v>
      </c>
      <c r="C963" s="36" t="s">
        <v>1645</v>
      </c>
      <c r="D963" s="37">
        <v>37697</v>
      </c>
      <c r="E963" s="36" t="s">
        <v>2381</v>
      </c>
      <c r="F963" s="36" t="s">
        <v>2501</v>
      </c>
      <c r="G963" s="36" t="s">
        <v>55</v>
      </c>
      <c r="H963" s="36" t="s">
        <v>2509</v>
      </c>
      <c r="I963" s="36" t="s">
        <v>57</v>
      </c>
      <c r="J963" s="36" t="str">
        <f t="shared" si="41"/>
        <v>School EducationKolhapur School Education EstablishmentCChief Clerk, Mr.S13 (35400 - 112400)</v>
      </c>
      <c r="K963" s="36" t="s">
        <v>75</v>
      </c>
      <c r="L963" s="36" t="s">
        <v>228</v>
      </c>
      <c r="M963" s="38" t="s">
        <v>2510</v>
      </c>
      <c r="N963" s="36" t="s">
        <v>2427</v>
      </c>
      <c r="O963" s="9"/>
      <c r="P963" s="7">
        <v>1</v>
      </c>
      <c r="Q963" s="7" t="s">
        <v>34</v>
      </c>
      <c r="R963" s="8"/>
      <c r="S963" s="8"/>
      <c r="T963" s="7" t="s">
        <v>2395</v>
      </c>
      <c r="U963" s="36" t="s">
        <v>34</v>
      </c>
      <c r="V963" s="38" t="s">
        <v>2472</v>
      </c>
      <c r="W963" s="36"/>
      <c r="X963" s="36" t="s">
        <v>2469</v>
      </c>
      <c r="Y963" s="50">
        <v>25121</v>
      </c>
      <c r="Z963" s="56"/>
      <c r="AA963" s="42" t="e">
        <f>_xlfn.XLOOKUP(C963,#REF!,#REF!,"",0,1)</f>
        <v>#REF!</v>
      </c>
      <c r="AB963" s="43">
        <f t="shared" si="42"/>
        <v>0</v>
      </c>
    </row>
    <row r="964" spans="1:28" ht="117.5" thickBot="1" x14ac:dyDescent="0.3">
      <c r="A964" s="36">
        <v>963</v>
      </c>
      <c r="B964" s="36" t="s">
        <v>494</v>
      </c>
      <c r="C964" s="36" t="s">
        <v>1645</v>
      </c>
      <c r="D964" s="37">
        <v>37697</v>
      </c>
      <c r="E964" s="36" t="s">
        <v>2381</v>
      </c>
      <c r="F964" s="36" t="s">
        <v>2501</v>
      </c>
      <c r="G964" s="36" t="s">
        <v>55</v>
      </c>
      <c r="H964" s="49" t="s">
        <v>2511</v>
      </c>
      <c r="I964" s="36" t="s">
        <v>57</v>
      </c>
      <c r="J964" s="36" t="str">
        <f t="shared" si="41"/>
        <v>School EducationKolhapur School Education EstablishmentCTechnician, S.Sc.S13 (35400 - 112400)</v>
      </c>
      <c r="K964" s="36"/>
      <c r="L964" s="36"/>
      <c r="M964" s="38" t="s">
        <v>2512</v>
      </c>
      <c r="N964" s="36" t="s">
        <v>129</v>
      </c>
      <c r="O964" s="6" t="s">
        <v>33</v>
      </c>
      <c r="P964" s="8"/>
      <c r="Q964" s="7" t="s">
        <v>34</v>
      </c>
      <c r="R964" s="8"/>
      <c r="S964" s="8"/>
      <c r="T964" s="4" t="s">
        <v>3276</v>
      </c>
      <c r="U964" s="36" t="s">
        <v>34</v>
      </c>
      <c r="V964" s="38" t="s">
        <v>2513</v>
      </c>
      <c r="W964" s="36"/>
      <c r="X964" s="36" t="s">
        <v>2433</v>
      </c>
      <c r="Y964" s="36" t="s">
        <v>2434</v>
      </c>
      <c r="Z964" s="41"/>
      <c r="AA964" s="42" t="e">
        <f>_xlfn.XLOOKUP(C964,#REF!,#REF!,"",0,1)</f>
        <v>#REF!</v>
      </c>
      <c r="AB964" s="43">
        <f t="shared" ref="AB964:AB1025" si="43">IFERROR(FLOOR(P964*AA964,1),0)</f>
        <v>0</v>
      </c>
    </row>
    <row r="965" spans="1:28" ht="130.5" thickBot="1" x14ac:dyDescent="0.3">
      <c r="A965" s="36">
        <v>964</v>
      </c>
      <c r="B965" s="36" t="s">
        <v>494</v>
      </c>
      <c r="C965" s="36" t="s">
        <v>1645</v>
      </c>
      <c r="D965" s="37">
        <v>37697</v>
      </c>
      <c r="E965" s="36" t="s">
        <v>2381</v>
      </c>
      <c r="F965" s="36" t="s">
        <v>2501</v>
      </c>
      <c r="G965" s="36" t="s">
        <v>55</v>
      </c>
      <c r="H965" s="49" t="s">
        <v>2514</v>
      </c>
      <c r="I965" s="36" t="s">
        <v>67</v>
      </c>
      <c r="J965" s="36" t="str">
        <f t="shared" si="41"/>
        <v>School EducationKolhapur School Education EstablishmentCWorkshop Assistant, (D.S.P.S.)S14 (38600 - 122800)</v>
      </c>
      <c r="K965" s="36"/>
      <c r="L965" s="36"/>
      <c r="M965" s="45" t="s">
        <v>2436</v>
      </c>
      <c r="N965" s="36" t="s">
        <v>165</v>
      </c>
      <c r="O965" s="6" t="s">
        <v>33</v>
      </c>
      <c r="P965" s="8"/>
      <c r="Q965" s="7" t="s">
        <v>34</v>
      </c>
      <c r="R965" s="8"/>
      <c r="S965" s="8"/>
      <c r="T965" s="4" t="s">
        <v>3276</v>
      </c>
      <c r="U965" s="36" t="s">
        <v>34</v>
      </c>
      <c r="V965" s="38" t="s">
        <v>2437</v>
      </c>
      <c r="W965" s="36"/>
      <c r="X965" s="36" t="s">
        <v>2438</v>
      </c>
      <c r="Y965" s="36" t="s">
        <v>2434</v>
      </c>
      <c r="Z965" s="41"/>
      <c r="AA965" s="42" t="e">
        <f>_xlfn.XLOOKUP(C965,#REF!,#REF!,"",0,1)</f>
        <v>#REF!</v>
      </c>
      <c r="AB965" s="43">
        <f t="shared" si="43"/>
        <v>0</v>
      </c>
    </row>
    <row r="966" spans="1:28" ht="195.5" thickBot="1" x14ac:dyDescent="0.3">
      <c r="A966" s="36">
        <v>965</v>
      </c>
      <c r="B966" s="36" t="s">
        <v>24</v>
      </c>
      <c r="C966" s="36" t="s">
        <v>1645</v>
      </c>
      <c r="D966" s="37">
        <v>37697</v>
      </c>
      <c r="E966" s="36" t="s">
        <v>2381</v>
      </c>
      <c r="F966" s="36" t="s">
        <v>2501</v>
      </c>
      <c r="G966" s="36" t="s">
        <v>55</v>
      </c>
      <c r="H966" s="36" t="s">
        <v>2515</v>
      </c>
      <c r="I966" s="36" t="s">
        <v>67</v>
      </c>
      <c r="J966" s="36" t="str">
        <f t="shared" si="41"/>
        <v>School EducationKolhapur School Education EstablishmentCStenographer (Lower Grade), Sashi/Adult Education/M.R.Shai.Tech.No./ Marashai Samprap/Dist. Shi. Q. no.S14 (38600 - 122800)</v>
      </c>
      <c r="K966" s="36" t="s">
        <v>68</v>
      </c>
      <c r="L966" s="36" t="s">
        <v>231</v>
      </c>
      <c r="M966" s="38" t="s">
        <v>2516</v>
      </c>
      <c r="N966" s="36" t="s">
        <v>70</v>
      </c>
      <c r="O966" s="6" t="s">
        <v>33</v>
      </c>
      <c r="P966" s="8"/>
      <c r="Q966" s="7" t="s">
        <v>34</v>
      </c>
      <c r="R966" s="8"/>
      <c r="S966" s="8"/>
      <c r="T966" s="4" t="s">
        <v>3276</v>
      </c>
      <c r="U966" s="36" t="s">
        <v>34</v>
      </c>
      <c r="V966" s="38" t="s">
        <v>2490</v>
      </c>
      <c r="W966" s="36"/>
      <c r="X966" s="36"/>
      <c r="Y966" s="36"/>
      <c r="Z966" s="56"/>
      <c r="AA966" s="42" t="e">
        <f>_xlfn.XLOOKUP(C966,#REF!,#REF!,"",0,1)</f>
        <v>#REF!</v>
      </c>
      <c r="AB966" s="43">
        <f t="shared" si="43"/>
        <v>0</v>
      </c>
    </row>
    <row r="967" spans="1:28" ht="221.5" thickBot="1" x14ac:dyDescent="0.3">
      <c r="A967" s="36">
        <v>966</v>
      </c>
      <c r="B967" s="36" t="s">
        <v>24</v>
      </c>
      <c r="C967" s="36" t="s">
        <v>1645</v>
      </c>
      <c r="D967" s="37">
        <v>37697</v>
      </c>
      <c r="E967" s="36" t="s">
        <v>2381</v>
      </c>
      <c r="F967" s="36" t="s">
        <v>2501</v>
      </c>
      <c r="G967" s="36" t="s">
        <v>55</v>
      </c>
      <c r="H967" s="36" t="s">
        <v>2517</v>
      </c>
      <c r="I967" s="36" t="s">
        <v>44</v>
      </c>
      <c r="J967" s="36" t="str">
        <f t="shared" si="41"/>
        <v>School EducationKolhapur School Education EstablishmentCStenographer (Higher Grade) (General Education / Maharashtra State Council of Educational Research and Training / Adult Education)S15 (41800 - 132300)</v>
      </c>
      <c r="K967" s="36" t="s">
        <v>1335</v>
      </c>
      <c r="L967" s="36" t="s">
        <v>228</v>
      </c>
      <c r="M967" s="38" t="s">
        <v>2518</v>
      </c>
      <c r="N967" s="36" t="s">
        <v>70</v>
      </c>
      <c r="O967" s="6" t="s">
        <v>33</v>
      </c>
      <c r="P967" s="7"/>
      <c r="Q967" s="7" t="s">
        <v>34</v>
      </c>
      <c r="R967" s="8"/>
      <c r="S967" s="8"/>
      <c r="T967" s="7" t="s">
        <v>35</v>
      </c>
      <c r="U967" s="36" t="s">
        <v>34</v>
      </c>
      <c r="V967" s="38" t="s">
        <v>2490</v>
      </c>
      <c r="W967" s="36"/>
      <c r="X967" s="36"/>
      <c r="Y967" s="36"/>
      <c r="Z967" s="56"/>
      <c r="AA967" s="42" t="e">
        <f>_xlfn.XLOOKUP(C967,#REF!,#REF!,"",0,1)</f>
        <v>#REF!</v>
      </c>
      <c r="AB967" s="43">
        <f t="shared" si="43"/>
        <v>0</v>
      </c>
    </row>
    <row r="968" spans="1:28" ht="130.5" thickBot="1" x14ac:dyDescent="0.3">
      <c r="A968" s="36">
        <v>967</v>
      </c>
      <c r="B968" s="36" t="s">
        <v>24</v>
      </c>
      <c r="C968" s="36" t="s">
        <v>1645</v>
      </c>
      <c r="D968" s="37">
        <v>37697</v>
      </c>
      <c r="E968" s="36" t="s">
        <v>2381</v>
      </c>
      <c r="F968" s="36" t="s">
        <v>2501</v>
      </c>
      <c r="G968" s="36" t="s">
        <v>55</v>
      </c>
      <c r="H968" s="36" t="s">
        <v>2519</v>
      </c>
      <c r="I968" s="36" t="s">
        <v>44</v>
      </c>
      <c r="J968" s="36" t="str">
        <f t="shared" si="41"/>
        <v>School EducationKolhapur School Education EstablishmentCAssistant Project Officer (Prof. Shi.)S15 (41800 - 132300)</v>
      </c>
      <c r="K968" s="36" t="s">
        <v>2453</v>
      </c>
      <c r="L968" s="36" t="s">
        <v>225</v>
      </c>
      <c r="M968" s="45" t="s">
        <v>2447</v>
      </c>
      <c r="N968" s="36" t="s">
        <v>2454</v>
      </c>
      <c r="O968" s="6" t="s">
        <v>33</v>
      </c>
      <c r="P968" s="7">
        <v>38</v>
      </c>
      <c r="Q968" s="7" t="s">
        <v>34</v>
      </c>
      <c r="R968" s="8"/>
      <c r="S968" s="8"/>
      <c r="T968" s="7" t="s">
        <v>35</v>
      </c>
      <c r="U968" s="36" t="s">
        <v>34</v>
      </c>
      <c r="V968" s="38" t="s">
        <v>2455</v>
      </c>
      <c r="W968" s="36"/>
      <c r="X968" s="36" t="s">
        <v>2456</v>
      </c>
      <c r="Y968" s="36" t="s">
        <v>2450</v>
      </c>
      <c r="Z968" s="56" t="s">
        <v>2451</v>
      </c>
      <c r="AA968" s="42" t="e">
        <f>_xlfn.XLOOKUP(C968,#REF!,#REF!,"",0,1)</f>
        <v>#REF!</v>
      </c>
      <c r="AB968" s="43">
        <f t="shared" si="43"/>
        <v>0</v>
      </c>
    </row>
    <row r="969" spans="1:28" ht="156.5" thickBot="1" x14ac:dyDescent="0.3">
      <c r="A969" s="44">
        <v>968</v>
      </c>
      <c r="B969" s="44" t="s">
        <v>24</v>
      </c>
      <c r="C969" s="36" t="s">
        <v>1645</v>
      </c>
      <c r="D969" s="37">
        <v>37697</v>
      </c>
      <c r="E969" s="44" t="s">
        <v>2381</v>
      </c>
      <c r="F969" s="44" t="s">
        <v>2501</v>
      </c>
      <c r="G969" s="44" t="s">
        <v>55</v>
      </c>
      <c r="H969" s="49" t="s">
        <v>2520</v>
      </c>
      <c r="I969" s="44" t="s">
        <v>44</v>
      </c>
      <c r="J969" s="44" t="str">
        <f t="shared" si="41"/>
        <v>School EducationKolhapur School Education EstablishmentCProgram Assistant (Prof. Shi.)S15 (41800 - 132300)</v>
      </c>
      <c r="K969" s="36" t="s">
        <v>2453</v>
      </c>
      <c r="L969" s="44" t="s">
        <v>261</v>
      </c>
      <c r="M969" s="45" t="s">
        <v>2521</v>
      </c>
      <c r="N969" s="36" t="s">
        <v>2454</v>
      </c>
      <c r="O969" s="11" t="s">
        <v>33</v>
      </c>
      <c r="P969" s="12">
        <v>4</v>
      </c>
      <c r="Q969" s="12" t="s">
        <v>34</v>
      </c>
      <c r="R969" s="13"/>
      <c r="S969" s="13"/>
      <c r="T969" s="4" t="s">
        <v>3276</v>
      </c>
      <c r="U969" s="44" t="s">
        <v>34</v>
      </c>
      <c r="V969" s="45" t="s">
        <v>2522</v>
      </c>
      <c r="W969" s="44"/>
      <c r="X969" s="44" t="s">
        <v>2456</v>
      </c>
      <c r="Y969" s="44" t="s">
        <v>2450</v>
      </c>
      <c r="Z969" s="56"/>
      <c r="AA969" s="42" t="e">
        <f>_xlfn.XLOOKUP(C969,#REF!,#REF!,"",0,1)</f>
        <v>#REF!</v>
      </c>
      <c r="AB969" s="43">
        <f t="shared" si="43"/>
        <v>0</v>
      </c>
    </row>
    <row r="970" spans="1:28" ht="195.5" thickBot="1" x14ac:dyDescent="0.3">
      <c r="A970" s="36">
        <v>969</v>
      </c>
      <c r="B970" s="36" t="s">
        <v>532</v>
      </c>
      <c r="C970" s="36" t="s">
        <v>1645</v>
      </c>
      <c r="D970" s="37">
        <v>37697</v>
      </c>
      <c r="E970" s="36" t="s">
        <v>2381</v>
      </c>
      <c r="F970" s="36" t="s">
        <v>2501</v>
      </c>
      <c r="G970" s="36" t="s">
        <v>55</v>
      </c>
      <c r="H970" s="36" t="s">
        <v>2523</v>
      </c>
      <c r="I970" s="36" t="s">
        <v>44</v>
      </c>
      <c r="J970" s="36" t="str">
        <f t="shared" si="41"/>
        <v>School EducationKolhapur School Education EstablishmentCAssistant Deputy Inspector of Education (General Education / Adult Education)S15 (41800 - 132300)</v>
      </c>
      <c r="K970" s="36"/>
      <c r="L970" s="36"/>
      <c r="M970" s="38" t="s">
        <v>2524</v>
      </c>
      <c r="N970" s="36"/>
      <c r="O970" s="6" t="s">
        <v>33</v>
      </c>
      <c r="P970" s="8"/>
      <c r="Q970" s="7" t="s">
        <v>34</v>
      </c>
      <c r="R970" s="8"/>
      <c r="S970" s="8"/>
      <c r="T970" s="4" t="s">
        <v>3276</v>
      </c>
      <c r="U970" s="36" t="s">
        <v>34</v>
      </c>
      <c r="V970" s="38" t="s">
        <v>444</v>
      </c>
      <c r="W970" s="36"/>
      <c r="X970" s="36"/>
      <c r="Y970" s="36"/>
      <c r="Z970" s="41"/>
      <c r="AA970" s="42" t="e">
        <f>_xlfn.XLOOKUP(C970,#REF!,#REF!,"",0,1)</f>
        <v>#REF!</v>
      </c>
      <c r="AB970" s="43">
        <f t="shared" si="43"/>
        <v>0</v>
      </c>
    </row>
    <row r="971" spans="1:28" ht="182.5" thickBot="1" x14ac:dyDescent="0.3">
      <c r="A971" s="36">
        <v>970</v>
      </c>
      <c r="B971" s="36" t="s">
        <v>532</v>
      </c>
      <c r="C971" s="36" t="s">
        <v>1645</v>
      </c>
      <c r="D971" s="37">
        <v>37697</v>
      </c>
      <c r="E971" s="36" t="s">
        <v>2381</v>
      </c>
      <c r="F971" s="36" t="s">
        <v>2501</v>
      </c>
      <c r="G971" s="36" t="s">
        <v>55</v>
      </c>
      <c r="H971" s="36" t="s">
        <v>2525</v>
      </c>
      <c r="I971" s="36" t="s">
        <v>44</v>
      </c>
      <c r="J971" s="36" t="str">
        <f t="shared" si="41"/>
        <v>School EducationKolhapur School Education EstablishmentCAdministrative Officer (Municipal Board of Education), General EducationS15 (41800 - 132300)</v>
      </c>
      <c r="K971" s="36"/>
      <c r="L971" s="36"/>
      <c r="M971" s="38" t="s">
        <v>2526</v>
      </c>
      <c r="N971" s="36"/>
      <c r="O971" s="6" t="s">
        <v>33</v>
      </c>
      <c r="P971" s="8"/>
      <c r="Q971" s="7" t="s">
        <v>34</v>
      </c>
      <c r="R971" s="8"/>
      <c r="S971" s="8"/>
      <c r="T971" s="4" t="s">
        <v>3276</v>
      </c>
      <c r="U971" s="36" t="s">
        <v>34</v>
      </c>
      <c r="V971" s="38" t="s">
        <v>444</v>
      </c>
      <c r="W971" s="36"/>
      <c r="X971" s="36"/>
      <c r="Y971" s="36"/>
      <c r="Z971" s="41"/>
      <c r="AA971" s="42" t="e">
        <f>_xlfn.XLOOKUP(C971,#REF!,#REF!,"",0,1)</f>
        <v>#REF!</v>
      </c>
      <c r="AB971" s="43">
        <f t="shared" si="43"/>
        <v>0</v>
      </c>
    </row>
    <row r="972" spans="1:28" ht="299.5" thickBot="1" x14ac:dyDescent="0.3">
      <c r="A972" s="36">
        <v>971</v>
      </c>
      <c r="B972" s="36" t="s">
        <v>983</v>
      </c>
      <c r="C972" s="36" t="s">
        <v>1645</v>
      </c>
      <c r="D972" s="37">
        <v>37697</v>
      </c>
      <c r="E972" s="36" t="s">
        <v>2381</v>
      </c>
      <c r="F972" s="36" t="s">
        <v>2501</v>
      </c>
      <c r="G972" s="36" t="s">
        <v>55</v>
      </c>
      <c r="H972" s="36" t="s">
        <v>2459</v>
      </c>
      <c r="I972" s="36" t="s">
        <v>44</v>
      </c>
      <c r="J972" s="36" t="str">
        <f t="shared" si="41"/>
        <v>School EducationKolhapur School Education EstablishmentCAssistant Teacher, Government Teachers College / S. T. College, Mumbai / Government Vidyaniketane / Asst. Teacher, Govt. D.Ed. College/S.T. College, Mumbai/ Govt. Vidya NiketanS15 (41800 - 132300)</v>
      </c>
      <c r="K972" s="36"/>
      <c r="L972" s="36"/>
      <c r="M972" s="45" t="s">
        <v>2447</v>
      </c>
      <c r="N972" s="36" t="s">
        <v>986</v>
      </c>
      <c r="O972" s="6" t="s">
        <v>33</v>
      </c>
      <c r="P972" s="8"/>
      <c r="Q972" s="7" t="s">
        <v>34</v>
      </c>
      <c r="R972" s="8"/>
      <c r="S972" s="8"/>
      <c r="T972" s="4" t="s">
        <v>3276</v>
      </c>
      <c r="U972" s="36" t="s">
        <v>34</v>
      </c>
      <c r="V972" s="38" t="s">
        <v>444</v>
      </c>
      <c r="W972" s="36"/>
      <c r="X972" s="36"/>
      <c r="Y972" s="36"/>
      <c r="Z972" s="41"/>
      <c r="AA972" s="42" t="e">
        <f>_xlfn.XLOOKUP(C972,#REF!,#REF!,"",0,1)</f>
        <v>#REF!</v>
      </c>
      <c r="AB972" s="43">
        <f t="shared" si="43"/>
        <v>0</v>
      </c>
    </row>
    <row r="973" spans="1:28" ht="143.5" thickBot="1" x14ac:dyDescent="0.3">
      <c r="A973" s="44">
        <v>972</v>
      </c>
      <c r="B973" s="44" t="s">
        <v>24</v>
      </c>
      <c r="C973" s="36" t="s">
        <v>1645</v>
      </c>
      <c r="D973" s="37">
        <v>37697</v>
      </c>
      <c r="E973" s="44" t="s">
        <v>2381</v>
      </c>
      <c r="F973" s="44" t="s">
        <v>2501</v>
      </c>
      <c r="G973" s="44" t="s">
        <v>55</v>
      </c>
      <c r="H973" s="44" t="s">
        <v>2527</v>
      </c>
      <c r="I973" s="44" t="s">
        <v>44</v>
      </c>
      <c r="J973" s="44" t="str">
        <f t="shared" si="41"/>
        <v>School EducationKolhapur School Education EstablishmentCDistrict Science Supervisor (S.Sc.)S15 (41800 - 132300)</v>
      </c>
      <c r="K973" s="44"/>
      <c r="L973" s="44" t="s">
        <v>261</v>
      </c>
      <c r="M973" s="45" t="s">
        <v>2447</v>
      </c>
      <c r="N973" s="44" t="s">
        <v>113</v>
      </c>
      <c r="O973" s="11" t="s">
        <v>33</v>
      </c>
      <c r="P973" s="13"/>
      <c r="Q973" s="12" t="s">
        <v>34</v>
      </c>
      <c r="R973" s="13"/>
      <c r="S973" s="13"/>
      <c r="T973" s="4" t="s">
        <v>3276</v>
      </c>
      <c r="U973" s="44" t="s">
        <v>34</v>
      </c>
      <c r="V973" s="45"/>
      <c r="W973" s="44"/>
      <c r="X973" s="44"/>
      <c r="Y973" s="44"/>
      <c r="Z973" s="56"/>
      <c r="AA973" s="42" t="e">
        <f>_xlfn.XLOOKUP(C973,#REF!,#REF!,"",0,1)</f>
        <v>#REF!</v>
      </c>
      <c r="AB973" s="43">
        <f t="shared" si="43"/>
        <v>0</v>
      </c>
    </row>
    <row r="974" spans="1:28" ht="182.5" thickBot="1" x14ac:dyDescent="0.3">
      <c r="A974" s="36">
        <v>973</v>
      </c>
      <c r="B974" s="36" t="s">
        <v>24</v>
      </c>
      <c r="C974" s="36" t="s">
        <v>1645</v>
      </c>
      <c r="D974" s="37">
        <v>37697</v>
      </c>
      <c r="E974" s="36" t="s">
        <v>2381</v>
      </c>
      <c r="F974" s="36" t="s">
        <v>2501</v>
      </c>
      <c r="G974" s="36" t="s">
        <v>55</v>
      </c>
      <c r="H974" s="36" t="s">
        <v>2528</v>
      </c>
      <c r="I974" s="36" t="s">
        <v>74</v>
      </c>
      <c r="J974" s="36" t="str">
        <f t="shared" si="41"/>
        <v>School EducationKolhapur School Education EstablishmentCJunior Clerk (Professor/Professor/Professor/M.R.S.S.P.P.P./ R.S.S.Tech.S.No./M.R.S.P.P.)S6 (19900 - 63200)</v>
      </c>
      <c r="K974" s="36" t="s">
        <v>75</v>
      </c>
      <c r="L974" s="36" t="s">
        <v>228</v>
      </c>
      <c r="M974" s="38" t="s">
        <v>2529</v>
      </c>
      <c r="N974" s="36" t="s">
        <v>70</v>
      </c>
      <c r="O974" s="6" t="s">
        <v>33</v>
      </c>
      <c r="P974" s="7">
        <v>25</v>
      </c>
      <c r="Q974" s="7" t="s">
        <v>34</v>
      </c>
      <c r="R974" s="8"/>
      <c r="S974" s="8"/>
      <c r="T974" s="7" t="s">
        <v>61</v>
      </c>
      <c r="U974" s="36"/>
      <c r="V974" s="38" t="s">
        <v>2468</v>
      </c>
      <c r="W974" s="36"/>
      <c r="X974" s="36" t="s">
        <v>2469</v>
      </c>
      <c r="Y974" s="50">
        <v>25121</v>
      </c>
      <c r="Z974" s="56"/>
      <c r="AA974" s="42" t="e">
        <f>_xlfn.XLOOKUP(C974,#REF!,#REF!,"",0,1)</f>
        <v>#REF!</v>
      </c>
      <c r="AB974" s="43">
        <f t="shared" si="43"/>
        <v>0</v>
      </c>
    </row>
    <row r="975" spans="1:28" ht="117.5" thickBot="1" x14ac:dyDescent="0.3">
      <c r="A975" s="44">
        <v>974</v>
      </c>
      <c r="B975" s="44" t="s">
        <v>24</v>
      </c>
      <c r="C975" s="36" t="s">
        <v>1645</v>
      </c>
      <c r="D975" s="37">
        <v>37697</v>
      </c>
      <c r="E975" s="44" t="s">
        <v>2381</v>
      </c>
      <c r="F975" s="44" t="s">
        <v>2501</v>
      </c>
      <c r="G975" s="44" t="s">
        <v>55</v>
      </c>
      <c r="H975" s="44" t="s">
        <v>2530</v>
      </c>
      <c r="I975" s="44" t="s">
        <v>74</v>
      </c>
      <c r="J975" s="44" t="str">
        <f t="shared" si="41"/>
        <v>School EducationKolhapur School Education EstablishmentCCable-Nail Operator (S.S.I.)S6 (19900 - 63200)</v>
      </c>
      <c r="K975" s="44"/>
      <c r="L975" s="44" t="s">
        <v>261</v>
      </c>
      <c r="M975" s="45" t="s">
        <v>2531</v>
      </c>
      <c r="N975" s="44" t="s">
        <v>113</v>
      </c>
      <c r="O975" s="11" t="s">
        <v>83</v>
      </c>
      <c r="P975" s="13"/>
      <c r="Q975" s="12" t="s">
        <v>34</v>
      </c>
      <c r="R975" s="13"/>
      <c r="S975" s="13"/>
      <c r="T975" s="4" t="s">
        <v>3276</v>
      </c>
      <c r="U975" s="44" t="s">
        <v>34</v>
      </c>
      <c r="V975" s="45"/>
      <c r="W975" s="44"/>
      <c r="X975" s="44"/>
      <c r="Y975" s="44"/>
      <c r="Z975" s="56"/>
      <c r="AA975" s="42" t="e">
        <f>_xlfn.XLOOKUP(C975,#REF!,#REF!,"",0,1)</f>
        <v>#REF!</v>
      </c>
      <c r="AB975" s="43">
        <f t="shared" si="43"/>
        <v>0</v>
      </c>
    </row>
    <row r="976" spans="1:28" ht="104.5" thickBot="1" x14ac:dyDescent="0.3">
      <c r="A976" s="36">
        <v>975</v>
      </c>
      <c r="B976" s="36" t="s">
        <v>24</v>
      </c>
      <c r="C976" s="36" t="s">
        <v>1645</v>
      </c>
      <c r="D976" s="37">
        <v>37697</v>
      </c>
      <c r="E976" s="36" t="s">
        <v>2381</v>
      </c>
      <c r="F976" s="36" t="s">
        <v>2501</v>
      </c>
      <c r="G976" s="36" t="s">
        <v>55</v>
      </c>
      <c r="H976" s="36" t="s">
        <v>1773</v>
      </c>
      <c r="I976" s="36" t="s">
        <v>169</v>
      </c>
      <c r="J976" s="36" t="str">
        <f t="shared" si="41"/>
        <v>School EducationKolhapur School Education EstablishmentCLaboratory AssistantS7 (21700 - 69100)</v>
      </c>
      <c r="K976" s="36" t="s">
        <v>377</v>
      </c>
      <c r="L976" s="36" t="s">
        <v>225</v>
      </c>
      <c r="M976" s="38" t="s">
        <v>2462</v>
      </c>
      <c r="N976" s="36" t="s">
        <v>379</v>
      </c>
      <c r="O976" s="6" t="s">
        <v>33</v>
      </c>
      <c r="P976" s="7">
        <v>2</v>
      </c>
      <c r="Q976" s="7" t="s">
        <v>34</v>
      </c>
      <c r="R976" s="8"/>
      <c r="S976" s="8"/>
      <c r="T976" s="7" t="s">
        <v>35</v>
      </c>
      <c r="U976" s="36" t="s">
        <v>34</v>
      </c>
      <c r="V976" s="38" t="s">
        <v>2463</v>
      </c>
      <c r="W976" s="36"/>
      <c r="X976" s="36" t="s">
        <v>2464</v>
      </c>
      <c r="Y976" s="36" t="s">
        <v>2465</v>
      </c>
      <c r="Z976" s="56"/>
      <c r="AA976" s="42" t="e">
        <f>_xlfn.XLOOKUP(C976,#REF!,#REF!,"",0,1)</f>
        <v>#REF!</v>
      </c>
      <c r="AB976" s="43">
        <f t="shared" si="43"/>
        <v>0</v>
      </c>
    </row>
    <row r="977" spans="1:28" ht="130.5" thickBot="1" x14ac:dyDescent="0.3">
      <c r="A977" s="44">
        <v>976</v>
      </c>
      <c r="B977" s="44" t="s">
        <v>24</v>
      </c>
      <c r="C977" s="36" t="s">
        <v>1645</v>
      </c>
      <c r="D977" s="37">
        <v>37697</v>
      </c>
      <c r="E977" s="44" t="s">
        <v>2381</v>
      </c>
      <c r="F977" s="44" t="s">
        <v>2501</v>
      </c>
      <c r="G977" s="44" t="s">
        <v>55</v>
      </c>
      <c r="H977" s="44" t="s">
        <v>2532</v>
      </c>
      <c r="I977" s="44" t="s">
        <v>169</v>
      </c>
      <c r="J977" s="44" t="str">
        <f t="shared" si="41"/>
        <v>School EducationKolhapur School Education EstablishmentCTaluka Commissioner, General EducationS7 (21700 - 69100)</v>
      </c>
      <c r="K977" s="44"/>
      <c r="L977" s="44" t="s">
        <v>261</v>
      </c>
      <c r="M977" s="45" t="s">
        <v>2533</v>
      </c>
      <c r="N977" s="44" t="s">
        <v>113</v>
      </c>
      <c r="O977" s="11" t="s">
        <v>33</v>
      </c>
      <c r="P977" s="13"/>
      <c r="Q977" s="12" t="s">
        <v>34</v>
      </c>
      <c r="R977" s="13"/>
      <c r="S977" s="13"/>
      <c r="T977" s="4" t="s">
        <v>3276</v>
      </c>
      <c r="U977" s="44" t="s">
        <v>34</v>
      </c>
      <c r="V977" s="45"/>
      <c r="W977" s="44"/>
      <c r="X977" s="44"/>
      <c r="Y977" s="44"/>
      <c r="Z977" s="56"/>
      <c r="AA977" s="42" t="e">
        <f>_xlfn.XLOOKUP(C977,#REF!,#REF!,"",0,1)</f>
        <v>#REF!</v>
      </c>
      <c r="AB977" s="43">
        <f t="shared" si="43"/>
        <v>0</v>
      </c>
    </row>
    <row r="978" spans="1:28" ht="91.5" thickBot="1" x14ac:dyDescent="0.3">
      <c r="A978" s="36">
        <v>977</v>
      </c>
      <c r="B978" s="36" t="s">
        <v>24</v>
      </c>
      <c r="C978" s="36" t="s">
        <v>1645</v>
      </c>
      <c r="D978" s="37">
        <v>37697</v>
      </c>
      <c r="E978" s="36" t="s">
        <v>2381</v>
      </c>
      <c r="F978" s="36" t="s">
        <v>2501</v>
      </c>
      <c r="G978" s="36" t="s">
        <v>55</v>
      </c>
      <c r="H978" s="36" t="s">
        <v>87</v>
      </c>
      <c r="I978" s="36" t="s">
        <v>80</v>
      </c>
      <c r="J978" s="36" t="str">
        <f t="shared" si="41"/>
        <v>School EducationKolhapur School Education EstablishmentCSenior ClerkS8 (25500 - 81100)</v>
      </c>
      <c r="K978" s="36" t="s">
        <v>75</v>
      </c>
      <c r="L978" s="36" t="s">
        <v>228</v>
      </c>
      <c r="M978" s="38" t="s">
        <v>2534</v>
      </c>
      <c r="N978" s="36" t="s">
        <v>2427</v>
      </c>
      <c r="O978" s="6" t="s">
        <v>33</v>
      </c>
      <c r="P978" s="7">
        <v>18</v>
      </c>
      <c r="Q978" s="7" t="s">
        <v>34</v>
      </c>
      <c r="R978" s="8"/>
      <c r="S978" s="8"/>
      <c r="T978" s="7" t="s">
        <v>35</v>
      </c>
      <c r="U978" s="36" t="s">
        <v>34</v>
      </c>
      <c r="V978" s="38" t="s">
        <v>2472</v>
      </c>
      <c r="W978" s="36"/>
      <c r="X978" s="36" t="s">
        <v>2469</v>
      </c>
      <c r="Y978" s="50">
        <v>25121</v>
      </c>
      <c r="Z978" s="56"/>
      <c r="AA978" s="42" t="e">
        <f>_xlfn.XLOOKUP(C978,#REF!,#REF!,"",0,1)</f>
        <v>#REF!</v>
      </c>
      <c r="AB978" s="43">
        <f t="shared" si="43"/>
        <v>0</v>
      </c>
    </row>
    <row r="979" spans="1:28" ht="130.5" thickBot="1" x14ac:dyDescent="0.3">
      <c r="A979" s="44">
        <v>978</v>
      </c>
      <c r="B979" s="44" t="s">
        <v>24</v>
      </c>
      <c r="C979" s="36" t="s">
        <v>1645</v>
      </c>
      <c r="D979" s="37">
        <v>37697</v>
      </c>
      <c r="E979" s="44" t="s">
        <v>2381</v>
      </c>
      <c r="F979" s="44" t="s">
        <v>2501</v>
      </c>
      <c r="G979" s="44" t="s">
        <v>55</v>
      </c>
      <c r="H979" s="49" t="s">
        <v>2535</v>
      </c>
      <c r="I979" s="44" t="s">
        <v>80</v>
      </c>
      <c r="J979" s="44" t="str">
        <f t="shared" si="41"/>
        <v>School EducationKolhapur School Education EstablishmentCCraft Teacher (S.Sc.)- Karyanubhav ShikshakS8 (25500 - 81100)</v>
      </c>
      <c r="K979" s="36" t="s">
        <v>2453</v>
      </c>
      <c r="L979" s="44" t="s">
        <v>261</v>
      </c>
      <c r="M979" s="45" t="s">
        <v>2536</v>
      </c>
      <c r="N979" s="36" t="s">
        <v>41</v>
      </c>
      <c r="O979" s="11" t="s">
        <v>33</v>
      </c>
      <c r="P979" s="13"/>
      <c r="Q979" s="12" t="s">
        <v>34</v>
      </c>
      <c r="R979" s="13"/>
      <c r="S979" s="13"/>
      <c r="T979" s="4" t="s">
        <v>3276</v>
      </c>
      <c r="U979" s="44" t="s">
        <v>34</v>
      </c>
      <c r="V979" s="45" t="s">
        <v>2536</v>
      </c>
      <c r="W979" s="44"/>
      <c r="X979" s="44" t="s">
        <v>150</v>
      </c>
      <c r="Y979" s="44" t="s">
        <v>150</v>
      </c>
      <c r="Z979" s="56"/>
      <c r="AA979" s="42" t="e">
        <f>_xlfn.XLOOKUP(C979,#REF!,#REF!,"",0,1)</f>
        <v>#REF!</v>
      </c>
      <c r="AB979" s="43">
        <f t="shared" si="43"/>
        <v>0</v>
      </c>
    </row>
    <row r="980" spans="1:28" ht="104.5" thickBot="1" x14ac:dyDescent="0.3">
      <c r="A980" s="44">
        <v>979</v>
      </c>
      <c r="B980" s="44" t="s">
        <v>24</v>
      </c>
      <c r="C980" s="36" t="s">
        <v>1645</v>
      </c>
      <c r="D980" s="37">
        <v>37697</v>
      </c>
      <c r="E980" s="44" t="s">
        <v>2381</v>
      </c>
      <c r="F980" s="44" t="s">
        <v>2501</v>
      </c>
      <c r="G980" s="44" t="s">
        <v>55</v>
      </c>
      <c r="H980" s="44" t="s">
        <v>2537</v>
      </c>
      <c r="I980" s="44" t="s">
        <v>80</v>
      </c>
      <c r="J980" s="44" t="str">
        <f t="shared" si="41"/>
        <v>School EducationKolhapur School Education EstablishmentCSupervisor (Prof.S8 (25500 - 81100)</v>
      </c>
      <c r="K980" s="44"/>
      <c r="L980" s="44" t="s">
        <v>261</v>
      </c>
      <c r="M980" s="45" t="s">
        <v>2538</v>
      </c>
      <c r="N980" s="44" t="s">
        <v>113</v>
      </c>
      <c r="O980" s="11" t="s">
        <v>33</v>
      </c>
      <c r="P980" s="13"/>
      <c r="Q980" s="12" t="s">
        <v>34</v>
      </c>
      <c r="R980" s="13"/>
      <c r="S980" s="13"/>
      <c r="T980" s="4" t="s">
        <v>3276</v>
      </c>
      <c r="U980" s="44" t="s">
        <v>34</v>
      </c>
      <c r="V980" s="45"/>
      <c r="W980" s="44"/>
      <c r="X980" s="44"/>
      <c r="Y980" s="44"/>
      <c r="Z980" s="56"/>
      <c r="AA980" s="42" t="e">
        <f>_xlfn.XLOOKUP(C980,#REF!,#REF!,"",0,1)</f>
        <v>#REF!</v>
      </c>
      <c r="AB980" s="43">
        <f t="shared" si="43"/>
        <v>0</v>
      </c>
    </row>
    <row r="981" spans="1:28" ht="130.5" thickBot="1" x14ac:dyDescent="0.3">
      <c r="A981" s="36">
        <v>980</v>
      </c>
      <c r="B981" s="36" t="s">
        <v>24</v>
      </c>
      <c r="C981" s="36" t="s">
        <v>1645</v>
      </c>
      <c r="D981" s="37">
        <v>37697</v>
      </c>
      <c r="E981" s="36" t="s">
        <v>2381</v>
      </c>
      <c r="F981" s="36" t="s">
        <v>2539</v>
      </c>
      <c r="G981" s="36" t="s">
        <v>55</v>
      </c>
      <c r="H981" s="36" t="s">
        <v>2540</v>
      </c>
      <c r="I981" s="36" t="s">
        <v>276</v>
      </c>
      <c r="J981" s="36" t="str">
        <f t="shared" si="41"/>
        <v>School EducationLatur School Education EstablishmentCStatistical Assistant (MSCERT/A.E./GE/ DIET)S10 (29200 - 92300)</v>
      </c>
      <c r="K981" s="36" t="s">
        <v>115</v>
      </c>
      <c r="L981" s="36" t="s">
        <v>225</v>
      </c>
      <c r="M981" s="38" t="s">
        <v>2541</v>
      </c>
      <c r="N981" s="36" t="s">
        <v>179</v>
      </c>
      <c r="O981" s="6" t="s">
        <v>33</v>
      </c>
      <c r="P981" s="7">
        <v>3</v>
      </c>
      <c r="Q981" s="7" t="s">
        <v>34</v>
      </c>
      <c r="R981" s="8"/>
      <c r="S981" s="8"/>
      <c r="T981" s="7" t="s">
        <v>35</v>
      </c>
      <c r="U981" s="36" t="s">
        <v>34</v>
      </c>
      <c r="V981" s="38" t="s">
        <v>2542</v>
      </c>
      <c r="W981" s="36"/>
      <c r="X981" s="36" t="s">
        <v>2233</v>
      </c>
      <c r="Y981" s="36" t="s">
        <v>2234</v>
      </c>
      <c r="Z981" s="56"/>
      <c r="AA981" s="42" t="e">
        <f>_xlfn.XLOOKUP(C981,#REF!,#REF!,"",0,1)</f>
        <v>#REF!</v>
      </c>
      <c r="AB981" s="43">
        <f t="shared" si="43"/>
        <v>0</v>
      </c>
    </row>
    <row r="982" spans="1:28" ht="117.5" thickBot="1" x14ac:dyDescent="0.3">
      <c r="A982" s="44">
        <v>981</v>
      </c>
      <c r="B982" s="44" t="s">
        <v>24</v>
      </c>
      <c r="C982" s="36" t="s">
        <v>1645</v>
      </c>
      <c r="D982" s="37">
        <v>37697</v>
      </c>
      <c r="E982" s="44" t="s">
        <v>2381</v>
      </c>
      <c r="F982" s="44" t="s">
        <v>2539</v>
      </c>
      <c r="G982" s="44" t="s">
        <v>55</v>
      </c>
      <c r="H982" s="44" t="s">
        <v>2543</v>
      </c>
      <c r="I982" s="44" t="s">
        <v>276</v>
      </c>
      <c r="J982" s="44" t="str">
        <f t="shared" si="41"/>
        <v>School EducationLatur School Education EstablishmentCcraft teacher craft teacherS10 (29200 - 92300)</v>
      </c>
      <c r="K982" s="44"/>
      <c r="L982" s="44" t="s">
        <v>261</v>
      </c>
      <c r="M982" s="45" t="s">
        <v>2544</v>
      </c>
      <c r="N982" s="44" t="s">
        <v>113</v>
      </c>
      <c r="O982" s="11" t="s">
        <v>33</v>
      </c>
      <c r="P982" s="13"/>
      <c r="Q982" s="12" t="s">
        <v>34</v>
      </c>
      <c r="R982" s="13"/>
      <c r="S982" s="13"/>
      <c r="T982" s="4" t="s">
        <v>3276</v>
      </c>
      <c r="U982" s="44" t="s">
        <v>34</v>
      </c>
      <c r="V982" s="45"/>
      <c r="W982" s="44"/>
      <c r="X982" s="44"/>
      <c r="Y982" s="44"/>
      <c r="Z982" s="56"/>
      <c r="AA982" s="42" t="e">
        <f>_xlfn.XLOOKUP(C982,#REF!,#REF!,"",0,1)</f>
        <v>#REF!</v>
      </c>
      <c r="AB982" s="43">
        <f t="shared" si="43"/>
        <v>0</v>
      </c>
    </row>
    <row r="983" spans="1:28" ht="117.5" thickBot="1" x14ac:dyDescent="0.3">
      <c r="A983" s="36">
        <v>982</v>
      </c>
      <c r="B983" s="36" t="s">
        <v>1521</v>
      </c>
      <c r="C983" s="36" t="s">
        <v>1645</v>
      </c>
      <c r="D983" s="37">
        <v>37697</v>
      </c>
      <c r="E983" s="36" t="s">
        <v>2381</v>
      </c>
      <c r="F983" s="36" t="s">
        <v>2539</v>
      </c>
      <c r="G983" s="36" t="s">
        <v>55</v>
      </c>
      <c r="H983" s="58" t="s">
        <v>2417</v>
      </c>
      <c r="I983" s="36" t="s">
        <v>276</v>
      </c>
      <c r="J983" s="36" t="str">
        <f t="shared" si="41"/>
        <v>School EducationLatur School Education EstablishmentCLibrarian (GE/MSCERT/SIET/DIET)S10 (29200 - 92300)</v>
      </c>
      <c r="K983" s="36"/>
      <c r="L983" s="36"/>
      <c r="M983" s="38" t="s">
        <v>2545</v>
      </c>
      <c r="N983" s="36" t="s">
        <v>496</v>
      </c>
      <c r="O983" s="6" t="s">
        <v>33</v>
      </c>
      <c r="P983" s="8"/>
      <c r="Q983" s="7" t="s">
        <v>34</v>
      </c>
      <c r="R983" s="8"/>
      <c r="S983" s="8"/>
      <c r="T983" s="4" t="s">
        <v>3276</v>
      </c>
      <c r="U983" s="36" t="s">
        <v>34</v>
      </c>
      <c r="V983" s="38" t="s">
        <v>444</v>
      </c>
      <c r="W983" s="36"/>
      <c r="X983" s="36"/>
      <c r="Y983" s="36"/>
      <c r="Z983" s="41"/>
      <c r="AA983" s="42" t="e">
        <f>_xlfn.XLOOKUP(C983,#REF!,#REF!,"",0,1)</f>
        <v>#REF!</v>
      </c>
      <c r="AB983" s="43">
        <f t="shared" si="43"/>
        <v>0</v>
      </c>
    </row>
    <row r="984" spans="1:28" ht="104.5" thickBot="1" x14ac:dyDescent="0.3">
      <c r="A984" s="36">
        <v>983</v>
      </c>
      <c r="B984" s="36" t="s">
        <v>24</v>
      </c>
      <c r="C984" s="36" t="s">
        <v>1645</v>
      </c>
      <c r="D984" s="37">
        <v>37697</v>
      </c>
      <c r="E984" s="36" t="s">
        <v>2381</v>
      </c>
      <c r="F984" s="36" t="s">
        <v>2539</v>
      </c>
      <c r="G984" s="36" t="s">
        <v>55</v>
      </c>
      <c r="H984" s="49" t="s">
        <v>2476</v>
      </c>
      <c r="I984" s="36" t="s">
        <v>57</v>
      </c>
      <c r="J984" s="36" t="str">
        <f t="shared" si="41"/>
        <v>School EducationLatur School Education EstablishmentCChief ClerkS13 (35400 - 112400)</v>
      </c>
      <c r="K984" s="36" t="s">
        <v>75</v>
      </c>
      <c r="L984" s="36" t="s">
        <v>228</v>
      </c>
      <c r="M984" s="65" t="s">
        <v>2477</v>
      </c>
      <c r="N984" s="36" t="s">
        <v>2427</v>
      </c>
      <c r="O984" s="25" t="s">
        <v>83</v>
      </c>
      <c r="P984" s="26">
        <v>4</v>
      </c>
      <c r="Q984" s="7" t="s">
        <v>34</v>
      </c>
      <c r="R984" s="8"/>
      <c r="S984" s="8"/>
      <c r="T984" s="7" t="s">
        <v>35</v>
      </c>
      <c r="U984" s="36"/>
      <c r="V984" s="38" t="s">
        <v>2477</v>
      </c>
      <c r="W984" s="36"/>
      <c r="X984" s="36" t="s">
        <v>150</v>
      </c>
      <c r="Y984" s="36" t="s">
        <v>150</v>
      </c>
      <c r="Z984" s="56"/>
      <c r="AA984" s="42" t="e">
        <f>_xlfn.XLOOKUP(C984,#REF!,#REF!,"",0,1)</f>
        <v>#REF!</v>
      </c>
      <c r="AB984" s="43">
        <f t="shared" si="43"/>
        <v>0</v>
      </c>
    </row>
    <row r="985" spans="1:28" ht="117.5" thickBot="1" x14ac:dyDescent="0.3">
      <c r="A985" s="36">
        <v>984</v>
      </c>
      <c r="B985" s="36" t="s">
        <v>494</v>
      </c>
      <c r="C985" s="36" t="s">
        <v>1645</v>
      </c>
      <c r="D985" s="37">
        <v>37697</v>
      </c>
      <c r="E985" s="36" t="s">
        <v>2381</v>
      </c>
      <c r="F985" s="36" t="s">
        <v>2539</v>
      </c>
      <c r="G985" s="36" t="s">
        <v>55</v>
      </c>
      <c r="H985" s="49" t="s">
        <v>2546</v>
      </c>
      <c r="I985" s="36" t="s">
        <v>57</v>
      </c>
      <c r="J985" s="36" t="str">
        <f t="shared" si="41"/>
        <v>School EducationLatur School Education EstablishmentCTechnitian, G.E./D.I.E.T.S13 (35400 - 112400)</v>
      </c>
      <c r="K985" s="36"/>
      <c r="L985" s="36"/>
      <c r="M985" s="38" t="s">
        <v>2547</v>
      </c>
      <c r="N985" s="36" t="s">
        <v>165</v>
      </c>
      <c r="O985" s="6" t="s">
        <v>33</v>
      </c>
      <c r="P985" s="8"/>
      <c r="Q985" s="7" t="s">
        <v>34</v>
      </c>
      <c r="R985" s="8"/>
      <c r="S985" s="8"/>
      <c r="T985" s="4" t="s">
        <v>3276</v>
      </c>
      <c r="U985" s="36" t="s">
        <v>34</v>
      </c>
      <c r="V985" s="38" t="s">
        <v>2548</v>
      </c>
      <c r="W985" s="36"/>
      <c r="X985" s="36" t="s">
        <v>2433</v>
      </c>
      <c r="Y985" s="36" t="s">
        <v>2434</v>
      </c>
      <c r="Z985" s="41"/>
      <c r="AA985" s="42" t="e">
        <f>_xlfn.XLOOKUP(C985,#REF!,#REF!,"",0,1)</f>
        <v>#REF!</v>
      </c>
      <c r="AB985" s="43">
        <f t="shared" si="43"/>
        <v>0</v>
      </c>
    </row>
    <row r="986" spans="1:28" ht="130.5" thickBot="1" x14ac:dyDescent="0.3">
      <c r="A986" s="36">
        <v>985</v>
      </c>
      <c r="B986" s="36" t="s">
        <v>494</v>
      </c>
      <c r="C986" s="36" t="s">
        <v>1645</v>
      </c>
      <c r="D986" s="37">
        <v>37697</v>
      </c>
      <c r="E986" s="36" t="s">
        <v>2381</v>
      </c>
      <c r="F986" s="36" t="s">
        <v>2539</v>
      </c>
      <c r="G986" s="36" t="s">
        <v>55</v>
      </c>
      <c r="H986" s="49" t="s">
        <v>2549</v>
      </c>
      <c r="I986" s="36" t="s">
        <v>67</v>
      </c>
      <c r="J986" s="36" t="str">
        <f t="shared" si="41"/>
        <v>School EducationLatur School Education EstablishmentCWorkshop Assistant, (D.I.E.T.)S14 (38600 - 122800)</v>
      </c>
      <c r="K986" s="36"/>
      <c r="L986" s="36"/>
      <c r="M986" s="65" t="s">
        <v>2436</v>
      </c>
      <c r="N986" s="36" t="s">
        <v>165</v>
      </c>
      <c r="O986" s="6" t="s">
        <v>33</v>
      </c>
      <c r="P986" s="8"/>
      <c r="Q986" s="7" t="s">
        <v>34</v>
      </c>
      <c r="R986" s="8"/>
      <c r="S986" s="8"/>
      <c r="T986" s="4" t="s">
        <v>3276</v>
      </c>
      <c r="U986" s="36" t="s">
        <v>34</v>
      </c>
      <c r="V986" s="38" t="s">
        <v>2437</v>
      </c>
      <c r="W986" s="36"/>
      <c r="X986" s="36" t="s">
        <v>2438</v>
      </c>
      <c r="Y986" s="36" t="s">
        <v>2434</v>
      </c>
      <c r="Z986" s="41"/>
      <c r="AA986" s="42" t="e">
        <f>_xlfn.XLOOKUP(C986,#REF!,#REF!,"",0,1)</f>
        <v>#REF!</v>
      </c>
      <c r="AB986" s="43">
        <f t="shared" si="43"/>
        <v>0</v>
      </c>
    </row>
    <row r="987" spans="1:28" ht="260.5" thickBot="1" x14ac:dyDescent="0.3">
      <c r="A987" s="36">
        <v>986</v>
      </c>
      <c r="B987" s="36" t="s">
        <v>24</v>
      </c>
      <c r="C987" s="36" t="s">
        <v>1645</v>
      </c>
      <c r="D987" s="37">
        <v>37697</v>
      </c>
      <c r="E987" s="36" t="s">
        <v>2381</v>
      </c>
      <c r="F987" s="36" t="s">
        <v>2539</v>
      </c>
      <c r="G987" s="36" t="s">
        <v>55</v>
      </c>
      <c r="H987" s="49" t="s">
        <v>2439</v>
      </c>
      <c r="I987" s="36" t="s">
        <v>67</v>
      </c>
      <c r="J987" s="36" t="str">
        <f t="shared" si="41"/>
        <v>School EducationLatur School Education EstablishmentCStenographer (Lower Grade), Sashi/Adult Education/M.R.Shai.Tech.No./ Marashai Samprap/Dist. Shi. Q. no. / Stenographer (Lower Grade), GE/AE/ MSIET/ MSCERT/ D.I.E.T.S14 (38600 - 122800)</v>
      </c>
      <c r="K987" s="36" t="s">
        <v>68</v>
      </c>
      <c r="L987" s="36" t="s">
        <v>231</v>
      </c>
      <c r="M987" s="38" t="s">
        <v>2550</v>
      </c>
      <c r="N987" s="36" t="s">
        <v>70</v>
      </c>
      <c r="O987" s="6" t="s">
        <v>33</v>
      </c>
      <c r="P987" s="8"/>
      <c r="Q987" s="7" t="s">
        <v>34</v>
      </c>
      <c r="R987" s="8"/>
      <c r="S987" s="8"/>
      <c r="T987" s="4" t="s">
        <v>3276</v>
      </c>
      <c r="U987" s="36" t="s">
        <v>34</v>
      </c>
      <c r="V987" s="38" t="s">
        <v>2490</v>
      </c>
      <c r="W987" s="36"/>
      <c r="X987" s="36"/>
      <c r="Y987" s="36"/>
      <c r="Z987" s="56"/>
      <c r="AA987" s="42" t="e">
        <f>_xlfn.XLOOKUP(C987,#REF!,#REF!,"",0,1)</f>
        <v>#REF!</v>
      </c>
      <c r="AB987" s="43">
        <f t="shared" si="43"/>
        <v>0</v>
      </c>
    </row>
    <row r="988" spans="1:28" ht="130.5" thickBot="1" x14ac:dyDescent="0.3">
      <c r="A988" s="36">
        <v>987</v>
      </c>
      <c r="B988" s="36" t="s">
        <v>24</v>
      </c>
      <c r="C988" s="36" t="s">
        <v>1645</v>
      </c>
      <c r="D988" s="37">
        <v>37697</v>
      </c>
      <c r="E988" s="36" t="s">
        <v>2381</v>
      </c>
      <c r="F988" s="36" t="s">
        <v>2539</v>
      </c>
      <c r="G988" s="36" t="s">
        <v>55</v>
      </c>
      <c r="H988" s="49" t="s">
        <v>2551</v>
      </c>
      <c r="I988" s="36" t="s">
        <v>44</v>
      </c>
      <c r="J988" s="36" t="str">
        <f t="shared" si="41"/>
        <v>School EducationLatur School Education EstablishmentCStenographer(Higher Grade)(G.E.)S15 (41800 - 132300)</v>
      </c>
      <c r="K988" s="36" t="s">
        <v>1335</v>
      </c>
      <c r="L988" s="36" t="s">
        <v>228</v>
      </c>
      <c r="M988" s="38" t="s">
        <v>2552</v>
      </c>
      <c r="N988" s="36" t="s">
        <v>70</v>
      </c>
      <c r="O988" s="9"/>
      <c r="P988" s="7"/>
      <c r="Q988" s="7" t="s">
        <v>34</v>
      </c>
      <c r="R988" s="8"/>
      <c r="S988" s="8"/>
      <c r="T988" s="7" t="s">
        <v>35</v>
      </c>
      <c r="U988" s="36" t="s">
        <v>34</v>
      </c>
      <c r="V988" s="38" t="s">
        <v>2490</v>
      </c>
      <c r="W988" s="36"/>
      <c r="X988" s="36"/>
      <c r="Y988" s="36"/>
      <c r="Z988" s="56"/>
      <c r="AA988" s="42" t="e">
        <f>_xlfn.XLOOKUP(C988,#REF!,#REF!,"",0,1)</f>
        <v>#REF!</v>
      </c>
      <c r="AB988" s="43">
        <f t="shared" si="43"/>
        <v>0</v>
      </c>
    </row>
    <row r="989" spans="1:28" ht="156.5" thickBot="1" x14ac:dyDescent="0.3">
      <c r="A989" s="36">
        <v>988</v>
      </c>
      <c r="B989" s="36" t="s">
        <v>532</v>
      </c>
      <c r="C989" s="36" t="s">
        <v>1645</v>
      </c>
      <c r="D989" s="37">
        <v>37697</v>
      </c>
      <c r="E989" s="36" t="s">
        <v>2381</v>
      </c>
      <c r="F989" s="36" t="s">
        <v>2539</v>
      </c>
      <c r="G989" s="36" t="s">
        <v>55</v>
      </c>
      <c r="H989" s="36" t="s">
        <v>2442</v>
      </c>
      <c r="I989" s="36" t="s">
        <v>44</v>
      </c>
      <c r="J989" s="36" t="str">
        <f t="shared" si="41"/>
        <v>School EducationLatur School Education EstablishmentCAssistant Deputy Education Inspector (GE/AE)S15 (41800 - 132300)</v>
      </c>
      <c r="K989" s="36"/>
      <c r="L989" s="36"/>
      <c r="M989" s="38" t="s">
        <v>2482</v>
      </c>
      <c r="N989" s="36"/>
      <c r="O989" s="6" t="s">
        <v>33</v>
      </c>
      <c r="P989" s="8"/>
      <c r="Q989" s="7" t="s">
        <v>34</v>
      </c>
      <c r="R989" s="8"/>
      <c r="S989" s="8"/>
      <c r="T989" s="4" t="s">
        <v>3276</v>
      </c>
      <c r="U989" s="36" t="s">
        <v>34</v>
      </c>
      <c r="V989" s="38"/>
      <c r="W989" s="36"/>
      <c r="X989" s="36"/>
      <c r="Y989" s="36"/>
      <c r="Z989" s="41"/>
      <c r="AA989" s="42" t="e">
        <f>_xlfn.XLOOKUP(C989,#REF!,#REF!,"",0,1)</f>
        <v>#REF!</v>
      </c>
      <c r="AB989" s="43">
        <f t="shared" si="43"/>
        <v>0</v>
      </c>
    </row>
    <row r="990" spans="1:28" ht="299.5" thickBot="1" x14ac:dyDescent="0.3">
      <c r="A990" s="36">
        <v>989</v>
      </c>
      <c r="B990" s="36" t="s">
        <v>983</v>
      </c>
      <c r="C990" s="36" t="s">
        <v>1645</v>
      </c>
      <c r="D990" s="37">
        <v>37697</v>
      </c>
      <c r="E990" s="36" t="s">
        <v>2381</v>
      </c>
      <c r="F990" s="36" t="s">
        <v>2539</v>
      </c>
      <c r="G990" s="36" t="s">
        <v>55</v>
      </c>
      <c r="H990" s="36" t="s">
        <v>2459</v>
      </c>
      <c r="I990" s="36" t="s">
        <v>44</v>
      </c>
      <c r="J990" s="36" t="str">
        <f t="shared" si="41"/>
        <v>School EducationLatur School Education EstablishmentCAssistant Teacher, Government Teachers College / S. T. College, Mumbai / Government Vidyaniketane / Asst. Teacher, Govt. D.Ed. College/S.T. College, Mumbai/ Govt. Vidya NiketanS15 (41800 - 132300)</v>
      </c>
      <c r="K990" s="36"/>
      <c r="L990" s="36"/>
      <c r="M990" s="38" t="s">
        <v>2481</v>
      </c>
      <c r="N990" s="36" t="s">
        <v>986</v>
      </c>
      <c r="O990" s="6" t="s">
        <v>33</v>
      </c>
      <c r="P990" s="8"/>
      <c r="Q990" s="7" t="s">
        <v>34</v>
      </c>
      <c r="R990" s="8"/>
      <c r="S990" s="8"/>
      <c r="T990" s="4" t="s">
        <v>3276</v>
      </c>
      <c r="U990" s="36" t="s">
        <v>34</v>
      </c>
      <c r="V990" s="38"/>
      <c r="W990" s="36"/>
      <c r="X990" s="36"/>
      <c r="Y990" s="36"/>
      <c r="Z990" s="41"/>
      <c r="AA990" s="42" t="e">
        <f>_xlfn.XLOOKUP(C990,#REF!,#REF!,"",0,1)</f>
        <v>#REF!</v>
      </c>
      <c r="AB990" s="43">
        <f t="shared" si="43"/>
        <v>0</v>
      </c>
    </row>
    <row r="991" spans="1:28" ht="117.5" thickBot="1" x14ac:dyDescent="0.3">
      <c r="A991" s="36">
        <v>990</v>
      </c>
      <c r="B991" s="36" t="s">
        <v>24</v>
      </c>
      <c r="C991" s="36" t="s">
        <v>1645</v>
      </c>
      <c r="D991" s="37">
        <v>37697</v>
      </c>
      <c r="E991" s="36" t="s">
        <v>2381</v>
      </c>
      <c r="F991" s="36" t="s">
        <v>2539</v>
      </c>
      <c r="G991" s="36" t="s">
        <v>55</v>
      </c>
      <c r="H991" s="58" t="s">
        <v>2553</v>
      </c>
      <c r="I991" s="36" t="s">
        <v>44</v>
      </c>
      <c r="J991" s="36" t="str">
        <f t="shared" si="41"/>
        <v>School EducationLatur School Education EstablishmentCAssistant Project Officer (AE)S15 (41800 - 132300)</v>
      </c>
      <c r="K991" s="36"/>
      <c r="L991" s="36" t="s">
        <v>238</v>
      </c>
      <c r="M991" s="65" t="s">
        <v>2460</v>
      </c>
      <c r="N991" s="66" t="s">
        <v>2554</v>
      </c>
      <c r="O991" s="25" t="s">
        <v>33</v>
      </c>
      <c r="P991" s="26">
        <v>8</v>
      </c>
      <c r="Q991" s="7" t="s">
        <v>34</v>
      </c>
      <c r="R991" s="8"/>
      <c r="S991" s="8"/>
      <c r="T991" s="7" t="s">
        <v>35</v>
      </c>
      <c r="U991" s="36"/>
      <c r="V991" s="38" t="s">
        <v>2455</v>
      </c>
      <c r="W991" s="66"/>
      <c r="X991" s="66"/>
      <c r="Y991" s="66"/>
      <c r="Z991" s="56"/>
      <c r="AA991" s="42" t="e">
        <f>_xlfn.XLOOKUP(C991,#REF!,#REF!,"",0,1)</f>
        <v>#REF!</v>
      </c>
      <c r="AB991" s="43">
        <f t="shared" si="43"/>
        <v>0</v>
      </c>
    </row>
    <row r="992" spans="1:28" ht="130.5" thickBot="1" x14ac:dyDescent="0.3">
      <c r="A992" s="36">
        <v>991</v>
      </c>
      <c r="B992" s="36" t="s">
        <v>24</v>
      </c>
      <c r="C992" s="36" t="s">
        <v>1645</v>
      </c>
      <c r="D992" s="37">
        <v>37697</v>
      </c>
      <c r="E992" s="36" t="s">
        <v>2381</v>
      </c>
      <c r="F992" s="36" t="s">
        <v>2539</v>
      </c>
      <c r="G992" s="36" t="s">
        <v>55</v>
      </c>
      <c r="H992" s="36" t="s">
        <v>2466</v>
      </c>
      <c r="I992" s="36" t="s">
        <v>74</v>
      </c>
      <c r="J992" s="36" t="str">
        <f t="shared" si="41"/>
        <v>School EducationLatur School Education EstablishmentCJunior Clerk (PE/GE/AE/ MSCERT/SIET/MSCE)S6 (19900 - 63200)</v>
      </c>
      <c r="K992" s="36" t="s">
        <v>75</v>
      </c>
      <c r="L992" s="36" t="s">
        <v>228</v>
      </c>
      <c r="M992" s="38" t="s">
        <v>2555</v>
      </c>
      <c r="N992" s="36" t="s">
        <v>70</v>
      </c>
      <c r="O992" s="6" t="s">
        <v>33</v>
      </c>
      <c r="P992" s="7">
        <v>8</v>
      </c>
      <c r="Q992" s="7" t="s">
        <v>34</v>
      </c>
      <c r="R992" s="8"/>
      <c r="S992" s="8"/>
      <c r="T992" s="7" t="s">
        <v>61</v>
      </c>
      <c r="U992" s="36" t="s">
        <v>100</v>
      </c>
      <c r="V992" s="38" t="s">
        <v>2468</v>
      </c>
      <c r="W992" s="36"/>
      <c r="X992" s="36" t="s">
        <v>2469</v>
      </c>
      <c r="Y992" s="50">
        <v>25121</v>
      </c>
      <c r="Z992" s="56"/>
      <c r="AA992" s="42" t="e">
        <f>_xlfn.XLOOKUP(C992,#REF!,#REF!,"",0,1)</f>
        <v>#REF!</v>
      </c>
      <c r="AB992" s="43">
        <f t="shared" si="43"/>
        <v>0</v>
      </c>
    </row>
    <row r="993" spans="1:28" ht="130.5" thickBot="1" x14ac:dyDescent="0.3">
      <c r="A993" s="36">
        <v>992</v>
      </c>
      <c r="B993" s="36" t="s">
        <v>24</v>
      </c>
      <c r="C993" s="36" t="s">
        <v>1645</v>
      </c>
      <c r="D993" s="37">
        <v>37697</v>
      </c>
      <c r="E993" s="36" t="s">
        <v>2381</v>
      </c>
      <c r="F993" s="36" t="s">
        <v>2539</v>
      </c>
      <c r="G993" s="36" t="s">
        <v>55</v>
      </c>
      <c r="H993" s="36" t="s">
        <v>2556</v>
      </c>
      <c r="I993" s="36" t="s">
        <v>169</v>
      </c>
      <c r="J993" s="36" t="str">
        <f t="shared" si="41"/>
        <v>School EducationLatur School Education EstablishmentCLaboratory Assistant (GE/MSCERT)S7 (21700 - 69100)</v>
      </c>
      <c r="K993" s="36" t="s">
        <v>377</v>
      </c>
      <c r="L993" s="36" t="s">
        <v>225</v>
      </c>
      <c r="M993" s="38" t="s">
        <v>2557</v>
      </c>
      <c r="N993" s="36" t="s">
        <v>379</v>
      </c>
      <c r="O993" s="6" t="s">
        <v>33</v>
      </c>
      <c r="P993" s="7">
        <v>2</v>
      </c>
      <c r="Q993" s="7" t="s">
        <v>34</v>
      </c>
      <c r="R993" s="8"/>
      <c r="S993" s="8"/>
      <c r="T993" s="7" t="s">
        <v>35</v>
      </c>
      <c r="U993" s="36" t="s">
        <v>34</v>
      </c>
      <c r="V993" s="38" t="s">
        <v>2463</v>
      </c>
      <c r="W993" s="36"/>
      <c r="X993" s="36" t="s">
        <v>2464</v>
      </c>
      <c r="Y993" s="36" t="s">
        <v>2465</v>
      </c>
      <c r="Z993" s="56"/>
      <c r="AA993" s="42" t="e">
        <f>_xlfn.XLOOKUP(C993,#REF!,#REF!,"",0,1)</f>
        <v>#REF!</v>
      </c>
      <c r="AB993" s="43">
        <f t="shared" si="43"/>
        <v>0</v>
      </c>
    </row>
    <row r="994" spans="1:28" ht="130.5" thickBot="1" x14ac:dyDescent="0.3">
      <c r="A994" s="36">
        <v>993</v>
      </c>
      <c r="B994" s="36" t="s">
        <v>24</v>
      </c>
      <c r="C994" s="36" t="s">
        <v>1645</v>
      </c>
      <c r="D994" s="37">
        <v>37697</v>
      </c>
      <c r="E994" s="36" t="s">
        <v>2381</v>
      </c>
      <c r="F994" s="36" t="s">
        <v>2539</v>
      </c>
      <c r="G994" s="36" t="s">
        <v>55</v>
      </c>
      <c r="H994" s="36" t="s">
        <v>2471</v>
      </c>
      <c r="I994" s="36" t="s">
        <v>80</v>
      </c>
      <c r="J994" s="36" t="str">
        <f t="shared" si="41"/>
        <v>School EducationLatur School Education EstablishmentCSenior Clerk (PE/GE/AE/ MSCERT/SIET/MSCE)S8 (25500 - 81100)</v>
      </c>
      <c r="K994" s="36" t="s">
        <v>75</v>
      </c>
      <c r="L994" s="36" t="s">
        <v>228</v>
      </c>
      <c r="M994" s="65" t="s">
        <v>2426</v>
      </c>
      <c r="N994" s="36" t="s">
        <v>2427</v>
      </c>
      <c r="O994" s="6" t="s">
        <v>33</v>
      </c>
      <c r="P994" s="7">
        <v>7</v>
      </c>
      <c r="Q994" s="7" t="s">
        <v>34</v>
      </c>
      <c r="R994" s="8"/>
      <c r="S994" s="8"/>
      <c r="T994" s="7" t="s">
        <v>35</v>
      </c>
      <c r="U994" s="36" t="s">
        <v>34</v>
      </c>
      <c r="V994" s="38" t="s">
        <v>2472</v>
      </c>
      <c r="W994" s="36"/>
      <c r="X994" s="36" t="s">
        <v>2469</v>
      </c>
      <c r="Y994" s="50">
        <v>25121</v>
      </c>
      <c r="Z994" s="56"/>
      <c r="AA994" s="42" t="e">
        <f>_xlfn.XLOOKUP(C994,#REF!,#REF!,"",0,1)</f>
        <v>#REF!</v>
      </c>
      <c r="AB994" s="43">
        <f t="shared" si="43"/>
        <v>0</v>
      </c>
    </row>
    <row r="995" spans="1:28" ht="104.5" thickBot="1" x14ac:dyDescent="0.3">
      <c r="A995" s="36">
        <v>994</v>
      </c>
      <c r="B995" s="36" t="s">
        <v>24</v>
      </c>
      <c r="C995" s="36" t="s">
        <v>1645</v>
      </c>
      <c r="D995" s="37">
        <v>37697</v>
      </c>
      <c r="E995" s="36" t="s">
        <v>2381</v>
      </c>
      <c r="F995" s="36" t="s">
        <v>2558</v>
      </c>
      <c r="G995" s="36" t="s">
        <v>55</v>
      </c>
      <c r="H995" s="36" t="s">
        <v>2476</v>
      </c>
      <c r="I995" s="36" t="s">
        <v>57</v>
      </c>
      <c r="J995" s="36" t="str">
        <f t="shared" si="41"/>
        <v>School EducationMumbai School Education EstablishmentCChief ClerkS13 (35400 - 112400)</v>
      </c>
      <c r="K995" s="36" t="s">
        <v>75</v>
      </c>
      <c r="L995" s="36" t="s">
        <v>228</v>
      </c>
      <c r="M995" s="38" t="s">
        <v>2559</v>
      </c>
      <c r="N995" s="36" t="s">
        <v>2427</v>
      </c>
      <c r="O995" s="6" t="s">
        <v>33</v>
      </c>
      <c r="P995" s="7">
        <v>8</v>
      </c>
      <c r="Q995" s="7" t="s">
        <v>34</v>
      </c>
      <c r="R995" s="8"/>
      <c r="S995" s="8"/>
      <c r="T995" s="7" t="s">
        <v>35</v>
      </c>
      <c r="U995" s="36" t="s">
        <v>34</v>
      </c>
      <c r="V995" s="38" t="s">
        <v>2472</v>
      </c>
      <c r="W995" s="36"/>
      <c r="X995" s="36" t="s">
        <v>2469</v>
      </c>
      <c r="Y995" s="50">
        <v>25121</v>
      </c>
      <c r="Z995" s="56"/>
      <c r="AA995" s="42" t="e">
        <f>_xlfn.XLOOKUP(C995,#REF!,#REF!,"",0,1)</f>
        <v>#REF!</v>
      </c>
      <c r="AB995" s="43">
        <f t="shared" si="43"/>
        <v>0</v>
      </c>
    </row>
    <row r="996" spans="1:28" ht="260.5" thickBot="1" x14ac:dyDescent="0.3">
      <c r="A996" s="36">
        <v>995</v>
      </c>
      <c r="B996" s="36" t="s">
        <v>24</v>
      </c>
      <c r="C996" s="36" t="s">
        <v>1645</v>
      </c>
      <c r="D996" s="37">
        <v>37697</v>
      </c>
      <c r="E996" s="36" t="s">
        <v>2381</v>
      </c>
      <c r="F996" s="36" t="s">
        <v>2558</v>
      </c>
      <c r="G996" s="36" t="s">
        <v>55</v>
      </c>
      <c r="H996" s="36" t="s">
        <v>2439</v>
      </c>
      <c r="I996" s="36" t="s">
        <v>67</v>
      </c>
      <c r="J996" s="36" t="str">
        <f t="shared" si="41"/>
        <v>School EducationMumbai School Education EstablishmentCStenographer (Lower Grade), Sashi/Adult Education/M.R.Shai.Tech.No./ Marashai Samprap/Dist. Shi. Q. no. / Stenographer (Lower Grade), GE/AE/ MSIET/ MSCERT/ D.I.E.T.S14 (38600 - 122800)</v>
      </c>
      <c r="K996" s="36" t="s">
        <v>68</v>
      </c>
      <c r="L996" s="36" t="s">
        <v>231</v>
      </c>
      <c r="M996" s="38" t="s">
        <v>2560</v>
      </c>
      <c r="N996" s="36" t="s">
        <v>70</v>
      </c>
      <c r="O996" s="6" t="s">
        <v>33</v>
      </c>
      <c r="P996" s="8"/>
      <c r="Q996" s="7" t="s">
        <v>34</v>
      </c>
      <c r="R996" s="8"/>
      <c r="S996" s="8"/>
      <c r="T996" s="4" t="s">
        <v>3276</v>
      </c>
      <c r="U996" s="36" t="s">
        <v>34</v>
      </c>
      <c r="V996" s="38" t="s">
        <v>2490</v>
      </c>
      <c r="W996" s="36"/>
      <c r="X996" s="36"/>
      <c r="Y996" s="36"/>
      <c r="Z996" s="56"/>
      <c r="AA996" s="42" t="e">
        <f>_xlfn.XLOOKUP(C996,#REF!,#REF!,"",0,1)</f>
        <v>#REF!</v>
      </c>
      <c r="AB996" s="43">
        <f t="shared" si="43"/>
        <v>0</v>
      </c>
    </row>
    <row r="997" spans="1:28" ht="130.5" thickBot="1" x14ac:dyDescent="0.3">
      <c r="A997" s="36">
        <v>996</v>
      </c>
      <c r="B997" s="36" t="s">
        <v>1521</v>
      </c>
      <c r="C997" s="36" t="s">
        <v>1645</v>
      </c>
      <c r="D997" s="37">
        <v>37697</v>
      </c>
      <c r="E997" s="36" t="s">
        <v>2381</v>
      </c>
      <c r="F997" s="36" t="s">
        <v>2558</v>
      </c>
      <c r="G997" s="36" t="s">
        <v>55</v>
      </c>
      <c r="H997" s="58" t="s">
        <v>2417</v>
      </c>
      <c r="I997" s="36" t="s">
        <v>67</v>
      </c>
      <c r="J997" s="36" t="str">
        <f t="shared" si="41"/>
        <v>School EducationMumbai School Education EstablishmentCLibrarian (GE/MSCERT/SIET/DIET)S14 (38600 - 122800)</v>
      </c>
      <c r="K997" s="36"/>
      <c r="L997" s="36"/>
      <c r="M997" s="38" t="s">
        <v>2475</v>
      </c>
      <c r="N997" s="36" t="s">
        <v>496</v>
      </c>
      <c r="O997" s="6" t="s">
        <v>33</v>
      </c>
      <c r="P997" s="8"/>
      <c r="Q997" s="7" t="s">
        <v>34</v>
      </c>
      <c r="R997" s="8"/>
      <c r="S997" s="8"/>
      <c r="T997" s="4" t="s">
        <v>3276</v>
      </c>
      <c r="U997" s="36" t="s">
        <v>34</v>
      </c>
      <c r="V997" s="38"/>
      <c r="W997" s="36"/>
      <c r="X997" s="36"/>
      <c r="Y997" s="36"/>
      <c r="Z997" s="41"/>
      <c r="AA997" s="42" t="e">
        <f>_xlfn.XLOOKUP(C997,#REF!,#REF!,"",0,1)</f>
        <v>#REF!</v>
      </c>
      <c r="AB997" s="43">
        <f t="shared" si="43"/>
        <v>0</v>
      </c>
    </row>
    <row r="998" spans="1:28" ht="273.5" thickBot="1" x14ac:dyDescent="0.3">
      <c r="A998" s="36">
        <v>997</v>
      </c>
      <c r="B998" s="36" t="s">
        <v>24</v>
      </c>
      <c r="C998" s="36" t="s">
        <v>1645</v>
      </c>
      <c r="D998" s="37">
        <v>37697</v>
      </c>
      <c r="E998" s="36" t="s">
        <v>2381</v>
      </c>
      <c r="F998" s="36" t="s">
        <v>2558</v>
      </c>
      <c r="G998" s="36" t="s">
        <v>55</v>
      </c>
      <c r="H998" s="36" t="s">
        <v>2479</v>
      </c>
      <c r="I998" s="36" t="s">
        <v>44</v>
      </c>
      <c r="J998" s="36" t="str">
        <f t="shared" si="41"/>
        <v>School EducationMumbai School Education EstablishmentCStenographer (Higher Grade) (General Education / Maharashtra State Council of Educational Research and Training / Adult Education) / Stenographer(Higher Grade)(G.E./MSCERT/A.E.)S15 (41800 - 132300)</v>
      </c>
      <c r="K998" s="36" t="s">
        <v>1335</v>
      </c>
      <c r="L998" s="36" t="s">
        <v>228</v>
      </c>
      <c r="M998" s="38" t="s">
        <v>2561</v>
      </c>
      <c r="N998" s="36" t="s">
        <v>70</v>
      </c>
      <c r="O998" s="6" t="s">
        <v>33</v>
      </c>
      <c r="P998" s="7"/>
      <c r="Q998" s="7" t="s">
        <v>34</v>
      </c>
      <c r="R998" s="8"/>
      <c r="S998" s="8"/>
      <c r="T998" s="7" t="s">
        <v>35</v>
      </c>
      <c r="U998" s="36" t="s">
        <v>34</v>
      </c>
      <c r="V998" s="38" t="s">
        <v>2490</v>
      </c>
      <c r="W998" s="36"/>
      <c r="X998" s="36"/>
      <c r="Y998" s="36"/>
      <c r="Z998" s="56"/>
      <c r="AA998" s="42" t="e">
        <f>_xlfn.XLOOKUP(C998,#REF!,#REF!,"",0,1)</f>
        <v>#REF!</v>
      </c>
      <c r="AB998" s="43">
        <f t="shared" si="43"/>
        <v>0</v>
      </c>
    </row>
    <row r="999" spans="1:28" ht="130.5" thickBot="1" x14ac:dyDescent="0.3">
      <c r="A999" s="44">
        <v>998</v>
      </c>
      <c r="B999" s="44" t="s">
        <v>24</v>
      </c>
      <c r="C999" s="36" t="s">
        <v>1645</v>
      </c>
      <c r="D999" s="37">
        <v>37697</v>
      </c>
      <c r="E999" s="44" t="s">
        <v>2381</v>
      </c>
      <c r="F999" s="44" t="s">
        <v>2558</v>
      </c>
      <c r="G999" s="44" t="s">
        <v>55</v>
      </c>
      <c r="H999" s="44" t="s">
        <v>2446</v>
      </c>
      <c r="I999" s="44" t="s">
        <v>44</v>
      </c>
      <c r="J999" s="44" t="str">
        <f t="shared" si="41"/>
        <v>School EducationMumbai School Education EstablishmentCScience Supervisor (GE/MSCERT)S15 (41800 - 132300)</v>
      </c>
      <c r="K999" s="44"/>
      <c r="L999" s="44" t="s">
        <v>261</v>
      </c>
      <c r="M999" s="45" t="s">
        <v>2562</v>
      </c>
      <c r="N999" s="44" t="s">
        <v>113</v>
      </c>
      <c r="O999" s="11" t="s">
        <v>33</v>
      </c>
      <c r="P999" s="13"/>
      <c r="Q999" s="12" t="s">
        <v>34</v>
      </c>
      <c r="R999" s="13"/>
      <c r="S999" s="13"/>
      <c r="T999" s="4" t="s">
        <v>3276</v>
      </c>
      <c r="U999" s="44" t="s">
        <v>34</v>
      </c>
      <c r="V999" s="45"/>
      <c r="W999" s="44"/>
      <c r="X999" s="44"/>
      <c r="Y999" s="44"/>
      <c r="Z999" s="56"/>
      <c r="AA999" s="42" t="e">
        <f>_xlfn.XLOOKUP(C999,#REF!,#REF!,"",0,1)</f>
        <v>#REF!</v>
      </c>
      <c r="AB999" s="43">
        <f t="shared" si="43"/>
        <v>0</v>
      </c>
    </row>
    <row r="1000" spans="1:28" ht="156.5" thickBot="1" x14ac:dyDescent="0.3">
      <c r="A1000" s="36">
        <v>999</v>
      </c>
      <c r="B1000" s="36" t="s">
        <v>532</v>
      </c>
      <c r="C1000" s="36" t="s">
        <v>1645</v>
      </c>
      <c r="D1000" s="37">
        <v>37697</v>
      </c>
      <c r="E1000" s="36" t="s">
        <v>2381</v>
      </c>
      <c r="F1000" s="36" t="s">
        <v>2558</v>
      </c>
      <c r="G1000" s="36" t="s">
        <v>55</v>
      </c>
      <c r="H1000" s="36" t="s">
        <v>2442</v>
      </c>
      <c r="I1000" s="36" t="s">
        <v>44</v>
      </c>
      <c r="J1000" s="36" t="str">
        <f t="shared" si="41"/>
        <v>School EducationMumbai School Education EstablishmentCAssistant Deputy Education Inspector (GE/AE)S15 (41800 - 132300)</v>
      </c>
      <c r="K1000" s="36"/>
      <c r="L1000" s="36"/>
      <c r="M1000" s="38" t="s">
        <v>2482</v>
      </c>
      <c r="N1000" s="36"/>
      <c r="O1000" s="6" t="s">
        <v>33</v>
      </c>
      <c r="P1000" s="8"/>
      <c r="Q1000" s="7" t="s">
        <v>34</v>
      </c>
      <c r="R1000" s="8"/>
      <c r="S1000" s="8"/>
      <c r="T1000" s="4" t="s">
        <v>3276</v>
      </c>
      <c r="U1000" s="36" t="s">
        <v>34</v>
      </c>
      <c r="V1000" s="38"/>
      <c r="W1000" s="36"/>
      <c r="X1000" s="36"/>
      <c r="Y1000" s="36"/>
      <c r="Z1000" s="41"/>
      <c r="AA1000" s="42" t="e">
        <f>_xlfn.XLOOKUP(C1000,#REF!,#REF!,"",0,1)</f>
        <v>#REF!</v>
      </c>
      <c r="AB1000" s="43">
        <f t="shared" si="43"/>
        <v>0</v>
      </c>
    </row>
    <row r="1001" spans="1:28" ht="299.5" thickBot="1" x14ac:dyDescent="0.3">
      <c r="A1001" s="36">
        <v>1000</v>
      </c>
      <c r="B1001" s="36" t="s">
        <v>983</v>
      </c>
      <c r="C1001" s="36" t="s">
        <v>1645</v>
      </c>
      <c r="D1001" s="37">
        <v>37697</v>
      </c>
      <c r="E1001" s="36" t="s">
        <v>2381</v>
      </c>
      <c r="F1001" s="36" t="s">
        <v>2558</v>
      </c>
      <c r="G1001" s="36" t="s">
        <v>55</v>
      </c>
      <c r="H1001" s="36" t="s">
        <v>2459</v>
      </c>
      <c r="I1001" s="36" t="s">
        <v>44</v>
      </c>
      <c r="J1001" s="36" t="str">
        <f t="shared" si="41"/>
        <v>School EducationMumbai School Education EstablishmentCAssistant Teacher, Government Teachers College / S. T. College, Mumbai / Government Vidyaniketane / Asst. Teacher, Govt. D.Ed. College/S.T. College, Mumbai/ Govt. Vidya NiketanS15 (41800 - 132300)</v>
      </c>
      <c r="K1001" s="36"/>
      <c r="L1001" s="36"/>
      <c r="M1001" s="38" t="s">
        <v>2481</v>
      </c>
      <c r="N1001" s="36" t="s">
        <v>986</v>
      </c>
      <c r="O1001" s="6" t="s">
        <v>33</v>
      </c>
      <c r="P1001" s="8"/>
      <c r="Q1001" s="7" t="s">
        <v>34</v>
      </c>
      <c r="R1001" s="8"/>
      <c r="S1001" s="8"/>
      <c r="T1001" s="4" t="s">
        <v>3276</v>
      </c>
      <c r="U1001" s="36" t="s">
        <v>34</v>
      </c>
      <c r="V1001" s="38"/>
      <c r="W1001" s="36"/>
      <c r="X1001" s="36"/>
      <c r="Y1001" s="36"/>
      <c r="Z1001" s="41"/>
      <c r="AA1001" s="42" t="e">
        <f>_xlfn.XLOOKUP(C1001,#REF!,#REF!,"",0,1)</f>
        <v>#REF!</v>
      </c>
      <c r="AB1001" s="43">
        <f t="shared" si="43"/>
        <v>0</v>
      </c>
    </row>
    <row r="1002" spans="1:28" ht="91.5" thickBot="1" x14ac:dyDescent="0.3">
      <c r="A1002" s="36">
        <v>1001</v>
      </c>
      <c r="B1002" s="36" t="s">
        <v>24</v>
      </c>
      <c r="C1002" s="36" t="s">
        <v>1645</v>
      </c>
      <c r="D1002" s="37">
        <v>37697</v>
      </c>
      <c r="E1002" s="36" t="s">
        <v>2381</v>
      </c>
      <c r="F1002" s="36" t="s">
        <v>2558</v>
      </c>
      <c r="G1002" s="36" t="s">
        <v>55</v>
      </c>
      <c r="H1002" s="36" t="s">
        <v>123</v>
      </c>
      <c r="I1002" s="36" t="s">
        <v>74</v>
      </c>
      <c r="J1002" s="36" t="str">
        <f t="shared" si="41"/>
        <v>School EducationMumbai School Education EstablishmentCJunior ClerkS6 (19900 - 63200)</v>
      </c>
      <c r="K1002" s="36" t="s">
        <v>75</v>
      </c>
      <c r="L1002" s="36" t="s">
        <v>228</v>
      </c>
      <c r="M1002" s="38" t="s">
        <v>2563</v>
      </c>
      <c r="N1002" s="36" t="s">
        <v>70</v>
      </c>
      <c r="O1002" s="6" t="s">
        <v>33</v>
      </c>
      <c r="P1002" s="7">
        <v>27</v>
      </c>
      <c r="Q1002" s="7" t="s">
        <v>34</v>
      </c>
      <c r="R1002" s="8"/>
      <c r="S1002" s="8"/>
      <c r="T1002" s="7" t="s">
        <v>61</v>
      </c>
      <c r="U1002" s="36" t="s">
        <v>100</v>
      </c>
      <c r="V1002" s="38" t="s">
        <v>2468</v>
      </c>
      <c r="W1002" s="36"/>
      <c r="X1002" s="36" t="s">
        <v>2469</v>
      </c>
      <c r="Y1002" s="50">
        <v>25121</v>
      </c>
      <c r="Z1002" s="56"/>
      <c r="AA1002" s="42" t="e">
        <f>_xlfn.XLOOKUP(C1002,#REF!,#REF!,"",0,1)</f>
        <v>#REF!</v>
      </c>
      <c r="AB1002" s="43">
        <f t="shared" si="43"/>
        <v>0</v>
      </c>
    </row>
    <row r="1003" spans="1:28" ht="182.5" thickBot="1" x14ac:dyDescent="0.3">
      <c r="A1003" s="36">
        <v>1002</v>
      </c>
      <c r="B1003" s="36" t="s">
        <v>24</v>
      </c>
      <c r="C1003" s="36" t="s">
        <v>1645</v>
      </c>
      <c r="D1003" s="37">
        <v>37697</v>
      </c>
      <c r="E1003" s="36" t="s">
        <v>2381</v>
      </c>
      <c r="F1003" s="36" t="s">
        <v>2558</v>
      </c>
      <c r="G1003" s="36" t="s">
        <v>55</v>
      </c>
      <c r="H1003" s="36" t="s">
        <v>2564</v>
      </c>
      <c r="I1003" s="36" t="s">
        <v>169</v>
      </c>
      <c r="J1003" s="36" t="str">
        <f t="shared" si="41"/>
        <v>School EducationMumbai School Education EstablishmentCDirector (Sculpture Modeling) (Balbhavan) / Instructor (Sculpture Modeling) (Balbhavan)S7 (21700 - 69100)</v>
      </c>
      <c r="K1003" s="36"/>
      <c r="L1003" s="36" t="s">
        <v>238</v>
      </c>
      <c r="M1003" s="38" t="s">
        <v>2565</v>
      </c>
      <c r="N1003" s="36" t="s">
        <v>283</v>
      </c>
      <c r="O1003" s="6" t="s">
        <v>33</v>
      </c>
      <c r="P1003" s="7">
        <v>1</v>
      </c>
      <c r="Q1003" s="7" t="s">
        <v>34</v>
      </c>
      <c r="R1003" s="8"/>
      <c r="S1003" s="8"/>
      <c r="T1003" s="7" t="s">
        <v>2395</v>
      </c>
      <c r="U1003" s="36" t="s">
        <v>34</v>
      </c>
      <c r="V1003" s="38"/>
      <c r="W1003" s="36"/>
      <c r="X1003" s="36"/>
      <c r="Y1003" s="36"/>
      <c r="Z1003" s="56"/>
      <c r="AA1003" s="42" t="e">
        <f>_xlfn.XLOOKUP(C1003,#REF!,#REF!,"",0,1)</f>
        <v>#REF!</v>
      </c>
      <c r="AB1003" s="43">
        <f t="shared" si="43"/>
        <v>0</v>
      </c>
    </row>
    <row r="1004" spans="1:28" ht="91.5" thickBot="1" x14ac:dyDescent="0.3">
      <c r="A1004" s="36">
        <v>1003</v>
      </c>
      <c r="B1004" s="36" t="s">
        <v>24</v>
      </c>
      <c r="C1004" s="36" t="s">
        <v>1645</v>
      </c>
      <c r="D1004" s="37">
        <v>37697</v>
      </c>
      <c r="E1004" s="36" t="s">
        <v>2381</v>
      </c>
      <c r="F1004" s="36" t="s">
        <v>2558</v>
      </c>
      <c r="G1004" s="36" t="s">
        <v>55</v>
      </c>
      <c r="H1004" s="36" t="s">
        <v>87</v>
      </c>
      <c r="I1004" s="36" t="s">
        <v>80</v>
      </c>
      <c r="J1004" s="36" t="str">
        <f t="shared" si="41"/>
        <v>School EducationMumbai School Education EstablishmentCSenior ClerkS8 (25500 - 81100)</v>
      </c>
      <c r="K1004" s="36" t="s">
        <v>75</v>
      </c>
      <c r="L1004" s="36" t="s">
        <v>228</v>
      </c>
      <c r="M1004" s="38" t="s">
        <v>2559</v>
      </c>
      <c r="N1004" s="36" t="s">
        <v>2427</v>
      </c>
      <c r="O1004" s="6" t="s">
        <v>33</v>
      </c>
      <c r="P1004" s="7">
        <v>21</v>
      </c>
      <c r="Q1004" s="7" t="s">
        <v>34</v>
      </c>
      <c r="R1004" s="8"/>
      <c r="S1004" s="8"/>
      <c r="T1004" s="7" t="s">
        <v>35</v>
      </c>
      <c r="U1004" s="36" t="s">
        <v>34</v>
      </c>
      <c r="V1004" s="38" t="s">
        <v>2472</v>
      </c>
      <c r="W1004" s="36"/>
      <c r="X1004" s="36" t="s">
        <v>2469</v>
      </c>
      <c r="Y1004" s="50">
        <v>25121</v>
      </c>
      <c r="Z1004" s="56"/>
      <c r="AA1004" s="42" t="e">
        <f>_xlfn.XLOOKUP(C1004,#REF!,#REF!,"",0,1)</f>
        <v>#REF!</v>
      </c>
      <c r="AB1004" s="43">
        <f t="shared" si="43"/>
        <v>0</v>
      </c>
    </row>
    <row r="1005" spans="1:28" ht="117.5" thickBot="1" x14ac:dyDescent="0.3">
      <c r="A1005" s="36">
        <v>1004</v>
      </c>
      <c r="B1005" s="36" t="s">
        <v>24</v>
      </c>
      <c r="C1005" s="36" t="s">
        <v>1645</v>
      </c>
      <c r="D1005" s="37">
        <v>37697</v>
      </c>
      <c r="E1005" s="36" t="s">
        <v>2381</v>
      </c>
      <c r="F1005" s="36" t="s">
        <v>2558</v>
      </c>
      <c r="G1005" s="36" t="s">
        <v>55</v>
      </c>
      <c r="H1005" s="36" t="s">
        <v>2488</v>
      </c>
      <c r="I1005" s="36" t="s">
        <v>80</v>
      </c>
      <c r="J1005" s="36" t="str">
        <f t="shared" si="41"/>
        <v>School EducationMumbai School Education EstablishmentCStenoTypist (PE/GE/MSCERT)S8 (25500 - 81100)</v>
      </c>
      <c r="K1005" s="36" t="s">
        <v>68</v>
      </c>
      <c r="L1005" s="36" t="s">
        <v>231</v>
      </c>
      <c r="M1005" s="38" t="s">
        <v>2566</v>
      </c>
      <c r="N1005" s="36" t="s">
        <v>70</v>
      </c>
      <c r="O1005" s="6" t="s">
        <v>33</v>
      </c>
      <c r="P1005" s="8"/>
      <c r="Q1005" s="7" t="s">
        <v>34</v>
      </c>
      <c r="R1005" s="8"/>
      <c r="S1005" s="8"/>
      <c r="T1005" s="4" t="s">
        <v>3276</v>
      </c>
      <c r="U1005" s="36" t="s">
        <v>34</v>
      </c>
      <c r="V1005" s="38" t="s">
        <v>2490</v>
      </c>
      <c r="W1005" s="36"/>
      <c r="X1005" s="36"/>
      <c r="Y1005" s="36"/>
      <c r="Z1005" s="56"/>
      <c r="AA1005" s="42" t="e">
        <f>_xlfn.XLOOKUP(C1005,#REF!,#REF!,"",0,1)</f>
        <v>#REF!</v>
      </c>
      <c r="AB1005" s="43">
        <f t="shared" si="43"/>
        <v>0</v>
      </c>
    </row>
    <row r="1006" spans="1:28" ht="130.5" thickBot="1" x14ac:dyDescent="0.3">
      <c r="A1006" s="36">
        <v>1005</v>
      </c>
      <c r="B1006" s="36" t="s">
        <v>494</v>
      </c>
      <c r="C1006" s="36" t="s">
        <v>1645</v>
      </c>
      <c r="D1006" s="37">
        <v>37697</v>
      </c>
      <c r="E1006" s="36" t="s">
        <v>2381</v>
      </c>
      <c r="F1006" s="36" t="s">
        <v>2567</v>
      </c>
      <c r="G1006" s="36" t="s">
        <v>55</v>
      </c>
      <c r="H1006" s="49" t="s">
        <v>2568</v>
      </c>
      <c r="I1006" s="36" t="s">
        <v>67</v>
      </c>
      <c r="J1006" s="36" t="str">
        <f t="shared" si="41"/>
        <v>School EducationNagpur School Education EstablishmentCWorkshop Assistant (D.S.P.No.)S14 (38600 - 122800)</v>
      </c>
      <c r="K1006" s="36"/>
      <c r="L1006" s="36"/>
      <c r="M1006" s="38" t="s">
        <v>2569</v>
      </c>
      <c r="N1006" s="36" t="s">
        <v>165</v>
      </c>
      <c r="O1006" s="6" t="s">
        <v>33</v>
      </c>
      <c r="P1006" s="8"/>
      <c r="Q1006" s="7" t="s">
        <v>34</v>
      </c>
      <c r="R1006" s="8"/>
      <c r="S1006" s="8"/>
      <c r="T1006" s="4" t="s">
        <v>3276</v>
      </c>
      <c r="U1006" s="36" t="s">
        <v>34</v>
      </c>
      <c r="V1006" s="38" t="s">
        <v>2437</v>
      </c>
      <c r="W1006" s="36"/>
      <c r="X1006" s="36" t="s">
        <v>2438</v>
      </c>
      <c r="Y1006" s="36" t="s">
        <v>2434</v>
      </c>
      <c r="Z1006" s="41"/>
      <c r="AA1006" s="42" t="e">
        <f>_xlfn.XLOOKUP(C1006,#REF!,#REF!,"",0,1)</f>
        <v>#REF!</v>
      </c>
      <c r="AB1006" s="43">
        <f t="shared" si="43"/>
        <v>0</v>
      </c>
    </row>
    <row r="1007" spans="1:28" ht="117.5" thickBot="1" x14ac:dyDescent="0.3">
      <c r="A1007" s="36">
        <v>1006</v>
      </c>
      <c r="B1007" s="36" t="s">
        <v>1521</v>
      </c>
      <c r="C1007" s="36" t="s">
        <v>1645</v>
      </c>
      <c r="D1007" s="37">
        <v>37697</v>
      </c>
      <c r="E1007" s="36" t="s">
        <v>2381</v>
      </c>
      <c r="F1007" s="36" t="s">
        <v>2567</v>
      </c>
      <c r="G1007" s="36" t="s">
        <v>55</v>
      </c>
      <c r="H1007" s="58" t="s">
        <v>2417</v>
      </c>
      <c r="I1007" s="36" t="s">
        <v>276</v>
      </c>
      <c r="J1007" s="36" t="str">
        <f t="shared" si="41"/>
        <v>School EducationNagpur School Education EstablishmentCLibrarian (GE/MSCERT/SIET/DIET)S10 (29200 - 92300)</v>
      </c>
      <c r="K1007" s="36" t="s">
        <v>170</v>
      </c>
      <c r="L1007" s="36" t="s">
        <v>228</v>
      </c>
      <c r="M1007" s="38" t="s">
        <v>2570</v>
      </c>
      <c r="N1007" s="36" t="s">
        <v>172</v>
      </c>
      <c r="O1007" s="6" t="s">
        <v>33</v>
      </c>
      <c r="P1007" s="8"/>
      <c r="Q1007" s="7" t="s">
        <v>34</v>
      </c>
      <c r="R1007" s="8"/>
      <c r="S1007" s="8"/>
      <c r="T1007" s="7" t="s">
        <v>35</v>
      </c>
      <c r="U1007" s="36" t="s">
        <v>34</v>
      </c>
      <c r="V1007" s="38" t="s">
        <v>2419</v>
      </c>
      <c r="W1007" s="36"/>
      <c r="X1007" s="36" t="s">
        <v>815</v>
      </c>
      <c r="Y1007" s="50">
        <v>25121</v>
      </c>
      <c r="Z1007" s="41"/>
      <c r="AA1007" s="42" t="e">
        <f>_xlfn.XLOOKUP(C1007,#REF!,#REF!,"",0,1)</f>
        <v>#REF!</v>
      </c>
      <c r="AB1007" s="43">
        <f t="shared" si="43"/>
        <v>0</v>
      </c>
    </row>
    <row r="1008" spans="1:28" ht="117.5" thickBot="1" x14ac:dyDescent="0.3">
      <c r="A1008" s="36">
        <v>1007</v>
      </c>
      <c r="B1008" s="36" t="s">
        <v>24</v>
      </c>
      <c r="C1008" s="36" t="s">
        <v>1645</v>
      </c>
      <c r="D1008" s="37">
        <v>37697</v>
      </c>
      <c r="E1008" s="36" t="s">
        <v>2381</v>
      </c>
      <c r="F1008" s="36" t="s">
        <v>2567</v>
      </c>
      <c r="G1008" s="36" t="s">
        <v>55</v>
      </c>
      <c r="H1008" s="36" t="s">
        <v>2571</v>
      </c>
      <c r="I1008" s="36" t="s">
        <v>276</v>
      </c>
      <c r="J1008" s="36" t="str">
        <f t="shared" si="41"/>
        <v>School EducationNagpur School Education EstablishmentCStatistical Assistant (D.S.P.No.)S10 (29200 - 92300)</v>
      </c>
      <c r="K1008" s="36" t="s">
        <v>115</v>
      </c>
      <c r="L1008" s="36" t="s">
        <v>225</v>
      </c>
      <c r="M1008" s="38" t="s">
        <v>2572</v>
      </c>
      <c r="N1008" s="36" t="s">
        <v>179</v>
      </c>
      <c r="O1008" s="6" t="s">
        <v>33</v>
      </c>
      <c r="P1008" s="7">
        <v>4</v>
      </c>
      <c r="Q1008" s="7" t="s">
        <v>34</v>
      </c>
      <c r="R1008" s="8"/>
      <c r="S1008" s="8"/>
      <c r="T1008" s="7" t="s">
        <v>35</v>
      </c>
      <c r="U1008" s="36" t="s">
        <v>34</v>
      </c>
      <c r="V1008" s="38" t="s">
        <v>2238</v>
      </c>
      <c r="W1008" s="36"/>
      <c r="X1008" s="36" t="s">
        <v>2233</v>
      </c>
      <c r="Y1008" s="36" t="s">
        <v>2234</v>
      </c>
      <c r="Z1008" s="56"/>
      <c r="AA1008" s="42" t="e">
        <f>_xlfn.XLOOKUP(C1008,#REF!,#REF!,"",0,1)</f>
        <v>#REF!</v>
      </c>
      <c r="AB1008" s="43">
        <f t="shared" si="43"/>
        <v>0</v>
      </c>
    </row>
    <row r="1009" spans="1:28" ht="104.5" thickBot="1" x14ac:dyDescent="0.3">
      <c r="A1009" s="36">
        <v>1008</v>
      </c>
      <c r="B1009" s="36" t="s">
        <v>494</v>
      </c>
      <c r="C1009" s="36" t="s">
        <v>1645</v>
      </c>
      <c r="D1009" s="37">
        <v>37697</v>
      </c>
      <c r="E1009" s="36" t="s">
        <v>2381</v>
      </c>
      <c r="F1009" s="36" t="s">
        <v>2567</v>
      </c>
      <c r="G1009" s="36" t="s">
        <v>55</v>
      </c>
      <c r="H1009" s="49" t="s">
        <v>2573</v>
      </c>
      <c r="I1009" s="36" t="s">
        <v>276</v>
      </c>
      <c r="J1009" s="36" t="str">
        <f t="shared" si="41"/>
        <v>School EducationNagpur School Education EstablishmentCTechnician (D.S.P.No.)S10 (29200 - 92300)</v>
      </c>
      <c r="K1009" s="36"/>
      <c r="L1009" s="36"/>
      <c r="M1009" s="38" t="s">
        <v>2574</v>
      </c>
      <c r="N1009" s="36" t="s">
        <v>41</v>
      </c>
      <c r="O1009" s="6" t="s">
        <v>33</v>
      </c>
      <c r="P1009" s="8"/>
      <c r="Q1009" s="7" t="s">
        <v>34</v>
      </c>
      <c r="R1009" s="8"/>
      <c r="S1009" s="8"/>
      <c r="T1009" s="4" t="s">
        <v>3276</v>
      </c>
      <c r="U1009" s="36" t="s">
        <v>34</v>
      </c>
      <c r="V1009" s="38" t="s">
        <v>2548</v>
      </c>
      <c r="W1009" s="36"/>
      <c r="X1009" s="36" t="s">
        <v>2433</v>
      </c>
      <c r="Y1009" s="36" t="s">
        <v>2434</v>
      </c>
      <c r="Z1009" s="41"/>
      <c r="AA1009" s="42" t="e">
        <f>_xlfn.XLOOKUP(C1009,#REF!,#REF!,"",0,1)</f>
        <v>#REF!</v>
      </c>
      <c r="AB1009" s="43">
        <f t="shared" si="43"/>
        <v>0</v>
      </c>
    </row>
    <row r="1010" spans="1:28" ht="104.5" thickBot="1" x14ac:dyDescent="0.3">
      <c r="A1010" s="36">
        <v>1009</v>
      </c>
      <c r="B1010" s="36" t="s">
        <v>24</v>
      </c>
      <c r="C1010" s="36" t="s">
        <v>1645</v>
      </c>
      <c r="D1010" s="37">
        <v>37697</v>
      </c>
      <c r="E1010" s="36" t="s">
        <v>2381</v>
      </c>
      <c r="F1010" s="36" t="s">
        <v>2567</v>
      </c>
      <c r="G1010" s="36" t="s">
        <v>55</v>
      </c>
      <c r="H1010" s="39" t="s">
        <v>2476</v>
      </c>
      <c r="I1010" s="36" t="s">
        <v>57</v>
      </c>
      <c r="J1010" s="36" t="str">
        <f t="shared" si="41"/>
        <v>School EducationNagpur School Education EstablishmentCChief ClerkS13 (35400 - 112400)</v>
      </c>
      <c r="K1010" s="36" t="s">
        <v>75</v>
      </c>
      <c r="L1010" s="36" t="s">
        <v>228</v>
      </c>
      <c r="M1010" s="65" t="s">
        <v>2477</v>
      </c>
      <c r="N1010" s="36" t="s">
        <v>2427</v>
      </c>
      <c r="O1010" s="27"/>
      <c r="P1010" s="26">
        <v>7</v>
      </c>
      <c r="Q1010" s="7" t="s">
        <v>34</v>
      </c>
      <c r="R1010" s="8"/>
      <c r="S1010" s="8"/>
      <c r="T1010" s="7" t="s">
        <v>35</v>
      </c>
      <c r="U1010" s="36"/>
      <c r="V1010" s="38" t="s">
        <v>2477</v>
      </c>
      <c r="W1010" s="66"/>
      <c r="X1010" s="66" t="s">
        <v>150</v>
      </c>
      <c r="Y1010" s="66" t="s">
        <v>150</v>
      </c>
      <c r="Z1010" s="56"/>
      <c r="AA1010" s="42" t="e">
        <f>_xlfn.XLOOKUP(C1010,#REF!,#REF!,"",0,1)</f>
        <v>#REF!</v>
      </c>
      <c r="AB1010" s="43">
        <f t="shared" si="43"/>
        <v>0</v>
      </c>
    </row>
    <row r="1011" spans="1:28" ht="260.5" thickBot="1" x14ac:dyDescent="0.3">
      <c r="A1011" s="36">
        <v>1010</v>
      </c>
      <c r="B1011" s="36" t="s">
        <v>24</v>
      </c>
      <c r="C1011" s="36" t="s">
        <v>1645</v>
      </c>
      <c r="D1011" s="37">
        <v>37697</v>
      </c>
      <c r="E1011" s="36" t="s">
        <v>2381</v>
      </c>
      <c r="F1011" s="36" t="s">
        <v>2567</v>
      </c>
      <c r="G1011" s="36" t="s">
        <v>55</v>
      </c>
      <c r="H1011" s="36" t="s">
        <v>2439</v>
      </c>
      <c r="I1011" s="36" t="s">
        <v>67</v>
      </c>
      <c r="J1011" s="36" t="str">
        <f t="shared" si="41"/>
        <v>School EducationNagpur School Education EstablishmentCStenographer (Lower Grade), Sashi/Adult Education/M.R.Shai.Tech.No./ Marashai Samprap/Dist. Shi. Q. no. / Stenographer (Lower Grade), GE/AE/ MSIET/ MSCERT/ D.I.E.T.S14 (38600 - 122800)</v>
      </c>
      <c r="K1011" s="36" t="s">
        <v>68</v>
      </c>
      <c r="L1011" s="36" t="s">
        <v>231</v>
      </c>
      <c r="M1011" s="38" t="s">
        <v>2575</v>
      </c>
      <c r="N1011" s="36" t="s">
        <v>70</v>
      </c>
      <c r="O1011" s="6" t="s">
        <v>33</v>
      </c>
      <c r="P1011" s="8"/>
      <c r="Q1011" s="7" t="s">
        <v>34</v>
      </c>
      <c r="R1011" s="8"/>
      <c r="S1011" s="8"/>
      <c r="T1011" s="4" t="s">
        <v>3276</v>
      </c>
      <c r="U1011" s="36" t="s">
        <v>34</v>
      </c>
      <c r="V1011" s="38" t="s">
        <v>2490</v>
      </c>
      <c r="W1011" s="36"/>
      <c r="X1011" s="36"/>
      <c r="Y1011" s="36"/>
      <c r="Z1011" s="56"/>
      <c r="AA1011" s="42" t="e">
        <f>_xlfn.XLOOKUP(C1011,#REF!,#REF!,"",0,1)</f>
        <v>#REF!</v>
      </c>
      <c r="AB1011" s="43">
        <f t="shared" si="43"/>
        <v>0</v>
      </c>
    </row>
    <row r="1012" spans="1:28" ht="130.5" thickBot="1" x14ac:dyDescent="0.3">
      <c r="A1012" s="44">
        <v>1011</v>
      </c>
      <c r="B1012" s="44" t="s">
        <v>24</v>
      </c>
      <c r="C1012" s="36" t="s">
        <v>1645</v>
      </c>
      <c r="D1012" s="37">
        <v>37697</v>
      </c>
      <c r="E1012" s="44" t="s">
        <v>2381</v>
      </c>
      <c r="F1012" s="44" t="s">
        <v>2567</v>
      </c>
      <c r="G1012" s="44" t="s">
        <v>55</v>
      </c>
      <c r="H1012" s="44" t="s">
        <v>2446</v>
      </c>
      <c r="I1012" s="44" t="s">
        <v>44</v>
      </c>
      <c r="J1012" s="44" t="str">
        <f t="shared" si="41"/>
        <v>School EducationNagpur School Education EstablishmentCScience Supervisor (GE/MSCERT)S15 (41800 - 132300)</v>
      </c>
      <c r="K1012" s="44"/>
      <c r="L1012" s="44" t="s">
        <v>261</v>
      </c>
      <c r="M1012" s="45" t="s">
        <v>2576</v>
      </c>
      <c r="N1012" s="44" t="s">
        <v>113</v>
      </c>
      <c r="O1012" s="11" t="s">
        <v>33</v>
      </c>
      <c r="P1012" s="13"/>
      <c r="Q1012" s="12" t="s">
        <v>34</v>
      </c>
      <c r="R1012" s="13"/>
      <c r="S1012" s="13"/>
      <c r="T1012" s="4" t="s">
        <v>3276</v>
      </c>
      <c r="U1012" s="44" t="s">
        <v>34</v>
      </c>
      <c r="V1012" s="45"/>
      <c r="W1012" s="44"/>
      <c r="X1012" s="44"/>
      <c r="Y1012" s="44"/>
      <c r="Z1012" s="56"/>
      <c r="AA1012" s="42" t="e">
        <f>_xlfn.XLOOKUP(C1012,#REF!,#REF!,"",0,1)</f>
        <v>#REF!</v>
      </c>
      <c r="AB1012" s="43">
        <f t="shared" si="43"/>
        <v>0</v>
      </c>
    </row>
    <row r="1013" spans="1:28" ht="130.5" thickBot="1" x14ac:dyDescent="0.3">
      <c r="A1013" s="36">
        <v>1012</v>
      </c>
      <c r="B1013" s="36" t="s">
        <v>24</v>
      </c>
      <c r="C1013" s="36" t="s">
        <v>1645</v>
      </c>
      <c r="D1013" s="37">
        <v>37697</v>
      </c>
      <c r="E1013" s="36" t="s">
        <v>2381</v>
      </c>
      <c r="F1013" s="36" t="s">
        <v>2567</v>
      </c>
      <c r="G1013" s="36" t="s">
        <v>55</v>
      </c>
      <c r="H1013" s="36" t="s">
        <v>2577</v>
      </c>
      <c r="I1013" s="36" t="s">
        <v>44</v>
      </c>
      <c r="J1013" s="36" t="str">
        <f t="shared" si="41"/>
        <v>School EducationNagpur School Education EstablishmentCAssistant Project Officer (AE) (Plan)S15 (41800 - 132300)</v>
      </c>
      <c r="K1013" s="36" t="s">
        <v>2453</v>
      </c>
      <c r="L1013" s="36" t="s">
        <v>225</v>
      </c>
      <c r="M1013" s="38" t="s">
        <v>2578</v>
      </c>
      <c r="N1013" s="36" t="s">
        <v>2454</v>
      </c>
      <c r="O1013" s="6" t="s">
        <v>33</v>
      </c>
      <c r="P1013" s="7">
        <v>18</v>
      </c>
      <c r="Q1013" s="7" t="s">
        <v>34</v>
      </c>
      <c r="R1013" s="8"/>
      <c r="S1013" s="8"/>
      <c r="T1013" s="7" t="s">
        <v>35</v>
      </c>
      <c r="U1013" s="36" t="s">
        <v>34</v>
      </c>
      <c r="V1013" s="38" t="s">
        <v>2455</v>
      </c>
      <c r="W1013" s="36"/>
      <c r="X1013" s="36" t="s">
        <v>2456</v>
      </c>
      <c r="Y1013" s="36" t="s">
        <v>2450</v>
      </c>
      <c r="Z1013" s="56"/>
      <c r="AA1013" s="42" t="e">
        <f>_xlfn.XLOOKUP(C1013,#REF!,#REF!,"",0,1)</f>
        <v>#REF!</v>
      </c>
      <c r="AB1013" s="43">
        <f t="shared" si="43"/>
        <v>0</v>
      </c>
    </row>
    <row r="1014" spans="1:28" ht="117.5" thickBot="1" x14ac:dyDescent="0.3">
      <c r="A1014" s="44">
        <v>1013</v>
      </c>
      <c r="B1014" s="44" t="s">
        <v>24</v>
      </c>
      <c r="C1014" s="36" t="s">
        <v>1645</v>
      </c>
      <c r="D1014" s="37">
        <v>37697</v>
      </c>
      <c r="E1014" s="44" t="s">
        <v>2381</v>
      </c>
      <c r="F1014" s="44" t="s">
        <v>2567</v>
      </c>
      <c r="G1014" s="44" t="s">
        <v>55</v>
      </c>
      <c r="H1014" s="49" t="s">
        <v>2579</v>
      </c>
      <c r="I1014" s="44" t="s">
        <v>44</v>
      </c>
      <c r="J1014" s="44" t="str">
        <f t="shared" si="41"/>
        <v>School EducationNagpur School Education EstablishmentCSubject Expert (S.Sc.)S15 (41800 - 132300)</v>
      </c>
      <c r="K1014" s="36" t="s">
        <v>2453</v>
      </c>
      <c r="L1014" s="44" t="s">
        <v>261</v>
      </c>
      <c r="M1014" s="45" t="s">
        <v>2580</v>
      </c>
      <c r="N1014" s="36" t="s">
        <v>2454</v>
      </c>
      <c r="O1014" s="11" t="s">
        <v>33</v>
      </c>
      <c r="P1014" s="12">
        <v>6</v>
      </c>
      <c r="Q1014" s="12" t="s">
        <v>34</v>
      </c>
      <c r="R1014" s="13"/>
      <c r="S1014" s="13"/>
      <c r="T1014" s="4" t="s">
        <v>3276</v>
      </c>
      <c r="U1014" s="44" t="s">
        <v>34</v>
      </c>
      <c r="V1014" s="45" t="s">
        <v>2581</v>
      </c>
      <c r="W1014" s="44"/>
      <c r="X1014" s="44" t="s">
        <v>2456</v>
      </c>
      <c r="Y1014" s="44" t="s">
        <v>2450</v>
      </c>
      <c r="Z1014" s="56"/>
      <c r="AA1014" s="42" t="e">
        <f>_xlfn.XLOOKUP(C1014,#REF!,#REF!,"",0,1)</f>
        <v>#REF!</v>
      </c>
      <c r="AB1014" s="43">
        <f t="shared" si="43"/>
        <v>0</v>
      </c>
    </row>
    <row r="1015" spans="1:28" ht="156.5" thickBot="1" x14ac:dyDescent="0.3">
      <c r="A1015" s="36">
        <v>1014</v>
      </c>
      <c r="B1015" s="36" t="s">
        <v>532</v>
      </c>
      <c r="C1015" s="36" t="s">
        <v>1645</v>
      </c>
      <c r="D1015" s="37">
        <v>37697</v>
      </c>
      <c r="E1015" s="36" t="s">
        <v>2381</v>
      </c>
      <c r="F1015" s="36" t="s">
        <v>2567</v>
      </c>
      <c r="G1015" s="36" t="s">
        <v>55</v>
      </c>
      <c r="H1015" s="36" t="s">
        <v>2442</v>
      </c>
      <c r="I1015" s="36" t="s">
        <v>44</v>
      </c>
      <c r="J1015" s="36" t="str">
        <f t="shared" si="41"/>
        <v>School EducationNagpur School Education EstablishmentCAssistant Deputy Education Inspector (GE/AE)S15 (41800 - 132300)</v>
      </c>
      <c r="K1015" s="36"/>
      <c r="L1015" s="36"/>
      <c r="M1015" s="38" t="s">
        <v>2582</v>
      </c>
      <c r="N1015" s="36"/>
      <c r="O1015" s="6" t="s">
        <v>33</v>
      </c>
      <c r="P1015" s="8"/>
      <c r="Q1015" s="7" t="s">
        <v>34</v>
      </c>
      <c r="R1015" s="8"/>
      <c r="S1015" s="8"/>
      <c r="T1015" s="4" t="s">
        <v>3276</v>
      </c>
      <c r="U1015" s="36" t="s">
        <v>34</v>
      </c>
      <c r="V1015" s="38"/>
      <c r="W1015" s="36"/>
      <c r="X1015" s="36"/>
      <c r="Y1015" s="36"/>
      <c r="Z1015" s="41"/>
      <c r="AA1015" s="42" t="e">
        <f>_xlfn.XLOOKUP(C1015,#REF!,#REF!,"",0,1)</f>
        <v>#REF!</v>
      </c>
      <c r="AB1015" s="43">
        <f t="shared" si="43"/>
        <v>0</v>
      </c>
    </row>
    <row r="1016" spans="1:28" ht="130.5" thickBot="1" x14ac:dyDescent="0.3">
      <c r="A1016" s="44">
        <v>1015</v>
      </c>
      <c r="B1016" s="44" t="s">
        <v>24</v>
      </c>
      <c r="C1016" s="36" t="s">
        <v>1645</v>
      </c>
      <c r="D1016" s="37">
        <v>37697</v>
      </c>
      <c r="E1016" s="44" t="s">
        <v>2381</v>
      </c>
      <c r="F1016" s="44" t="s">
        <v>2567</v>
      </c>
      <c r="G1016" s="44" t="s">
        <v>55</v>
      </c>
      <c r="H1016" s="67" t="s">
        <v>2520</v>
      </c>
      <c r="I1016" s="44" t="s">
        <v>44</v>
      </c>
      <c r="J1016" s="44" t="str">
        <f t="shared" si="41"/>
        <v>School EducationNagpur School Education EstablishmentCProgram Assistant (Prof. Shi.)S15 (41800 - 132300)</v>
      </c>
      <c r="K1016" s="44"/>
      <c r="L1016" s="44" t="s">
        <v>261</v>
      </c>
      <c r="M1016" s="68" t="s">
        <v>2460</v>
      </c>
      <c r="N1016" s="44" t="s">
        <v>113</v>
      </c>
      <c r="O1016" s="28"/>
      <c r="P1016" s="13"/>
      <c r="Q1016" s="13"/>
      <c r="R1016" s="13"/>
      <c r="S1016" s="13"/>
      <c r="T1016" s="4" t="s">
        <v>3276</v>
      </c>
      <c r="U1016" s="44"/>
      <c r="V1016" s="45"/>
      <c r="W1016" s="44"/>
      <c r="X1016" s="44"/>
      <c r="Y1016" s="44"/>
      <c r="Z1016" s="56"/>
      <c r="AA1016" s="42" t="e">
        <f>_xlfn.XLOOKUP(C1016,#REF!,#REF!,"",0,1)</f>
        <v>#REF!</v>
      </c>
      <c r="AB1016" s="43">
        <f t="shared" si="43"/>
        <v>0</v>
      </c>
    </row>
    <row r="1017" spans="1:28" ht="117.5" thickBot="1" x14ac:dyDescent="0.3">
      <c r="A1017" s="36">
        <v>1016</v>
      </c>
      <c r="B1017" s="36" t="s">
        <v>983</v>
      </c>
      <c r="C1017" s="36" t="s">
        <v>1645</v>
      </c>
      <c r="D1017" s="37">
        <v>37697</v>
      </c>
      <c r="E1017" s="36" t="s">
        <v>2381</v>
      </c>
      <c r="F1017" s="36" t="s">
        <v>2491</v>
      </c>
      <c r="G1017" s="36" t="s">
        <v>55</v>
      </c>
      <c r="H1017" s="39" t="s">
        <v>2583</v>
      </c>
      <c r="I1017" s="36" t="s">
        <v>44</v>
      </c>
      <c r="J1017" s="36" t="str">
        <f t="shared" si="41"/>
        <v>School EducationCommissionerate of Education Pune EstablishmentCSubject AssitantS15 (41800 - 132300)</v>
      </c>
      <c r="K1017" s="36"/>
      <c r="L1017" s="36"/>
      <c r="M1017" s="64" t="s">
        <v>2460</v>
      </c>
      <c r="N1017" s="36" t="s">
        <v>113</v>
      </c>
      <c r="O1017" s="9"/>
      <c r="P1017" s="7">
        <v>26</v>
      </c>
      <c r="Q1017" s="7" t="s">
        <v>34</v>
      </c>
      <c r="R1017" s="8"/>
      <c r="S1017" s="8"/>
      <c r="T1017" s="4" t="s">
        <v>3276</v>
      </c>
      <c r="U1017" s="36"/>
      <c r="V1017" s="38"/>
      <c r="W1017" s="36"/>
      <c r="X1017" s="36"/>
      <c r="Y1017" s="36"/>
      <c r="Z1017" s="56"/>
      <c r="AA1017" s="42" t="e">
        <f>_xlfn.XLOOKUP(C1017,#REF!,#REF!,"",0,1)</f>
        <v>#REF!</v>
      </c>
      <c r="AB1017" s="43">
        <f t="shared" si="43"/>
        <v>0</v>
      </c>
    </row>
    <row r="1018" spans="1:28" ht="299.5" thickBot="1" x14ac:dyDescent="0.3">
      <c r="A1018" s="36">
        <v>1017</v>
      </c>
      <c r="B1018" s="36" t="s">
        <v>983</v>
      </c>
      <c r="C1018" s="36" t="s">
        <v>1645</v>
      </c>
      <c r="D1018" s="37">
        <v>37697</v>
      </c>
      <c r="E1018" s="36" t="s">
        <v>2381</v>
      </c>
      <c r="F1018" s="36" t="s">
        <v>2567</v>
      </c>
      <c r="G1018" s="36" t="s">
        <v>55</v>
      </c>
      <c r="H1018" s="39" t="s">
        <v>2459</v>
      </c>
      <c r="I1018" s="36" t="s">
        <v>44</v>
      </c>
      <c r="J1018" s="36" t="str">
        <f t="shared" si="41"/>
        <v>School EducationNagpur School Education EstablishmentCAssistant Teacher, Government Teachers College / S. T. College, Mumbai / Government Vidyaniketane / Asst. Teacher, Govt. D.Ed. College/S.T. College, Mumbai/ Govt. Vidya NiketanS15 (41800 - 132300)</v>
      </c>
      <c r="K1018" s="36"/>
      <c r="L1018" s="36"/>
      <c r="M1018" s="65" t="s">
        <v>2584</v>
      </c>
      <c r="N1018" s="66" t="s">
        <v>2585</v>
      </c>
      <c r="O1018" s="25" t="s">
        <v>83</v>
      </c>
      <c r="P1018" s="29"/>
      <c r="Q1018" s="8"/>
      <c r="R1018" s="8"/>
      <c r="S1018" s="8"/>
      <c r="T1018" s="4" t="s">
        <v>3276</v>
      </c>
      <c r="U1018" s="36"/>
      <c r="V1018" s="38"/>
      <c r="W1018" s="66"/>
      <c r="X1018" s="66"/>
      <c r="Y1018" s="66"/>
      <c r="Z1018" s="41"/>
      <c r="AA1018" s="42" t="e">
        <f>_xlfn.XLOOKUP(C1018,#REF!,#REF!,"",0,1)</f>
        <v>#REF!</v>
      </c>
      <c r="AB1018" s="43">
        <f t="shared" si="43"/>
        <v>0</v>
      </c>
    </row>
    <row r="1019" spans="1:28" ht="221.5" thickBot="1" x14ac:dyDescent="0.3">
      <c r="A1019" s="36">
        <v>1018</v>
      </c>
      <c r="B1019" s="36" t="s">
        <v>532</v>
      </c>
      <c r="C1019" s="36" t="s">
        <v>1645</v>
      </c>
      <c r="D1019" s="37">
        <v>37697</v>
      </c>
      <c r="E1019" s="36" t="s">
        <v>2381</v>
      </c>
      <c r="F1019" s="36" t="s">
        <v>2567</v>
      </c>
      <c r="G1019" s="36" t="s">
        <v>55</v>
      </c>
      <c r="H1019" s="36" t="s">
        <v>2444</v>
      </c>
      <c r="I1019" s="36" t="s">
        <v>44</v>
      </c>
      <c r="J1019" s="36" t="str">
        <f t="shared" si="41"/>
        <v>School EducationNagpur School Education EstablishmentCAdministration Officer (Municipal Board of Education), General Education / Admn. Officer (Municipal School Board), GES15 (41800 - 132300)</v>
      </c>
      <c r="K1019" s="36"/>
      <c r="L1019" s="36"/>
      <c r="M1019" s="38" t="s">
        <v>2586</v>
      </c>
      <c r="N1019" s="36"/>
      <c r="O1019" s="6" t="s">
        <v>33</v>
      </c>
      <c r="P1019" s="8"/>
      <c r="Q1019" s="7" t="s">
        <v>34</v>
      </c>
      <c r="R1019" s="8"/>
      <c r="S1019" s="8"/>
      <c r="T1019" s="4" t="s">
        <v>3276</v>
      </c>
      <c r="U1019" s="36" t="s">
        <v>34</v>
      </c>
      <c r="V1019" s="38"/>
      <c r="W1019" s="36"/>
      <c r="X1019" s="36"/>
      <c r="Y1019" s="36"/>
      <c r="Z1019" s="41"/>
      <c r="AA1019" s="42" t="e">
        <f>_xlfn.XLOOKUP(C1019,#REF!,#REF!,"",0,1)</f>
        <v>#REF!</v>
      </c>
      <c r="AB1019" s="43">
        <f t="shared" si="43"/>
        <v>0</v>
      </c>
    </row>
    <row r="1020" spans="1:28" ht="117.5" thickBot="1" x14ac:dyDescent="0.3">
      <c r="A1020" s="36">
        <v>1019</v>
      </c>
      <c r="B1020" s="36" t="s">
        <v>24</v>
      </c>
      <c r="C1020" s="36" t="s">
        <v>1645</v>
      </c>
      <c r="D1020" s="37">
        <v>37697</v>
      </c>
      <c r="E1020" s="36" t="s">
        <v>2381</v>
      </c>
      <c r="F1020" s="36" t="s">
        <v>2567</v>
      </c>
      <c r="G1020" s="36" t="s">
        <v>55</v>
      </c>
      <c r="H1020" s="36" t="s">
        <v>2587</v>
      </c>
      <c r="I1020" s="36" t="s">
        <v>74</v>
      </c>
      <c r="J1020" s="36" t="str">
        <f t="shared" si="41"/>
        <v>School EducationNagpur School Education EstablishmentCJunior Clerk/ Clerk-cum-TypistS6 (19900 - 63200)</v>
      </c>
      <c r="K1020" s="36" t="s">
        <v>75</v>
      </c>
      <c r="L1020" s="36" t="s">
        <v>228</v>
      </c>
      <c r="M1020" s="38" t="s">
        <v>2588</v>
      </c>
      <c r="N1020" s="36" t="s">
        <v>70</v>
      </c>
      <c r="O1020" s="6" t="s">
        <v>33</v>
      </c>
      <c r="P1020" s="7">
        <v>26</v>
      </c>
      <c r="Q1020" s="7" t="s">
        <v>34</v>
      </c>
      <c r="R1020" s="8"/>
      <c r="S1020" s="8"/>
      <c r="T1020" s="7" t="s">
        <v>61</v>
      </c>
      <c r="U1020" s="36" t="s">
        <v>100</v>
      </c>
      <c r="V1020" s="38" t="s">
        <v>2468</v>
      </c>
      <c r="W1020" s="36"/>
      <c r="X1020" s="36" t="s">
        <v>2469</v>
      </c>
      <c r="Y1020" s="50">
        <v>25121</v>
      </c>
      <c r="Z1020" s="56"/>
      <c r="AA1020" s="42" t="e">
        <f>_xlfn.XLOOKUP(C1020,#REF!,#REF!,"",0,1)</f>
        <v>#REF!</v>
      </c>
      <c r="AB1020" s="43">
        <f t="shared" si="43"/>
        <v>0</v>
      </c>
    </row>
    <row r="1021" spans="1:28" ht="91.5" thickBot="1" x14ac:dyDescent="0.3">
      <c r="A1021" s="44">
        <v>1020</v>
      </c>
      <c r="B1021" s="44" t="s">
        <v>24</v>
      </c>
      <c r="C1021" s="36" t="s">
        <v>1645</v>
      </c>
      <c r="D1021" s="37">
        <v>37697</v>
      </c>
      <c r="E1021" s="44" t="s">
        <v>2381</v>
      </c>
      <c r="F1021" s="44" t="s">
        <v>2567</v>
      </c>
      <c r="G1021" s="44" t="s">
        <v>55</v>
      </c>
      <c r="H1021" s="67" t="s">
        <v>2589</v>
      </c>
      <c r="I1021" s="44" t="s">
        <v>74</v>
      </c>
      <c r="J1021" s="44" t="str">
        <f t="shared" si="41"/>
        <v>School EducationNagpur School Education EstablishmentCTabaljiS6 (19900 - 63200)</v>
      </c>
      <c r="K1021" s="44"/>
      <c r="L1021" s="44" t="s">
        <v>261</v>
      </c>
      <c r="M1021" s="69" t="s">
        <v>2590</v>
      </c>
      <c r="N1021" s="44" t="s">
        <v>113</v>
      </c>
      <c r="O1021" s="28"/>
      <c r="P1021" s="13"/>
      <c r="Q1021" s="13"/>
      <c r="R1021" s="13"/>
      <c r="S1021" s="13"/>
      <c r="T1021" s="4" t="s">
        <v>3276</v>
      </c>
      <c r="U1021" s="44"/>
      <c r="V1021" s="45"/>
      <c r="W1021" s="44"/>
      <c r="X1021" s="44"/>
      <c r="Y1021" s="44"/>
      <c r="Z1021" s="56"/>
      <c r="AA1021" s="42" t="e">
        <f>_xlfn.XLOOKUP(C1021,#REF!,#REF!,"",0,1)</f>
        <v>#REF!</v>
      </c>
      <c r="AB1021" s="43">
        <f t="shared" si="43"/>
        <v>0</v>
      </c>
    </row>
    <row r="1022" spans="1:28" ht="130.5" thickBot="1" x14ac:dyDescent="0.3">
      <c r="A1022" s="36">
        <v>1021</v>
      </c>
      <c r="B1022" s="36" t="s">
        <v>24</v>
      </c>
      <c r="C1022" s="36" t="s">
        <v>1645</v>
      </c>
      <c r="D1022" s="37">
        <v>37697</v>
      </c>
      <c r="E1022" s="36" t="s">
        <v>2381</v>
      </c>
      <c r="F1022" s="36" t="s">
        <v>2567</v>
      </c>
      <c r="G1022" s="36" t="s">
        <v>55</v>
      </c>
      <c r="H1022" s="39" t="s">
        <v>2461</v>
      </c>
      <c r="I1022" s="36" t="s">
        <v>169</v>
      </c>
      <c r="J1022" s="36" t="str">
        <f t="shared" si="41"/>
        <v>School EducationNagpur School Education EstablishmentCLaboratory Assistant, General EducationS7 (21700 - 69100)</v>
      </c>
      <c r="K1022" s="36" t="s">
        <v>377</v>
      </c>
      <c r="L1022" s="36" t="s">
        <v>225</v>
      </c>
      <c r="M1022" s="65" t="s">
        <v>2484</v>
      </c>
      <c r="N1022" s="36" t="s">
        <v>2591</v>
      </c>
      <c r="O1022" s="25" t="s">
        <v>33</v>
      </c>
      <c r="P1022" s="26">
        <v>7</v>
      </c>
      <c r="Q1022" s="7" t="s">
        <v>34</v>
      </c>
      <c r="R1022" s="8"/>
      <c r="S1022" s="8"/>
      <c r="T1022" s="7" t="s">
        <v>35</v>
      </c>
      <c r="U1022" s="36"/>
      <c r="V1022" s="38" t="s">
        <v>2484</v>
      </c>
      <c r="W1022" s="66"/>
      <c r="X1022" s="66" t="s">
        <v>150</v>
      </c>
      <c r="Y1022" s="66" t="s">
        <v>150</v>
      </c>
      <c r="Z1022" s="56"/>
      <c r="AA1022" s="42" t="e">
        <f>_xlfn.XLOOKUP(C1022,#REF!,#REF!,"",0,1)</f>
        <v>#REF!</v>
      </c>
      <c r="AB1022" s="43">
        <f t="shared" si="43"/>
        <v>0</v>
      </c>
    </row>
    <row r="1023" spans="1:28" ht="104.5" thickBot="1" x14ac:dyDescent="0.3">
      <c r="A1023" s="44">
        <v>1022</v>
      </c>
      <c r="B1023" s="44" t="s">
        <v>24</v>
      </c>
      <c r="C1023" s="36" t="s">
        <v>1645</v>
      </c>
      <c r="D1023" s="37">
        <v>37697</v>
      </c>
      <c r="E1023" s="44" t="s">
        <v>2381</v>
      </c>
      <c r="F1023" s="44" t="s">
        <v>2567</v>
      </c>
      <c r="G1023" s="44" t="s">
        <v>55</v>
      </c>
      <c r="H1023" s="67" t="s">
        <v>2592</v>
      </c>
      <c r="I1023" s="44" t="s">
        <v>169</v>
      </c>
      <c r="J1023" s="44" t="str">
        <f t="shared" si="41"/>
        <v>School EducationNagpur School Education EstablishmentCTaluka samadeshakS7 (21700 - 69100)</v>
      </c>
      <c r="K1023" s="44"/>
      <c r="L1023" s="44" t="s">
        <v>261</v>
      </c>
      <c r="M1023" s="68" t="s">
        <v>2593</v>
      </c>
      <c r="N1023" s="44" t="s">
        <v>113</v>
      </c>
      <c r="O1023" s="11" t="s">
        <v>33</v>
      </c>
      <c r="P1023" s="13"/>
      <c r="Q1023" s="13"/>
      <c r="R1023" s="13"/>
      <c r="S1023" s="13"/>
      <c r="T1023" s="4" t="s">
        <v>3276</v>
      </c>
      <c r="U1023" s="44"/>
      <c r="V1023" s="45"/>
      <c r="W1023" s="44"/>
      <c r="X1023" s="44"/>
      <c r="Y1023" s="44"/>
      <c r="Z1023" s="56"/>
      <c r="AA1023" s="42" t="e">
        <f>_xlfn.XLOOKUP(C1023,#REF!,#REF!,"",0,1)</f>
        <v>#REF!</v>
      </c>
      <c r="AB1023" s="43">
        <f t="shared" si="43"/>
        <v>0</v>
      </c>
    </row>
    <row r="1024" spans="1:28" ht="91.5" thickBot="1" x14ac:dyDescent="0.3">
      <c r="A1024" s="36">
        <v>1023</v>
      </c>
      <c r="B1024" s="36" t="s">
        <v>24</v>
      </c>
      <c r="C1024" s="36" t="s">
        <v>1645</v>
      </c>
      <c r="D1024" s="37">
        <v>37697</v>
      </c>
      <c r="E1024" s="36" t="s">
        <v>2381</v>
      </c>
      <c r="F1024" s="36" t="s">
        <v>2567</v>
      </c>
      <c r="G1024" s="36" t="s">
        <v>55</v>
      </c>
      <c r="H1024" s="36" t="s">
        <v>87</v>
      </c>
      <c r="I1024" s="36" t="s">
        <v>80</v>
      </c>
      <c r="J1024" s="36" t="str">
        <f t="shared" si="41"/>
        <v>School EducationNagpur School Education EstablishmentCSenior ClerkS8 (25500 - 81100)</v>
      </c>
      <c r="K1024" s="36" t="s">
        <v>75</v>
      </c>
      <c r="L1024" s="36" t="s">
        <v>228</v>
      </c>
      <c r="M1024" s="38" t="s">
        <v>2594</v>
      </c>
      <c r="N1024" s="36" t="s">
        <v>2427</v>
      </c>
      <c r="O1024" s="6" t="s">
        <v>33</v>
      </c>
      <c r="P1024" s="7">
        <v>16</v>
      </c>
      <c r="Q1024" s="7" t="s">
        <v>34</v>
      </c>
      <c r="R1024" s="8"/>
      <c r="S1024" s="8"/>
      <c r="T1024" s="7" t="s">
        <v>35</v>
      </c>
      <c r="U1024" s="36" t="s">
        <v>34</v>
      </c>
      <c r="V1024" s="38" t="s">
        <v>2472</v>
      </c>
      <c r="W1024" s="36"/>
      <c r="X1024" s="36" t="s">
        <v>2469</v>
      </c>
      <c r="Y1024" s="50">
        <v>25121</v>
      </c>
      <c r="Z1024" s="56"/>
      <c r="AA1024" s="42" t="e">
        <f>_xlfn.XLOOKUP(C1024,#REF!,#REF!,"",0,1)</f>
        <v>#REF!</v>
      </c>
      <c r="AB1024" s="43">
        <f t="shared" si="43"/>
        <v>0</v>
      </c>
    </row>
    <row r="1025" spans="1:28" ht="104.5" thickBot="1" x14ac:dyDescent="0.3">
      <c r="A1025" s="36">
        <v>1024</v>
      </c>
      <c r="B1025" s="36" t="s">
        <v>24</v>
      </c>
      <c r="C1025" s="36" t="s">
        <v>1645</v>
      </c>
      <c r="D1025" s="37">
        <v>37697</v>
      </c>
      <c r="E1025" s="36" t="s">
        <v>2381</v>
      </c>
      <c r="F1025" s="36" t="s">
        <v>2595</v>
      </c>
      <c r="G1025" s="36" t="s">
        <v>55</v>
      </c>
      <c r="H1025" s="36" t="s">
        <v>2476</v>
      </c>
      <c r="I1025" s="36" t="s">
        <v>57</v>
      </c>
      <c r="J1025" s="36" t="str">
        <f t="shared" si="41"/>
        <v>School EducationNashik School Education EstablishmentCChief ClerkS13 (35400 - 112400)</v>
      </c>
      <c r="K1025" s="36" t="s">
        <v>75</v>
      </c>
      <c r="L1025" s="36" t="s">
        <v>228</v>
      </c>
      <c r="M1025" s="38" t="s">
        <v>2596</v>
      </c>
      <c r="N1025" s="36" t="s">
        <v>2427</v>
      </c>
      <c r="O1025" s="6" t="s">
        <v>33</v>
      </c>
      <c r="P1025" s="7"/>
      <c r="Q1025" s="7" t="s">
        <v>34</v>
      </c>
      <c r="R1025" s="8"/>
      <c r="S1025" s="8"/>
      <c r="T1025" s="7" t="s">
        <v>35</v>
      </c>
      <c r="U1025" s="36" t="s">
        <v>34</v>
      </c>
      <c r="V1025" s="38" t="s">
        <v>2472</v>
      </c>
      <c r="W1025" s="36"/>
      <c r="X1025" s="36" t="s">
        <v>2469</v>
      </c>
      <c r="Y1025" s="50">
        <v>25121</v>
      </c>
      <c r="Z1025" s="56"/>
      <c r="AA1025" s="42" t="e">
        <f>_xlfn.XLOOKUP(C1025,#REF!,#REF!,"",0,1)</f>
        <v>#REF!</v>
      </c>
      <c r="AB1025" s="43">
        <f t="shared" si="43"/>
        <v>0</v>
      </c>
    </row>
    <row r="1026" spans="1:28" ht="130.5" thickBot="1" x14ac:dyDescent="0.3">
      <c r="A1026" s="44">
        <v>1025</v>
      </c>
      <c r="B1026" s="44" t="s">
        <v>24</v>
      </c>
      <c r="C1026" s="36" t="s">
        <v>1645</v>
      </c>
      <c r="D1026" s="37">
        <v>37697</v>
      </c>
      <c r="E1026" s="44" t="s">
        <v>2381</v>
      </c>
      <c r="F1026" s="44" t="s">
        <v>2595</v>
      </c>
      <c r="G1026" s="44" t="s">
        <v>55</v>
      </c>
      <c r="H1026" s="44" t="s">
        <v>2446</v>
      </c>
      <c r="I1026" s="44" t="s">
        <v>44</v>
      </c>
      <c r="J1026" s="44" t="str">
        <f t="shared" ref="J1026:J1089" si="44">_xlfn.CONCAT(E1026:I1026)</f>
        <v>School EducationNashik School Education EstablishmentCScience Supervisor (GE/MSCERT)S15 (41800 - 132300)</v>
      </c>
      <c r="K1026" s="44"/>
      <c r="L1026" s="44" t="s">
        <v>261</v>
      </c>
      <c r="M1026" s="45" t="s">
        <v>2597</v>
      </c>
      <c r="N1026" s="44" t="s">
        <v>113</v>
      </c>
      <c r="O1026" s="11" t="s">
        <v>33</v>
      </c>
      <c r="P1026" s="13"/>
      <c r="Q1026" s="12" t="s">
        <v>34</v>
      </c>
      <c r="R1026" s="13"/>
      <c r="S1026" s="13"/>
      <c r="T1026" s="4" t="s">
        <v>3276</v>
      </c>
      <c r="U1026" s="44" t="s">
        <v>34</v>
      </c>
      <c r="V1026" s="45"/>
      <c r="W1026" s="44"/>
      <c r="X1026" s="44"/>
      <c r="Y1026" s="44"/>
      <c r="Z1026" s="56"/>
      <c r="AA1026" s="42" t="e">
        <f>_xlfn.XLOOKUP(C1026,#REF!,#REF!,"",0,1)</f>
        <v>#REF!</v>
      </c>
      <c r="AB1026" s="43">
        <f t="shared" ref="AB1026" si="45">IFERROR(FLOOR(P1026*AA1026,1),0)</f>
        <v>0</v>
      </c>
    </row>
    <row r="1027" spans="1:28" ht="130.5" thickBot="1" x14ac:dyDescent="0.3">
      <c r="A1027" s="55">
        <v>1026</v>
      </c>
      <c r="B1027" s="55" t="s">
        <v>1547</v>
      </c>
      <c r="C1027" s="36" t="s">
        <v>1645</v>
      </c>
      <c r="D1027" s="37">
        <v>37697</v>
      </c>
      <c r="E1027" s="55" t="s">
        <v>2381</v>
      </c>
      <c r="F1027" s="55" t="s">
        <v>2595</v>
      </c>
      <c r="G1027" s="55" t="s">
        <v>55</v>
      </c>
      <c r="H1027" s="55" t="s">
        <v>2446</v>
      </c>
      <c r="I1027" s="55" t="s">
        <v>44</v>
      </c>
      <c r="J1027" s="55" t="str">
        <f t="shared" si="44"/>
        <v>School EducationNashik School Education EstablishmentCScience Supervisor (GE/MSCERT)S15 (41800 - 132300)</v>
      </c>
      <c r="K1027" s="55"/>
      <c r="L1027" s="55" t="s">
        <v>261</v>
      </c>
      <c r="M1027" s="70" t="s">
        <v>2598</v>
      </c>
      <c r="N1027" s="55" t="s">
        <v>113</v>
      </c>
      <c r="O1027" s="16" t="s">
        <v>33</v>
      </c>
      <c r="P1027" s="19"/>
      <c r="Q1027" s="17" t="s">
        <v>34</v>
      </c>
      <c r="R1027" s="19"/>
      <c r="S1027" s="19"/>
      <c r="T1027" s="4" t="s">
        <v>3276</v>
      </c>
      <c r="U1027" s="55" t="s">
        <v>34</v>
      </c>
      <c r="V1027" s="70"/>
      <c r="W1027" s="55"/>
      <c r="X1027" s="55"/>
      <c r="Y1027" s="55"/>
      <c r="Z1027" s="41"/>
      <c r="AA1027" s="42" t="e">
        <f>_xlfn.XLOOKUP(C1027,#REF!,#REF!,"",0,1)</f>
        <v>#REF!</v>
      </c>
      <c r="AB1027" s="43">
        <f t="shared" ref="AB1027:AB1089" si="46">IFERROR(FLOOR(P1027*AA1027,1),0)</f>
        <v>0</v>
      </c>
    </row>
    <row r="1028" spans="1:28" ht="156.5" thickBot="1" x14ac:dyDescent="0.3">
      <c r="A1028" s="36">
        <v>1027</v>
      </c>
      <c r="B1028" s="36" t="s">
        <v>532</v>
      </c>
      <c r="C1028" s="36" t="s">
        <v>1645</v>
      </c>
      <c r="D1028" s="37">
        <v>37697</v>
      </c>
      <c r="E1028" s="36" t="s">
        <v>2381</v>
      </c>
      <c r="F1028" s="36" t="s">
        <v>2595</v>
      </c>
      <c r="G1028" s="36" t="s">
        <v>55</v>
      </c>
      <c r="H1028" s="36" t="s">
        <v>2442</v>
      </c>
      <c r="I1028" s="36" t="s">
        <v>44</v>
      </c>
      <c r="J1028" s="36" t="str">
        <f t="shared" si="44"/>
        <v>School EducationNashik School Education EstablishmentCAssistant Deputy Education Inspector (GE/AE)S15 (41800 - 132300)</v>
      </c>
      <c r="K1028" s="36"/>
      <c r="L1028" s="36"/>
      <c r="M1028" s="38" t="s">
        <v>2599</v>
      </c>
      <c r="N1028" s="36"/>
      <c r="O1028" s="6" t="s">
        <v>33</v>
      </c>
      <c r="P1028" s="8"/>
      <c r="Q1028" s="7" t="s">
        <v>34</v>
      </c>
      <c r="R1028" s="8"/>
      <c r="S1028" s="8"/>
      <c r="T1028" s="4" t="s">
        <v>3276</v>
      </c>
      <c r="U1028" s="36" t="s">
        <v>34</v>
      </c>
      <c r="V1028" s="38"/>
      <c r="W1028" s="36"/>
      <c r="X1028" s="36"/>
      <c r="Y1028" s="36"/>
      <c r="Z1028" s="41"/>
      <c r="AA1028" s="42" t="e">
        <f>_xlfn.XLOOKUP(C1028,#REF!,#REF!,"",0,1)</f>
        <v>#REF!</v>
      </c>
      <c r="AB1028" s="43">
        <f t="shared" si="46"/>
        <v>0</v>
      </c>
    </row>
    <row r="1029" spans="1:28" ht="221.5" thickBot="1" x14ac:dyDescent="0.3">
      <c r="A1029" s="36">
        <v>1028</v>
      </c>
      <c r="B1029" s="36" t="s">
        <v>532</v>
      </c>
      <c r="C1029" s="36" t="s">
        <v>1645</v>
      </c>
      <c r="D1029" s="37">
        <v>37697</v>
      </c>
      <c r="E1029" s="36" t="s">
        <v>2381</v>
      </c>
      <c r="F1029" s="36" t="s">
        <v>2595</v>
      </c>
      <c r="G1029" s="36" t="s">
        <v>55</v>
      </c>
      <c r="H1029" s="36" t="s">
        <v>2444</v>
      </c>
      <c r="I1029" s="36" t="s">
        <v>44</v>
      </c>
      <c r="J1029" s="36" t="str">
        <f t="shared" si="44"/>
        <v>School EducationNashik School Education EstablishmentCAdministration Officer (Municipal Board of Education), General Education / Admn. Officer (Municipal School Board), GES15 (41800 - 132300)</v>
      </c>
      <c r="K1029" s="36"/>
      <c r="L1029" s="36"/>
      <c r="M1029" s="38" t="s">
        <v>2600</v>
      </c>
      <c r="N1029" s="36"/>
      <c r="O1029" s="6" t="s">
        <v>33</v>
      </c>
      <c r="P1029" s="8"/>
      <c r="Q1029" s="7" t="s">
        <v>34</v>
      </c>
      <c r="R1029" s="8"/>
      <c r="S1029" s="8"/>
      <c r="T1029" s="4" t="s">
        <v>3276</v>
      </c>
      <c r="U1029" s="36" t="s">
        <v>34</v>
      </c>
      <c r="V1029" s="38"/>
      <c r="W1029" s="36"/>
      <c r="X1029" s="36"/>
      <c r="Y1029" s="36"/>
      <c r="Z1029" s="41"/>
      <c r="AA1029" s="42" t="e">
        <f>_xlfn.XLOOKUP(C1029,#REF!,#REF!,"",0,1)</f>
        <v>#REF!</v>
      </c>
      <c r="AB1029" s="43">
        <f t="shared" si="46"/>
        <v>0</v>
      </c>
    </row>
    <row r="1030" spans="1:28" ht="117.5" thickBot="1" x14ac:dyDescent="0.3">
      <c r="A1030" s="36">
        <v>1029</v>
      </c>
      <c r="B1030" s="36" t="s">
        <v>24</v>
      </c>
      <c r="C1030" s="36" t="s">
        <v>1645</v>
      </c>
      <c r="D1030" s="37">
        <v>37697</v>
      </c>
      <c r="E1030" s="36" t="s">
        <v>2381</v>
      </c>
      <c r="F1030" s="36" t="s">
        <v>2595</v>
      </c>
      <c r="G1030" s="36" t="s">
        <v>55</v>
      </c>
      <c r="H1030" s="39" t="s">
        <v>2553</v>
      </c>
      <c r="I1030" s="36" t="s">
        <v>44</v>
      </c>
      <c r="J1030" s="36" t="str">
        <f t="shared" si="44"/>
        <v>School EducationNashik School Education EstablishmentCAssistant Project Officer (AE)S15 (41800 - 132300)</v>
      </c>
      <c r="K1030" s="36"/>
      <c r="L1030" s="36" t="s">
        <v>238</v>
      </c>
      <c r="M1030" s="65" t="s">
        <v>2460</v>
      </c>
      <c r="N1030" s="66" t="s">
        <v>2554</v>
      </c>
      <c r="O1030" s="27"/>
      <c r="P1030" s="26">
        <v>9</v>
      </c>
      <c r="Q1030" s="7" t="s">
        <v>34</v>
      </c>
      <c r="R1030" s="8"/>
      <c r="S1030" s="8"/>
      <c r="T1030" s="7" t="s">
        <v>35</v>
      </c>
      <c r="U1030" s="36"/>
      <c r="V1030" s="38"/>
      <c r="W1030" s="66"/>
      <c r="X1030" s="66"/>
      <c r="Y1030" s="66"/>
      <c r="Z1030" s="56"/>
      <c r="AA1030" s="42" t="e">
        <f>_xlfn.XLOOKUP(C1030,#REF!,#REF!,"",0,1)</f>
        <v>#REF!</v>
      </c>
      <c r="AB1030" s="43">
        <f t="shared" si="46"/>
        <v>0</v>
      </c>
    </row>
    <row r="1031" spans="1:28" ht="299.5" thickBot="1" x14ac:dyDescent="0.3">
      <c r="A1031" s="36">
        <v>1030</v>
      </c>
      <c r="B1031" s="36" t="s">
        <v>983</v>
      </c>
      <c r="C1031" s="36" t="s">
        <v>1645</v>
      </c>
      <c r="D1031" s="37">
        <v>37697</v>
      </c>
      <c r="E1031" s="36" t="s">
        <v>2381</v>
      </c>
      <c r="F1031" s="36" t="s">
        <v>2595</v>
      </c>
      <c r="G1031" s="36" t="s">
        <v>55</v>
      </c>
      <c r="H1031" s="36" t="s">
        <v>2459</v>
      </c>
      <c r="I1031" s="36" t="s">
        <v>44</v>
      </c>
      <c r="J1031" s="36" t="str">
        <f t="shared" si="44"/>
        <v>School EducationNashik School Education EstablishmentCAssistant Teacher, Government Teachers College / S. T. College, Mumbai / Government Vidyaniketane / Asst. Teacher, Govt. D.Ed. College/S.T. College, Mumbai/ Govt. Vidya NiketanS15 (41800 - 132300)</v>
      </c>
      <c r="K1031" s="36"/>
      <c r="L1031" s="36"/>
      <c r="M1031" s="38" t="s">
        <v>2601</v>
      </c>
      <c r="N1031" s="36" t="s">
        <v>986</v>
      </c>
      <c r="O1031" s="6" t="s">
        <v>33</v>
      </c>
      <c r="P1031" s="8"/>
      <c r="Q1031" s="7" t="s">
        <v>34</v>
      </c>
      <c r="R1031" s="8"/>
      <c r="S1031" s="8"/>
      <c r="T1031" s="4" t="s">
        <v>3276</v>
      </c>
      <c r="U1031" s="36" t="s">
        <v>34</v>
      </c>
      <c r="V1031" s="38"/>
      <c r="W1031" s="36"/>
      <c r="X1031" s="36"/>
      <c r="Y1031" s="36"/>
      <c r="Z1031" s="41"/>
      <c r="AA1031" s="42" t="e">
        <f>_xlfn.XLOOKUP(C1031,#REF!,#REF!,"",0,1)</f>
        <v>#REF!</v>
      </c>
      <c r="AB1031" s="43">
        <f t="shared" si="46"/>
        <v>0</v>
      </c>
    </row>
    <row r="1032" spans="1:28" ht="91.5" thickBot="1" x14ac:dyDescent="0.3">
      <c r="A1032" s="36">
        <v>1031</v>
      </c>
      <c r="B1032" s="36" t="s">
        <v>24</v>
      </c>
      <c r="C1032" s="36" t="s">
        <v>1645</v>
      </c>
      <c r="D1032" s="37">
        <v>37697</v>
      </c>
      <c r="E1032" s="36" t="s">
        <v>2381</v>
      </c>
      <c r="F1032" s="36" t="s">
        <v>2595</v>
      </c>
      <c r="G1032" s="36" t="s">
        <v>55</v>
      </c>
      <c r="H1032" s="36" t="s">
        <v>123</v>
      </c>
      <c r="I1032" s="36" t="s">
        <v>74</v>
      </c>
      <c r="J1032" s="36" t="str">
        <f t="shared" si="44"/>
        <v>School EducationNashik School Education EstablishmentCJunior ClerkS6 (19900 - 63200)</v>
      </c>
      <c r="K1032" s="36" t="s">
        <v>75</v>
      </c>
      <c r="L1032" s="36" t="s">
        <v>228</v>
      </c>
      <c r="M1032" s="38" t="s">
        <v>2602</v>
      </c>
      <c r="N1032" s="36" t="s">
        <v>70</v>
      </c>
      <c r="O1032" s="6" t="s">
        <v>33</v>
      </c>
      <c r="P1032" s="7">
        <v>2</v>
      </c>
      <c r="Q1032" s="7" t="s">
        <v>34</v>
      </c>
      <c r="R1032" s="8"/>
      <c r="S1032" s="8"/>
      <c r="T1032" s="7" t="s">
        <v>61</v>
      </c>
      <c r="U1032" s="36" t="s">
        <v>100</v>
      </c>
      <c r="V1032" s="38" t="s">
        <v>2468</v>
      </c>
      <c r="W1032" s="36"/>
      <c r="X1032" s="36" t="s">
        <v>2469</v>
      </c>
      <c r="Y1032" s="50">
        <v>25121</v>
      </c>
      <c r="Z1032" s="56"/>
      <c r="AA1032" s="42" t="e">
        <f>_xlfn.XLOOKUP(C1032,#REF!,#REF!,"",0,1)</f>
        <v>#REF!</v>
      </c>
      <c r="AB1032" s="43">
        <f t="shared" si="46"/>
        <v>0</v>
      </c>
    </row>
    <row r="1033" spans="1:28" ht="117.5" thickBot="1" x14ac:dyDescent="0.3">
      <c r="A1033" s="36">
        <v>1032</v>
      </c>
      <c r="B1033" s="36" t="s">
        <v>494</v>
      </c>
      <c r="C1033" s="36" t="s">
        <v>1645</v>
      </c>
      <c r="D1033" s="37">
        <v>37697</v>
      </c>
      <c r="E1033" s="36" t="s">
        <v>2381</v>
      </c>
      <c r="F1033" s="36" t="s">
        <v>2595</v>
      </c>
      <c r="G1033" s="36" t="s">
        <v>55</v>
      </c>
      <c r="H1033" s="36" t="s">
        <v>2470</v>
      </c>
      <c r="I1033" s="36" t="s">
        <v>169</v>
      </c>
      <c r="J1033" s="36" t="str">
        <f t="shared" si="44"/>
        <v>School EducationNashik School Education EstablishmentCMetron (G.E.) / Metron (G.E.)S7 (21700 - 69100)</v>
      </c>
      <c r="K1033" s="36" t="s">
        <v>197</v>
      </c>
      <c r="L1033" s="36" t="s">
        <v>228</v>
      </c>
      <c r="M1033" s="38" t="s">
        <v>2603</v>
      </c>
      <c r="N1033" s="36" t="s">
        <v>496</v>
      </c>
      <c r="O1033" s="6" t="s">
        <v>33</v>
      </c>
      <c r="P1033" s="8"/>
      <c r="Q1033" s="7" t="s">
        <v>34</v>
      </c>
      <c r="R1033" s="8"/>
      <c r="S1033" s="8"/>
      <c r="T1033" s="7" t="s">
        <v>35</v>
      </c>
      <c r="U1033" s="36" t="s">
        <v>34</v>
      </c>
      <c r="V1033" s="38" t="s">
        <v>2604</v>
      </c>
      <c r="W1033" s="36"/>
      <c r="X1033" s="36" t="s">
        <v>2605</v>
      </c>
      <c r="Y1033" s="36" t="s">
        <v>2606</v>
      </c>
      <c r="Z1033" s="41"/>
      <c r="AA1033" s="42" t="e">
        <f>_xlfn.XLOOKUP(C1033,#REF!,#REF!,"",0,1)</f>
        <v>#REF!</v>
      </c>
      <c r="AB1033" s="43">
        <f t="shared" si="46"/>
        <v>0</v>
      </c>
    </row>
    <row r="1034" spans="1:28" ht="91.5" thickBot="1" x14ac:dyDescent="0.3">
      <c r="A1034" s="36">
        <v>1033</v>
      </c>
      <c r="B1034" s="36" t="s">
        <v>24</v>
      </c>
      <c r="C1034" s="36" t="s">
        <v>1645</v>
      </c>
      <c r="D1034" s="37">
        <v>37697</v>
      </c>
      <c r="E1034" s="36" t="s">
        <v>2381</v>
      </c>
      <c r="F1034" s="36" t="s">
        <v>2595</v>
      </c>
      <c r="G1034" s="36" t="s">
        <v>55</v>
      </c>
      <c r="H1034" s="36" t="s">
        <v>87</v>
      </c>
      <c r="I1034" s="36" t="s">
        <v>80</v>
      </c>
      <c r="J1034" s="36" t="str">
        <f t="shared" si="44"/>
        <v>School EducationNashik School Education EstablishmentCSenior ClerkS8 (25500 - 81100)</v>
      </c>
      <c r="K1034" s="36" t="s">
        <v>75</v>
      </c>
      <c r="L1034" s="36" t="s">
        <v>228</v>
      </c>
      <c r="M1034" s="38" t="s">
        <v>2607</v>
      </c>
      <c r="N1034" s="36" t="s">
        <v>2427</v>
      </c>
      <c r="O1034" s="6" t="s">
        <v>33</v>
      </c>
      <c r="P1034" s="7">
        <v>2</v>
      </c>
      <c r="Q1034" s="7" t="s">
        <v>34</v>
      </c>
      <c r="R1034" s="8"/>
      <c r="S1034" s="8"/>
      <c r="T1034" s="7" t="s">
        <v>35</v>
      </c>
      <c r="U1034" s="36" t="s">
        <v>34</v>
      </c>
      <c r="V1034" s="38" t="s">
        <v>2472</v>
      </c>
      <c r="W1034" s="36"/>
      <c r="X1034" s="36" t="s">
        <v>2469</v>
      </c>
      <c r="Y1034" s="50">
        <v>25121</v>
      </c>
      <c r="Z1034" s="56"/>
      <c r="AA1034" s="42" t="e">
        <f>_xlfn.XLOOKUP(C1034,#REF!,#REF!,"",0,1)</f>
        <v>#REF!</v>
      </c>
      <c r="AB1034" s="43">
        <f t="shared" si="46"/>
        <v>0</v>
      </c>
    </row>
    <row r="1035" spans="1:28" ht="117.5" thickBot="1" x14ac:dyDescent="0.3">
      <c r="A1035" s="36">
        <v>1034</v>
      </c>
      <c r="B1035" s="36" t="s">
        <v>1521</v>
      </c>
      <c r="C1035" s="36" t="s">
        <v>1645</v>
      </c>
      <c r="D1035" s="37">
        <v>37697</v>
      </c>
      <c r="E1035" s="36" t="s">
        <v>2381</v>
      </c>
      <c r="F1035" s="36" t="s">
        <v>2595</v>
      </c>
      <c r="G1035" s="36" t="s">
        <v>55</v>
      </c>
      <c r="H1035" s="58" t="s">
        <v>2417</v>
      </c>
      <c r="I1035" s="36" t="s">
        <v>80</v>
      </c>
      <c r="J1035" s="36" t="str">
        <f t="shared" si="44"/>
        <v>School EducationNashik School Education EstablishmentCLibrarian (GE/MSCERT/SIET/DIET)S8 (25500 - 81100)</v>
      </c>
      <c r="K1035" s="36" t="s">
        <v>170</v>
      </c>
      <c r="L1035" s="36" t="s">
        <v>228</v>
      </c>
      <c r="M1035" s="38" t="s">
        <v>2608</v>
      </c>
      <c r="N1035" s="36" t="s">
        <v>172</v>
      </c>
      <c r="O1035" s="6" t="s">
        <v>33</v>
      </c>
      <c r="P1035" s="8"/>
      <c r="Q1035" s="7" t="s">
        <v>34</v>
      </c>
      <c r="R1035" s="8"/>
      <c r="S1035" s="8"/>
      <c r="T1035" s="7" t="s">
        <v>35</v>
      </c>
      <c r="U1035" s="36" t="s">
        <v>34</v>
      </c>
      <c r="V1035" s="38" t="s">
        <v>2419</v>
      </c>
      <c r="W1035" s="36"/>
      <c r="X1035" s="36" t="s">
        <v>815</v>
      </c>
      <c r="Y1035" s="50">
        <v>25121</v>
      </c>
      <c r="Z1035" s="41"/>
      <c r="AA1035" s="42" t="e">
        <f>_xlfn.XLOOKUP(C1035,#REF!,#REF!,"",0,1)</f>
        <v>#REF!</v>
      </c>
      <c r="AB1035" s="43">
        <f t="shared" si="46"/>
        <v>0</v>
      </c>
    </row>
    <row r="1036" spans="1:28" ht="260.5" thickBot="1" x14ac:dyDescent="0.3">
      <c r="A1036" s="36">
        <v>1035</v>
      </c>
      <c r="B1036" s="36" t="s">
        <v>24</v>
      </c>
      <c r="C1036" s="36" t="s">
        <v>1645</v>
      </c>
      <c r="D1036" s="37">
        <v>37697</v>
      </c>
      <c r="E1036" s="36" t="s">
        <v>2381</v>
      </c>
      <c r="F1036" s="36" t="s">
        <v>2595</v>
      </c>
      <c r="G1036" s="36" t="s">
        <v>55</v>
      </c>
      <c r="H1036" s="36" t="s">
        <v>2439</v>
      </c>
      <c r="I1036" s="36" t="s">
        <v>67</v>
      </c>
      <c r="J1036" s="36" t="str">
        <f t="shared" si="44"/>
        <v>School EducationNashik School Education EstablishmentCStenographer (Lower Grade), Sashi/Adult Education/M.R.Shai.Tech.No./ Marashai Samprap/Dist. Shi. Q. no. / Stenographer (Lower Grade), GE/AE/ MSIET/ MSCERT/ D.I.E.T.S14 (38600 - 122800)</v>
      </c>
      <c r="K1036" s="36" t="s">
        <v>68</v>
      </c>
      <c r="L1036" s="36" t="s">
        <v>231</v>
      </c>
      <c r="M1036" s="64" t="s">
        <v>2496</v>
      </c>
      <c r="N1036" s="36" t="s">
        <v>70</v>
      </c>
      <c r="O1036" s="6" t="s">
        <v>33</v>
      </c>
      <c r="P1036" s="8"/>
      <c r="Q1036" s="7" t="s">
        <v>34</v>
      </c>
      <c r="R1036" s="8"/>
      <c r="S1036" s="8"/>
      <c r="T1036" s="4" t="s">
        <v>3276</v>
      </c>
      <c r="U1036" s="36" t="s">
        <v>34</v>
      </c>
      <c r="V1036" s="38" t="s">
        <v>2490</v>
      </c>
      <c r="W1036" s="36"/>
      <c r="X1036" s="36"/>
      <c r="Y1036" s="36"/>
      <c r="Z1036" s="56"/>
      <c r="AA1036" s="42" t="e">
        <f>_xlfn.XLOOKUP(C1036,#REF!,#REF!,"",0,1)</f>
        <v>#REF!</v>
      </c>
      <c r="AB1036" s="43">
        <f t="shared" si="46"/>
        <v>0</v>
      </c>
    </row>
    <row r="1037" spans="1:28" ht="117.5" thickBot="1" x14ac:dyDescent="0.3">
      <c r="A1037" s="36">
        <v>1036</v>
      </c>
      <c r="B1037" s="36" t="s">
        <v>1521</v>
      </c>
      <c r="C1037" s="36" t="s">
        <v>1645</v>
      </c>
      <c r="D1037" s="37">
        <v>37697</v>
      </c>
      <c r="E1037" s="36" t="s">
        <v>2381</v>
      </c>
      <c r="F1037" s="36" t="s">
        <v>2609</v>
      </c>
      <c r="G1037" s="36" t="s">
        <v>55</v>
      </c>
      <c r="H1037" s="58" t="s">
        <v>2417</v>
      </c>
      <c r="I1037" s="36" t="s">
        <v>276</v>
      </c>
      <c r="J1037" s="36" t="str">
        <f t="shared" si="44"/>
        <v>School EducationPune School Education EstablishmentCLibrarian (GE/MSCERT/SIET/DIET)S10 (29200 - 92300)</v>
      </c>
      <c r="K1037" s="36" t="s">
        <v>170</v>
      </c>
      <c r="L1037" s="36" t="s">
        <v>228</v>
      </c>
      <c r="M1037" s="38" t="s">
        <v>2610</v>
      </c>
      <c r="N1037" s="36" t="s">
        <v>172</v>
      </c>
      <c r="O1037" s="6" t="s">
        <v>33</v>
      </c>
      <c r="P1037" s="8"/>
      <c r="Q1037" s="7" t="s">
        <v>34</v>
      </c>
      <c r="R1037" s="8"/>
      <c r="S1037" s="8"/>
      <c r="T1037" s="7" t="s">
        <v>35</v>
      </c>
      <c r="U1037" s="36" t="s">
        <v>34</v>
      </c>
      <c r="V1037" s="38" t="s">
        <v>2419</v>
      </c>
      <c r="W1037" s="36"/>
      <c r="X1037" s="36" t="s">
        <v>815</v>
      </c>
      <c r="Y1037" s="50">
        <v>25121</v>
      </c>
      <c r="Z1037" s="41"/>
      <c r="AA1037" s="42" t="e">
        <f>_xlfn.XLOOKUP(C1037,#REF!,#REF!,"",0,1)</f>
        <v>#REF!</v>
      </c>
      <c r="AB1037" s="43">
        <f t="shared" si="46"/>
        <v>0</v>
      </c>
    </row>
    <row r="1038" spans="1:28" ht="104.5" thickBot="1" x14ac:dyDescent="0.3">
      <c r="A1038" s="36">
        <v>1037</v>
      </c>
      <c r="B1038" s="36" t="s">
        <v>24</v>
      </c>
      <c r="C1038" s="36" t="s">
        <v>1645</v>
      </c>
      <c r="D1038" s="37">
        <v>37697</v>
      </c>
      <c r="E1038" s="36" t="s">
        <v>2381</v>
      </c>
      <c r="F1038" s="36" t="s">
        <v>2609</v>
      </c>
      <c r="G1038" s="36" t="s">
        <v>55</v>
      </c>
      <c r="H1038" s="39" t="s">
        <v>2611</v>
      </c>
      <c r="I1038" s="36" t="s">
        <v>57</v>
      </c>
      <c r="J1038" s="36" t="str">
        <f t="shared" si="44"/>
        <v>School EducationPune School Education EstablishmentCchief clerkS13 (35400 - 112400)</v>
      </c>
      <c r="K1038" s="36" t="s">
        <v>75</v>
      </c>
      <c r="L1038" s="36" t="s">
        <v>228</v>
      </c>
      <c r="M1038" s="65" t="s">
        <v>2477</v>
      </c>
      <c r="N1038" s="36" t="s">
        <v>2427</v>
      </c>
      <c r="O1038" s="27"/>
      <c r="P1038" s="26">
        <v>4</v>
      </c>
      <c r="Q1038" s="7" t="s">
        <v>34</v>
      </c>
      <c r="R1038" s="8"/>
      <c r="S1038" s="8"/>
      <c r="T1038" s="7" t="s">
        <v>35</v>
      </c>
      <c r="U1038" s="36"/>
      <c r="V1038" s="38" t="s">
        <v>2477</v>
      </c>
      <c r="W1038" s="66"/>
      <c r="X1038" s="66" t="s">
        <v>150</v>
      </c>
      <c r="Y1038" s="66" t="s">
        <v>150</v>
      </c>
      <c r="Z1038" s="56"/>
      <c r="AA1038" s="42" t="e">
        <f>_xlfn.XLOOKUP(C1038,#REF!,#REF!,"",0,1)</f>
        <v>#REF!</v>
      </c>
      <c r="AB1038" s="43">
        <f t="shared" si="46"/>
        <v>0</v>
      </c>
    </row>
    <row r="1039" spans="1:28" ht="143.5" thickBot="1" x14ac:dyDescent="0.3">
      <c r="A1039" s="36">
        <v>1038</v>
      </c>
      <c r="B1039" s="36" t="s">
        <v>494</v>
      </c>
      <c r="C1039" s="36" t="s">
        <v>1645</v>
      </c>
      <c r="D1039" s="37">
        <v>37697</v>
      </c>
      <c r="E1039" s="36" t="s">
        <v>2381</v>
      </c>
      <c r="F1039" s="36" t="s">
        <v>2609</v>
      </c>
      <c r="G1039" s="36" t="s">
        <v>55</v>
      </c>
      <c r="H1039" s="58" t="s">
        <v>2430</v>
      </c>
      <c r="I1039" s="36" t="s">
        <v>57</v>
      </c>
      <c r="J1039" s="36" t="str">
        <f t="shared" si="44"/>
        <v>School EducationPune School Education EstablishmentCTechnician (PE/GE/AE/ MSCERT/SIET/MSCE)S13 (35400 - 112400)</v>
      </c>
      <c r="K1039" s="36"/>
      <c r="L1039" s="36"/>
      <c r="M1039" s="65" t="s">
        <v>2431</v>
      </c>
      <c r="N1039" s="36" t="s">
        <v>165</v>
      </c>
      <c r="O1039" s="27"/>
      <c r="P1039" s="29"/>
      <c r="Q1039" s="8"/>
      <c r="R1039" s="8"/>
      <c r="S1039" s="8"/>
      <c r="T1039" s="4" t="s">
        <v>3276</v>
      </c>
      <c r="U1039" s="36"/>
      <c r="V1039" s="38" t="s">
        <v>2431</v>
      </c>
      <c r="W1039" s="66"/>
      <c r="X1039" s="66" t="s">
        <v>150</v>
      </c>
      <c r="Y1039" s="66" t="s">
        <v>150</v>
      </c>
      <c r="Z1039" s="41"/>
      <c r="AA1039" s="42" t="e">
        <f>_xlfn.XLOOKUP(C1039,#REF!,#REF!,"",0,1)</f>
        <v>#REF!</v>
      </c>
      <c r="AB1039" s="43">
        <f t="shared" si="46"/>
        <v>0</v>
      </c>
    </row>
    <row r="1040" spans="1:28" ht="117.5" thickBot="1" x14ac:dyDescent="0.3">
      <c r="A1040" s="44">
        <v>1039</v>
      </c>
      <c r="B1040" s="44" t="s">
        <v>24</v>
      </c>
      <c r="C1040" s="36" t="s">
        <v>1645</v>
      </c>
      <c r="D1040" s="37">
        <v>37697</v>
      </c>
      <c r="E1040" s="44" t="s">
        <v>2381</v>
      </c>
      <c r="F1040" s="44" t="s">
        <v>2609</v>
      </c>
      <c r="G1040" s="44" t="s">
        <v>55</v>
      </c>
      <c r="H1040" s="49" t="s">
        <v>56</v>
      </c>
      <c r="I1040" s="36" t="s">
        <v>67</v>
      </c>
      <c r="J1040" s="36" t="str">
        <f t="shared" si="44"/>
        <v>School EducationPune School Education EstablishmentCAssistant SuperintendentS14 (38600 - 122800)</v>
      </c>
      <c r="K1040" s="44"/>
      <c r="L1040" s="44" t="s">
        <v>261</v>
      </c>
      <c r="M1040" s="45" t="s">
        <v>2612</v>
      </c>
      <c r="N1040" s="44" t="s">
        <v>113</v>
      </c>
      <c r="O1040" s="11" t="s">
        <v>33</v>
      </c>
      <c r="P1040" s="13"/>
      <c r="Q1040" s="12" t="s">
        <v>34</v>
      </c>
      <c r="R1040" s="13"/>
      <c r="S1040" s="13"/>
      <c r="T1040" s="4" t="s">
        <v>3276</v>
      </c>
      <c r="U1040" s="44" t="s">
        <v>34</v>
      </c>
      <c r="V1040" s="45"/>
      <c r="W1040" s="44"/>
      <c r="X1040" s="44"/>
      <c r="Y1040" s="44"/>
      <c r="Z1040" s="56"/>
      <c r="AA1040" s="42" t="e">
        <f>_xlfn.XLOOKUP(C1040,#REF!,#REF!,"",0,1)</f>
        <v>#REF!</v>
      </c>
      <c r="AB1040" s="43">
        <f t="shared" si="46"/>
        <v>0</v>
      </c>
    </row>
    <row r="1041" spans="1:28" ht="273.5" thickBot="1" x14ac:dyDescent="0.3">
      <c r="A1041" s="36">
        <v>1040</v>
      </c>
      <c r="B1041" s="36" t="s">
        <v>24</v>
      </c>
      <c r="C1041" s="36" t="s">
        <v>1645</v>
      </c>
      <c r="D1041" s="37">
        <v>37697</v>
      </c>
      <c r="E1041" s="36" t="s">
        <v>2381</v>
      </c>
      <c r="F1041" s="36" t="s">
        <v>2609</v>
      </c>
      <c r="G1041" s="36" t="s">
        <v>55</v>
      </c>
      <c r="H1041" s="49" t="s">
        <v>2613</v>
      </c>
      <c r="I1041" s="36" t="s">
        <v>67</v>
      </c>
      <c r="J1041" s="36" t="str">
        <f t="shared" si="44"/>
        <v>School EducationPune School Education EstablishmentCStenographer (Lower Grade) (General Education / Maharashtra State Council of Educational Research and Training / Adult Education) / Stenographer(Higher Grade)(G.E./MSCERT/A.E.)S14 (38600 - 122800)</v>
      </c>
      <c r="K1041" s="36" t="s">
        <v>68</v>
      </c>
      <c r="L1041" s="36" t="s">
        <v>231</v>
      </c>
      <c r="M1041" s="38" t="s">
        <v>2614</v>
      </c>
      <c r="N1041" s="36" t="s">
        <v>70</v>
      </c>
      <c r="O1041" s="6" t="s">
        <v>33</v>
      </c>
      <c r="P1041" s="8"/>
      <c r="Q1041" s="7" t="s">
        <v>34</v>
      </c>
      <c r="R1041" s="8"/>
      <c r="S1041" s="8"/>
      <c r="T1041" s="4" t="s">
        <v>3276</v>
      </c>
      <c r="U1041" s="36" t="s">
        <v>34</v>
      </c>
      <c r="V1041" s="38" t="s">
        <v>2490</v>
      </c>
      <c r="W1041" s="36"/>
      <c r="X1041" s="36"/>
      <c r="Y1041" s="36"/>
      <c r="Z1041" s="56"/>
      <c r="AA1041" s="42" t="e">
        <f>_xlfn.XLOOKUP(C1041,#REF!,#REF!,"",0,1)</f>
        <v>#REF!</v>
      </c>
      <c r="AB1041" s="43">
        <f t="shared" si="46"/>
        <v>0</v>
      </c>
    </row>
    <row r="1042" spans="1:28" ht="130.5" thickBot="1" x14ac:dyDescent="0.3">
      <c r="A1042" s="44">
        <v>1041</v>
      </c>
      <c r="B1042" s="44" t="s">
        <v>24</v>
      </c>
      <c r="C1042" s="36" t="s">
        <v>1645</v>
      </c>
      <c r="D1042" s="37">
        <v>37697</v>
      </c>
      <c r="E1042" s="44" t="s">
        <v>2381</v>
      </c>
      <c r="F1042" s="44" t="s">
        <v>2609</v>
      </c>
      <c r="G1042" s="44" t="s">
        <v>55</v>
      </c>
      <c r="H1042" s="44" t="s">
        <v>2446</v>
      </c>
      <c r="I1042" s="44" t="s">
        <v>44</v>
      </c>
      <c r="J1042" s="44" t="str">
        <f t="shared" si="44"/>
        <v>School EducationPune School Education EstablishmentCScience Supervisor (GE/MSCERT)S15 (41800 - 132300)</v>
      </c>
      <c r="K1042" s="44"/>
      <c r="L1042" s="44" t="s">
        <v>261</v>
      </c>
      <c r="M1042" s="45" t="s">
        <v>2615</v>
      </c>
      <c r="N1042" s="44" t="s">
        <v>113</v>
      </c>
      <c r="O1042" s="11" t="s">
        <v>33</v>
      </c>
      <c r="P1042" s="13"/>
      <c r="Q1042" s="12" t="s">
        <v>34</v>
      </c>
      <c r="R1042" s="13"/>
      <c r="S1042" s="13"/>
      <c r="T1042" s="4" t="s">
        <v>3276</v>
      </c>
      <c r="U1042" s="44" t="s">
        <v>34</v>
      </c>
      <c r="V1042" s="45"/>
      <c r="W1042" s="44"/>
      <c r="X1042" s="44"/>
      <c r="Y1042" s="44"/>
      <c r="Z1042" s="56"/>
      <c r="AA1042" s="42" t="e">
        <f>_xlfn.XLOOKUP(C1042,#REF!,#REF!,"",0,1)</f>
        <v>#REF!</v>
      </c>
      <c r="AB1042" s="43">
        <f t="shared" si="46"/>
        <v>0</v>
      </c>
    </row>
    <row r="1043" spans="1:28" ht="143.5" thickBot="1" x14ac:dyDescent="0.3">
      <c r="A1043" s="36">
        <v>1042</v>
      </c>
      <c r="B1043" s="36" t="s">
        <v>24</v>
      </c>
      <c r="C1043" s="36" t="s">
        <v>1645</v>
      </c>
      <c r="D1043" s="37">
        <v>37697</v>
      </c>
      <c r="E1043" s="36" t="s">
        <v>2381</v>
      </c>
      <c r="F1043" s="36" t="s">
        <v>2609</v>
      </c>
      <c r="G1043" s="36" t="s">
        <v>55</v>
      </c>
      <c r="H1043" s="36" t="s">
        <v>2452</v>
      </c>
      <c r="I1043" s="36" t="s">
        <v>44</v>
      </c>
      <c r="J1043" s="36" t="str">
        <f t="shared" si="44"/>
        <v>School EducationPune School Education EstablishmentCAssistant Project Officer (AE) (Planning)S15 (41800 - 132300)</v>
      </c>
      <c r="K1043" s="36" t="s">
        <v>2453</v>
      </c>
      <c r="L1043" s="36" t="s">
        <v>225</v>
      </c>
      <c r="M1043" s="38" t="s">
        <v>2615</v>
      </c>
      <c r="N1043" s="36" t="s">
        <v>2454</v>
      </c>
      <c r="O1043" s="6" t="s">
        <v>33</v>
      </c>
      <c r="P1043" s="7">
        <v>9</v>
      </c>
      <c r="Q1043" s="7" t="s">
        <v>34</v>
      </c>
      <c r="R1043" s="8"/>
      <c r="S1043" s="8"/>
      <c r="T1043" s="7" t="s">
        <v>35</v>
      </c>
      <c r="U1043" s="36" t="s">
        <v>34</v>
      </c>
      <c r="V1043" s="38" t="s">
        <v>2455</v>
      </c>
      <c r="W1043" s="36"/>
      <c r="X1043" s="36" t="s">
        <v>2456</v>
      </c>
      <c r="Y1043" s="36" t="s">
        <v>2450</v>
      </c>
      <c r="Z1043" s="56"/>
      <c r="AA1043" s="42" t="e">
        <f>_xlfn.XLOOKUP(C1043,#REF!,#REF!,"",0,1)</f>
        <v>#REF!</v>
      </c>
      <c r="AB1043" s="43">
        <f t="shared" si="46"/>
        <v>0</v>
      </c>
    </row>
    <row r="1044" spans="1:28" ht="156.5" thickBot="1" x14ac:dyDescent="0.3">
      <c r="A1044" s="36">
        <v>1043</v>
      </c>
      <c r="B1044" s="36" t="s">
        <v>532</v>
      </c>
      <c r="C1044" s="36" t="s">
        <v>1645</v>
      </c>
      <c r="D1044" s="37">
        <v>37697</v>
      </c>
      <c r="E1044" s="36" t="s">
        <v>2381</v>
      </c>
      <c r="F1044" s="36" t="s">
        <v>2609</v>
      </c>
      <c r="G1044" s="36" t="s">
        <v>55</v>
      </c>
      <c r="H1044" s="36" t="s">
        <v>2442</v>
      </c>
      <c r="I1044" s="36" t="s">
        <v>44</v>
      </c>
      <c r="J1044" s="36" t="str">
        <f t="shared" si="44"/>
        <v>School EducationPune School Education EstablishmentCAssistant Deputy Education Inspector (GE/AE)S15 (41800 - 132300)</v>
      </c>
      <c r="K1044" s="36"/>
      <c r="L1044" s="36"/>
      <c r="M1044" s="38" t="s">
        <v>2616</v>
      </c>
      <c r="N1044" s="36"/>
      <c r="O1044" s="6" t="s">
        <v>33</v>
      </c>
      <c r="P1044" s="8"/>
      <c r="Q1044" s="7" t="s">
        <v>34</v>
      </c>
      <c r="R1044" s="8"/>
      <c r="S1044" s="8"/>
      <c r="T1044" s="4" t="s">
        <v>3276</v>
      </c>
      <c r="U1044" s="36" t="s">
        <v>34</v>
      </c>
      <c r="V1044" s="38"/>
      <c r="W1044" s="36"/>
      <c r="X1044" s="36"/>
      <c r="Y1044" s="36"/>
      <c r="Z1044" s="41"/>
      <c r="AA1044" s="42" t="e">
        <f>_xlfn.XLOOKUP(C1044,#REF!,#REF!,"",0,1)</f>
        <v>#REF!</v>
      </c>
      <c r="AB1044" s="43">
        <f t="shared" si="46"/>
        <v>0</v>
      </c>
    </row>
    <row r="1045" spans="1:28" ht="221.5" thickBot="1" x14ac:dyDescent="0.3">
      <c r="A1045" s="36">
        <v>1044</v>
      </c>
      <c r="B1045" s="36" t="s">
        <v>532</v>
      </c>
      <c r="C1045" s="36" t="s">
        <v>1645</v>
      </c>
      <c r="D1045" s="37">
        <v>37697</v>
      </c>
      <c r="E1045" s="36" t="s">
        <v>2381</v>
      </c>
      <c r="F1045" s="36" t="s">
        <v>2609</v>
      </c>
      <c r="G1045" s="36" t="s">
        <v>55</v>
      </c>
      <c r="H1045" s="36" t="s">
        <v>2444</v>
      </c>
      <c r="I1045" s="36" t="s">
        <v>44</v>
      </c>
      <c r="J1045" s="36" t="str">
        <f t="shared" si="44"/>
        <v>School EducationPune School Education EstablishmentCAdministration Officer (Municipal Board of Education), General Education / Admn. Officer (Municipal School Board), GES15 (41800 - 132300)</v>
      </c>
      <c r="K1045" s="36"/>
      <c r="L1045" s="36"/>
      <c r="M1045" s="38" t="s">
        <v>2617</v>
      </c>
      <c r="N1045" s="36"/>
      <c r="O1045" s="6" t="s">
        <v>33</v>
      </c>
      <c r="P1045" s="8"/>
      <c r="Q1045" s="7" t="s">
        <v>34</v>
      </c>
      <c r="R1045" s="8"/>
      <c r="S1045" s="8"/>
      <c r="T1045" s="4" t="s">
        <v>3276</v>
      </c>
      <c r="U1045" s="36" t="s">
        <v>34</v>
      </c>
      <c r="V1045" s="38"/>
      <c r="W1045" s="36"/>
      <c r="X1045" s="36"/>
      <c r="Y1045" s="36"/>
      <c r="Z1045" s="41"/>
      <c r="AA1045" s="42" t="e">
        <f>_xlfn.XLOOKUP(C1045,#REF!,#REF!,"",0,1)</f>
        <v>#REF!</v>
      </c>
      <c r="AB1045" s="43">
        <f t="shared" si="46"/>
        <v>0</v>
      </c>
    </row>
    <row r="1046" spans="1:28" ht="299.5" thickBot="1" x14ac:dyDescent="0.3">
      <c r="A1046" s="36">
        <v>1045</v>
      </c>
      <c r="B1046" s="36" t="s">
        <v>983</v>
      </c>
      <c r="C1046" s="36" t="s">
        <v>1645</v>
      </c>
      <c r="D1046" s="37">
        <v>37697</v>
      </c>
      <c r="E1046" s="36" t="s">
        <v>2381</v>
      </c>
      <c r="F1046" s="36" t="s">
        <v>2609</v>
      </c>
      <c r="G1046" s="36" t="s">
        <v>55</v>
      </c>
      <c r="H1046" s="36" t="s">
        <v>2459</v>
      </c>
      <c r="I1046" s="36" t="s">
        <v>44</v>
      </c>
      <c r="J1046" s="36" t="str">
        <f t="shared" si="44"/>
        <v>School EducationPune School Education EstablishmentCAssistant Teacher, Government Teachers College / S. T. College, Mumbai / Government Vidyaniketane / Asst. Teacher, Govt. D.Ed. College/S.T. College, Mumbai/ Govt. Vidya NiketanS15 (41800 - 132300)</v>
      </c>
      <c r="K1046" s="36"/>
      <c r="L1046" s="36"/>
      <c r="M1046" s="38" t="s">
        <v>2615</v>
      </c>
      <c r="N1046" s="36" t="s">
        <v>986</v>
      </c>
      <c r="O1046" s="6" t="s">
        <v>33</v>
      </c>
      <c r="P1046" s="8"/>
      <c r="Q1046" s="7" t="s">
        <v>34</v>
      </c>
      <c r="R1046" s="8"/>
      <c r="S1046" s="8"/>
      <c r="T1046" s="4" t="s">
        <v>3276</v>
      </c>
      <c r="U1046" s="36" t="s">
        <v>34</v>
      </c>
      <c r="V1046" s="38"/>
      <c r="W1046" s="36"/>
      <c r="X1046" s="36"/>
      <c r="Y1046" s="36"/>
      <c r="Z1046" s="41"/>
      <c r="AA1046" s="42" t="e">
        <f>_xlfn.XLOOKUP(C1046,#REF!,#REF!,"",0,1)</f>
        <v>#REF!</v>
      </c>
      <c r="AB1046" s="43">
        <f t="shared" si="46"/>
        <v>0</v>
      </c>
    </row>
    <row r="1047" spans="1:28" ht="130.5" thickBot="1" x14ac:dyDescent="0.3">
      <c r="A1047" s="44">
        <v>1046</v>
      </c>
      <c r="B1047" s="44" t="s">
        <v>24</v>
      </c>
      <c r="C1047" s="36" t="s">
        <v>1645</v>
      </c>
      <c r="D1047" s="37">
        <v>37697</v>
      </c>
      <c r="E1047" s="44" t="s">
        <v>2381</v>
      </c>
      <c r="F1047" s="44" t="s">
        <v>2609</v>
      </c>
      <c r="G1047" s="44" t="s">
        <v>55</v>
      </c>
      <c r="H1047" s="67" t="s">
        <v>2520</v>
      </c>
      <c r="I1047" s="44" t="s">
        <v>44</v>
      </c>
      <c r="J1047" s="44" t="str">
        <f t="shared" si="44"/>
        <v>School EducationPune School Education EstablishmentCProgram Assistant (Prof. Shi.)S15 (41800 - 132300)</v>
      </c>
      <c r="K1047" s="44"/>
      <c r="L1047" s="44" t="s">
        <v>261</v>
      </c>
      <c r="M1047" s="68" t="s">
        <v>2460</v>
      </c>
      <c r="N1047" s="44" t="s">
        <v>113</v>
      </c>
      <c r="O1047" s="28"/>
      <c r="P1047" s="13"/>
      <c r="Q1047" s="13"/>
      <c r="R1047" s="13"/>
      <c r="S1047" s="13"/>
      <c r="T1047" s="4" t="s">
        <v>3276</v>
      </c>
      <c r="U1047" s="44"/>
      <c r="V1047" s="45"/>
      <c r="W1047" s="44"/>
      <c r="X1047" s="44"/>
      <c r="Y1047" s="44"/>
      <c r="Z1047" s="56"/>
      <c r="AA1047" s="42" t="e">
        <f>_xlfn.XLOOKUP(C1047,#REF!,#REF!,"",0,1)</f>
        <v>#REF!</v>
      </c>
      <c r="AB1047" s="43">
        <f t="shared" si="46"/>
        <v>0</v>
      </c>
    </row>
    <row r="1048" spans="1:28" ht="91.5" thickBot="1" x14ac:dyDescent="0.3">
      <c r="A1048" s="36">
        <v>1047</v>
      </c>
      <c r="B1048" s="36" t="s">
        <v>24</v>
      </c>
      <c r="C1048" s="36" t="s">
        <v>1645</v>
      </c>
      <c r="D1048" s="37">
        <v>37697</v>
      </c>
      <c r="E1048" s="36" t="s">
        <v>2381</v>
      </c>
      <c r="F1048" s="36" t="s">
        <v>2609</v>
      </c>
      <c r="G1048" s="36" t="s">
        <v>55</v>
      </c>
      <c r="H1048" s="36" t="s">
        <v>123</v>
      </c>
      <c r="I1048" s="36" t="s">
        <v>74</v>
      </c>
      <c r="J1048" s="36" t="str">
        <f t="shared" si="44"/>
        <v>School EducationPune School Education EstablishmentCJunior ClerkS6 (19900 - 63200)</v>
      </c>
      <c r="K1048" s="36" t="s">
        <v>75</v>
      </c>
      <c r="L1048" s="36" t="s">
        <v>228</v>
      </c>
      <c r="M1048" s="38" t="s">
        <v>2618</v>
      </c>
      <c r="N1048" s="36" t="s">
        <v>70</v>
      </c>
      <c r="O1048" s="6" t="s">
        <v>33</v>
      </c>
      <c r="P1048" s="7">
        <v>4</v>
      </c>
      <c r="Q1048" s="7" t="s">
        <v>34</v>
      </c>
      <c r="R1048" s="8"/>
      <c r="S1048" s="8"/>
      <c r="T1048" s="7" t="s">
        <v>61</v>
      </c>
      <c r="U1048" s="36" t="s">
        <v>100</v>
      </c>
      <c r="V1048" s="38" t="s">
        <v>2468</v>
      </c>
      <c r="W1048" s="36"/>
      <c r="X1048" s="36" t="s">
        <v>2469</v>
      </c>
      <c r="Y1048" s="50">
        <v>25121</v>
      </c>
      <c r="Z1048" s="56"/>
      <c r="AA1048" s="42" t="e">
        <f>_xlfn.XLOOKUP(C1048,#REF!,#REF!,"",0,1)</f>
        <v>#REF!</v>
      </c>
      <c r="AB1048" s="43">
        <f t="shared" si="46"/>
        <v>0</v>
      </c>
    </row>
    <row r="1049" spans="1:28" ht="91.5" thickBot="1" x14ac:dyDescent="0.3">
      <c r="A1049" s="36">
        <v>1048</v>
      </c>
      <c r="B1049" s="36" t="s">
        <v>24</v>
      </c>
      <c r="C1049" s="36" t="s">
        <v>1645</v>
      </c>
      <c r="D1049" s="37">
        <v>37697</v>
      </c>
      <c r="E1049" s="36" t="s">
        <v>2381</v>
      </c>
      <c r="F1049" s="36" t="s">
        <v>2609</v>
      </c>
      <c r="G1049" s="36" t="s">
        <v>55</v>
      </c>
      <c r="H1049" s="36" t="s">
        <v>87</v>
      </c>
      <c r="I1049" s="36" t="s">
        <v>80</v>
      </c>
      <c r="J1049" s="36" t="str">
        <f t="shared" si="44"/>
        <v>School EducationPune School Education EstablishmentCSenior ClerkS8 (25500 - 81100)</v>
      </c>
      <c r="K1049" s="36" t="s">
        <v>75</v>
      </c>
      <c r="L1049" s="36" t="s">
        <v>228</v>
      </c>
      <c r="M1049" s="38" t="s">
        <v>2619</v>
      </c>
      <c r="N1049" s="36" t="s">
        <v>2427</v>
      </c>
      <c r="O1049" s="6" t="s">
        <v>33</v>
      </c>
      <c r="P1049" s="7">
        <v>16</v>
      </c>
      <c r="Q1049" s="7" t="s">
        <v>34</v>
      </c>
      <c r="R1049" s="8"/>
      <c r="S1049" s="8"/>
      <c r="T1049" s="7" t="s">
        <v>35</v>
      </c>
      <c r="U1049" s="36" t="s">
        <v>34</v>
      </c>
      <c r="V1049" s="38" t="s">
        <v>2472</v>
      </c>
      <c r="W1049" s="36"/>
      <c r="X1049" s="36" t="s">
        <v>2469</v>
      </c>
      <c r="Y1049" s="50">
        <v>25121</v>
      </c>
      <c r="Z1049" s="56"/>
      <c r="AA1049" s="42" t="e">
        <f>_xlfn.XLOOKUP(C1049,#REF!,#REF!,"",0,1)</f>
        <v>#REF!</v>
      </c>
      <c r="AB1049" s="43">
        <f t="shared" si="46"/>
        <v>0</v>
      </c>
    </row>
    <row r="1050" spans="1:28" ht="156.5" thickBot="1" x14ac:dyDescent="0.3">
      <c r="A1050" s="36">
        <v>1049</v>
      </c>
      <c r="B1050" s="36" t="s">
        <v>24</v>
      </c>
      <c r="C1050" s="36" t="s">
        <v>263</v>
      </c>
      <c r="D1050" s="37">
        <v>44660</v>
      </c>
      <c r="E1050" s="36" t="s">
        <v>2620</v>
      </c>
      <c r="F1050" s="36" t="s">
        <v>2621</v>
      </c>
      <c r="G1050" s="36" t="s">
        <v>28</v>
      </c>
      <c r="H1050" s="36" t="s">
        <v>992</v>
      </c>
      <c r="I1050" s="36" t="s">
        <v>30</v>
      </c>
      <c r="J1050" s="36" t="str">
        <f t="shared" si="44"/>
        <v>Skill, Employment, Entrepreneurship and InnovationSkill Commissionerate EstablishmentAAssistant CommissionerS18 (49100 - 155800)</v>
      </c>
      <c r="K1050" s="36" t="s">
        <v>45</v>
      </c>
      <c r="L1050" s="36" t="s">
        <v>247</v>
      </c>
      <c r="M1050" s="38" t="s">
        <v>2622</v>
      </c>
      <c r="N1050" s="36" t="s">
        <v>47</v>
      </c>
      <c r="O1050" s="6" t="s">
        <v>33</v>
      </c>
      <c r="P1050" s="7">
        <v>3</v>
      </c>
      <c r="Q1050" s="7" t="s">
        <v>100</v>
      </c>
      <c r="R1050" s="7">
        <v>3</v>
      </c>
      <c r="S1050" s="7" t="s">
        <v>2623</v>
      </c>
      <c r="T1050" s="7" t="s">
        <v>61</v>
      </c>
      <c r="U1050" s="36" t="s">
        <v>100</v>
      </c>
      <c r="V1050" s="38"/>
      <c r="W1050" s="36"/>
      <c r="X1050" s="36"/>
      <c r="Y1050" s="36"/>
      <c r="Z1050" s="41"/>
      <c r="AA1050" s="42" t="e">
        <f>_xlfn.XLOOKUP(C1050,#REF!,#REF!,"",0,1)</f>
        <v>#REF!</v>
      </c>
      <c r="AB1050" s="43">
        <f t="shared" si="46"/>
        <v>0</v>
      </c>
    </row>
    <row r="1051" spans="1:28" ht="208.5" thickBot="1" x14ac:dyDescent="0.3">
      <c r="A1051" s="36">
        <v>1050</v>
      </c>
      <c r="B1051" s="36" t="s">
        <v>24</v>
      </c>
      <c r="C1051" s="36" t="s">
        <v>263</v>
      </c>
      <c r="D1051" s="37">
        <v>44660</v>
      </c>
      <c r="E1051" s="36" t="s">
        <v>2620</v>
      </c>
      <c r="F1051" s="36" t="s">
        <v>2621</v>
      </c>
      <c r="G1051" s="36" t="s">
        <v>42</v>
      </c>
      <c r="H1051" s="36" t="s">
        <v>2624</v>
      </c>
      <c r="I1051" s="36" t="s">
        <v>44</v>
      </c>
      <c r="J1051" s="36" t="str">
        <f t="shared" si="44"/>
        <v>Skill, Employment, Entrepreneurship and InnovationSkill Commissionerate EstablishmentB (Gazetted)Skill Development, Employment &amp; Entrepreneurship Guidance OfficerS15 (41800 - 132300)</v>
      </c>
      <c r="K1051" s="36" t="s">
        <v>45</v>
      </c>
      <c r="L1051" s="36" t="s">
        <v>247</v>
      </c>
      <c r="M1051" s="38" t="s">
        <v>2625</v>
      </c>
      <c r="N1051" s="36" t="s">
        <v>47</v>
      </c>
      <c r="O1051" s="6" t="s">
        <v>33</v>
      </c>
      <c r="P1051" s="7">
        <v>21</v>
      </c>
      <c r="Q1051" s="7" t="s">
        <v>100</v>
      </c>
      <c r="R1051" s="7">
        <v>9</v>
      </c>
      <c r="S1051" s="7" t="s">
        <v>3261</v>
      </c>
      <c r="T1051" s="7" t="s">
        <v>61</v>
      </c>
      <c r="U1051" s="36" t="s">
        <v>1002</v>
      </c>
      <c r="V1051" s="38"/>
      <c r="W1051" s="36"/>
      <c r="X1051" s="36"/>
      <c r="Y1051" s="36"/>
      <c r="Z1051" s="41"/>
      <c r="AA1051" s="42" t="e">
        <f>_xlfn.XLOOKUP(C1051,#REF!,#REF!,"",0,1)</f>
        <v>#REF!</v>
      </c>
      <c r="AB1051" s="43">
        <f t="shared" si="46"/>
        <v>0</v>
      </c>
    </row>
    <row r="1052" spans="1:28" ht="208.5" thickBot="1" x14ac:dyDescent="0.3">
      <c r="A1052" s="36">
        <v>1051</v>
      </c>
      <c r="B1052" s="36" t="s">
        <v>24</v>
      </c>
      <c r="C1052" s="36" t="s">
        <v>263</v>
      </c>
      <c r="D1052" s="37">
        <v>44660</v>
      </c>
      <c r="E1052" s="36" t="s">
        <v>2620</v>
      </c>
      <c r="F1052" s="36" t="s">
        <v>2621</v>
      </c>
      <c r="G1052" s="36" t="s">
        <v>55</v>
      </c>
      <c r="H1052" s="36" t="s">
        <v>2626</v>
      </c>
      <c r="I1052" s="36" t="s">
        <v>57</v>
      </c>
      <c r="J1052" s="36" t="str">
        <f t="shared" si="44"/>
        <v>Skill, Employment, Entrepreneurship and InnovationSkill Commissionerate EstablishmentCJunior Skill Development, Employment &amp; Entrepreneurship Guidance OfficerS13 (35400 - 112400)</v>
      </c>
      <c r="K1052" s="36" t="s">
        <v>197</v>
      </c>
      <c r="L1052" s="36" t="s">
        <v>228</v>
      </c>
      <c r="M1052" s="38" t="s">
        <v>2627</v>
      </c>
      <c r="N1052" s="36" t="s">
        <v>199</v>
      </c>
      <c r="O1052" s="6" t="s">
        <v>33</v>
      </c>
      <c r="P1052" s="7">
        <v>32</v>
      </c>
      <c r="Q1052" s="7" t="s">
        <v>100</v>
      </c>
      <c r="R1052" s="8"/>
      <c r="S1052" s="8"/>
      <c r="T1052" s="7" t="s">
        <v>61</v>
      </c>
      <c r="U1052" s="36" t="s">
        <v>100</v>
      </c>
      <c r="V1052" s="38" t="s">
        <v>2628</v>
      </c>
      <c r="W1052" s="36"/>
      <c r="X1052" s="36" t="s">
        <v>2629</v>
      </c>
      <c r="Y1052" s="36" t="s">
        <v>2305</v>
      </c>
      <c r="Z1052" s="41"/>
      <c r="AA1052" s="42" t="e">
        <f>_xlfn.XLOOKUP(C1052,#REF!,#REF!,"",0,1)</f>
        <v>#REF!</v>
      </c>
      <c r="AB1052" s="43">
        <f t="shared" si="46"/>
        <v>0</v>
      </c>
    </row>
    <row r="1053" spans="1:28" ht="143.5" thickBot="1" x14ac:dyDescent="0.3">
      <c r="A1053" s="36">
        <v>1052</v>
      </c>
      <c r="B1053" s="36" t="s">
        <v>24</v>
      </c>
      <c r="C1053" s="36" t="s">
        <v>263</v>
      </c>
      <c r="D1053" s="37">
        <v>44660</v>
      </c>
      <c r="E1053" s="36" t="s">
        <v>2620</v>
      </c>
      <c r="F1053" s="36" t="s">
        <v>2621</v>
      </c>
      <c r="G1053" s="36" t="s">
        <v>55</v>
      </c>
      <c r="H1053" s="36" t="s">
        <v>2630</v>
      </c>
      <c r="I1053" s="36" t="s">
        <v>74</v>
      </c>
      <c r="J1053" s="36" t="str">
        <f t="shared" si="44"/>
        <v>Skill, Employment, Entrepreneurship and InnovationSkill Commissionerate EstablishmentCClerk Typist - 1S6 (19900 - 63200)</v>
      </c>
      <c r="K1053" s="36" t="s">
        <v>75</v>
      </c>
      <c r="L1053" s="36" t="s">
        <v>228</v>
      </c>
      <c r="M1053" s="38" t="s">
        <v>2631</v>
      </c>
      <c r="N1053" s="36" t="s">
        <v>70</v>
      </c>
      <c r="O1053" s="6" t="s">
        <v>33</v>
      </c>
      <c r="P1053" s="7">
        <v>116</v>
      </c>
      <c r="Q1053" s="7" t="s">
        <v>100</v>
      </c>
      <c r="R1053" s="8"/>
      <c r="S1053" s="7" t="s">
        <v>167</v>
      </c>
      <c r="T1053" s="7" t="s">
        <v>61</v>
      </c>
      <c r="U1053" s="36" t="s">
        <v>1002</v>
      </c>
      <c r="V1053" s="38" t="s">
        <v>125</v>
      </c>
      <c r="W1053" s="36"/>
      <c r="X1053" s="36" t="s">
        <v>77</v>
      </c>
      <c r="Y1053" s="36" t="s">
        <v>78</v>
      </c>
      <c r="Z1053" s="41"/>
      <c r="AA1053" s="42" t="e">
        <f>_xlfn.XLOOKUP(C1053,#REF!,#REF!,"",0,1)</f>
        <v>#REF!</v>
      </c>
      <c r="AB1053" s="43">
        <f t="shared" si="46"/>
        <v>0</v>
      </c>
    </row>
    <row r="1054" spans="1:28" ht="130.5" thickBot="1" x14ac:dyDescent="0.3">
      <c r="A1054" s="36">
        <v>1053</v>
      </c>
      <c r="B1054" s="36" t="s">
        <v>24</v>
      </c>
      <c r="C1054" s="36" t="s">
        <v>263</v>
      </c>
      <c r="D1054" s="37">
        <v>44660</v>
      </c>
      <c r="E1054" s="36" t="s">
        <v>2620</v>
      </c>
      <c r="F1054" s="36" t="s">
        <v>2621</v>
      </c>
      <c r="G1054" s="36" t="s">
        <v>55</v>
      </c>
      <c r="H1054" s="49" t="s">
        <v>87</v>
      </c>
      <c r="I1054" s="36" t="s">
        <v>80</v>
      </c>
      <c r="J1054" s="36" t="str">
        <f t="shared" si="44"/>
        <v>Skill, Employment, Entrepreneurship and InnovationSkill Commissionerate EstablishmentCSenior ClerkS8 (25500 - 81100)</v>
      </c>
      <c r="K1054" s="36" t="s">
        <v>197</v>
      </c>
      <c r="L1054" s="36" t="s">
        <v>228</v>
      </c>
      <c r="M1054" s="38" t="s">
        <v>2632</v>
      </c>
      <c r="N1054" s="36" t="s">
        <v>2427</v>
      </c>
      <c r="O1054" s="6" t="s">
        <v>33</v>
      </c>
      <c r="P1054" s="7">
        <v>40</v>
      </c>
      <c r="Q1054" s="7" t="s">
        <v>100</v>
      </c>
      <c r="R1054" s="8"/>
      <c r="S1054" s="8"/>
      <c r="T1054" s="7" t="s">
        <v>61</v>
      </c>
      <c r="U1054" s="36" t="s">
        <v>100</v>
      </c>
      <c r="V1054" s="38"/>
      <c r="W1054" s="36"/>
      <c r="X1054" s="36"/>
      <c r="Y1054" s="36"/>
      <c r="Z1054" s="41"/>
      <c r="AA1054" s="42" t="e">
        <f>_xlfn.XLOOKUP(C1054,#REF!,#REF!,"",0,1)</f>
        <v>#REF!</v>
      </c>
      <c r="AB1054" s="43">
        <f t="shared" si="46"/>
        <v>0</v>
      </c>
    </row>
    <row r="1055" spans="1:28" ht="130.5" thickBot="1" x14ac:dyDescent="0.3">
      <c r="A1055" s="36">
        <v>1054</v>
      </c>
      <c r="B1055" s="36" t="s">
        <v>24</v>
      </c>
      <c r="C1055" s="36" t="s">
        <v>263</v>
      </c>
      <c r="D1055" s="37">
        <v>44660</v>
      </c>
      <c r="E1055" s="36" t="s">
        <v>2620</v>
      </c>
      <c r="F1055" s="36" t="s">
        <v>2621</v>
      </c>
      <c r="G1055" s="36" t="s">
        <v>55</v>
      </c>
      <c r="H1055" s="36" t="s">
        <v>92</v>
      </c>
      <c r="I1055" s="36" t="s">
        <v>80</v>
      </c>
      <c r="J1055" s="36" t="str">
        <f t="shared" si="44"/>
        <v>Skill, Employment, Entrepreneurship and InnovationSkill Commissionerate EstablishmentCSteno TypistS8 (25500 - 81100)</v>
      </c>
      <c r="K1055" s="36" t="s">
        <v>68</v>
      </c>
      <c r="L1055" s="36" t="s">
        <v>231</v>
      </c>
      <c r="M1055" s="38" t="s">
        <v>2633</v>
      </c>
      <c r="N1055" s="36" t="s">
        <v>70</v>
      </c>
      <c r="O1055" s="6" t="s">
        <v>33</v>
      </c>
      <c r="P1055" s="7">
        <v>3</v>
      </c>
      <c r="Q1055" s="7" t="s">
        <v>100</v>
      </c>
      <c r="R1055" s="8"/>
      <c r="S1055" s="8"/>
      <c r="T1055" s="4" t="s">
        <v>3276</v>
      </c>
      <c r="U1055" s="36" t="s">
        <v>100</v>
      </c>
      <c r="V1055" s="38"/>
      <c r="W1055" s="36"/>
      <c r="X1055" s="36"/>
      <c r="Y1055" s="36"/>
      <c r="Z1055" s="41"/>
      <c r="AA1055" s="42" t="e">
        <f>_xlfn.XLOOKUP(C1055,#REF!,#REF!,"",0,1)</f>
        <v>#REF!</v>
      </c>
      <c r="AB1055" s="43">
        <f t="shared" si="46"/>
        <v>0</v>
      </c>
    </row>
    <row r="1056" spans="1:28" ht="195.5" thickBot="1" x14ac:dyDescent="0.3">
      <c r="A1056" s="36">
        <v>1055</v>
      </c>
      <c r="B1056" s="36" t="s">
        <v>24</v>
      </c>
      <c r="C1056" s="36" t="s">
        <v>263</v>
      </c>
      <c r="D1056" s="37">
        <v>44658</v>
      </c>
      <c r="E1056" s="36" t="s">
        <v>2620</v>
      </c>
      <c r="F1056" s="36" t="s">
        <v>2634</v>
      </c>
      <c r="G1056" s="36" t="s">
        <v>28</v>
      </c>
      <c r="H1056" s="36" t="s">
        <v>2635</v>
      </c>
      <c r="I1056" s="36" t="s">
        <v>38</v>
      </c>
      <c r="J1056" s="36" t="str">
        <f t="shared" si="44"/>
        <v>Skill, Employment, Entrepreneurship and InnovationVocational Education EstablishmentAPrincipal/ 
  Vice Principal/ Inspector/
  Controller of ExaminationsS20 (56100 - 177500)</v>
      </c>
      <c r="K1056" s="36" t="s">
        <v>246</v>
      </c>
      <c r="L1056" s="36" t="s">
        <v>247</v>
      </c>
      <c r="M1056" s="38" t="s">
        <v>2636</v>
      </c>
      <c r="N1056" s="36" t="s">
        <v>60</v>
      </c>
      <c r="O1056" s="6" t="s">
        <v>33</v>
      </c>
      <c r="P1056" s="7">
        <v>18</v>
      </c>
      <c r="Q1056" s="7" t="s">
        <v>34</v>
      </c>
      <c r="R1056" s="8"/>
      <c r="S1056" s="8"/>
      <c r="T1056" s="7" t="s">
        <v>35</v>
      </c>
      <c r="U1056" s="36" t="s">
        <v>100</v>
      </c>
      <c r="V1056" s="38"/>
      <c r="W1056" s="36"/>
      <c r="X1056" s="36"/>
      <c r="Y1056" s="36"/>
      <c r="Z1056" s="41"/>
      <c r="AA1056" s="42" t="e">
        <f>_xlfn.XLOOKUP(C1056,#REF!,#REF!,"",0,1)</f>
        <v>#REF!</v>
      </c>
      <c r="AB1056" s="43">
        <f t="shared" si="46"/>
        <v>0</v>
      </c>
    </row>
    <row r="1057" spans="1:28" ht="195.5" thickBot="1" x14ac:dyDescent="0.3">
      <c r="A1057" s="36">
        <v>1056</v>
      </c>
      <c r="B1057" s="36" t="s">
        <v>24</v>
      </c>
      <c r="C1057" s="36" t="s">
        <v>263</v>
      </c>
      <c r="D1057" s="37">
        <v>44658</v>
      </c>
      <c r="E1057" s="36" t="s">
        <v>2620</v>
      </c>
      <c r="F1057" s="36" t="s">
        <v>2634</v>
      </c>
      <c r="G1057" s="36" t="s">
        <v>28</v>
      </c>
      <c r="H1057" s="36" t="s">
        <v>2637</v>
      </c>
      <c r="I1057" s="36" t="s">
        <v>900</v>
      </c>
      <c r="J1057" s="36" t="str">
        <f t="shared" si="44"/>
        <v>Skill, Employment, Entrepreneurship and InnovationVocational Education EstablishmentADeputy Director of Vocational Education and TrainingS24 (71100 - 211900)</v>
      </c>
      <c r="K1057" s="36" t="s">
        <v>246</v>
      </c>
      <c r="L1057" s="36" t="s">
        <v>247</v>
      </c>
      <c r="M1057" s="38" t="s">
        <v>2638</v>
      </c>
      <c r="N1057" s="36" t="s">
        <v>60</v>
      </c>
      <c r="O1057" s="6" t="s">
        <v>33</v>
      </c>
      <c r="P1057" s="7">
        <v>0</v>
      </c>
      <c r="Q1057" s="7" t="s">
        <v>34</v>
      </c>
      <c r="R1057" s="8"/>
      <c r="S1057" s="8"/>
      <c r="T1057" s="7" t="s">
        <v>2395</v>
      </c>
      <c r="U1057" s="36" t="s">
        <v>2639</v>
      </c>
      <c r="V1057" s="38"/>
      <c r="W1057" s="36"/>
      <c r="X1057" s="36"/>
      <c r="Y1057" s="36"/>
      <c r="Z1057" s="41"/>
      <c r="AA1057" s="42" t="e">
        <f>_xlfn.XLOOKUP(C1057,#REF!,#REF!,"",0,1)</f>
        <v>#REF!</v>
      </c>
      <c r="AB1057" s="43">
        <f t="shared" si="46"/>
        <v>0</v>
      </c>
    </row>
    <row r="1058" spans="1:28" ht="325.5" thickBot="1" x14ac:dyDescent="0.3">
      <c r="A1058" s="36">
        <v>1057</v>
      </c>
      <c r="B1058" s="36" t="s">
        <v>24</v>
      </c>
      <c r="C1058" s="36" t="s">
        <v>263</v>
      </c>
      <c r="D1058" s="37">
        <v>44658</v>
      </c>
      <c r="E1058" s="36" t="s">
        <v>2620</v>
      </c>
      <c r="F1058" s="36" t="s">
        <v>2634</v>
      </c>
      <c r="G1058" s="36" t="s">
        <v>28</v>
      </c>
      <c r="H1058" s="36" t="s">
        <v>2640</v>
      </c>
      <c r="I1058" s="36" t="s">
        <v>513</v>
      </c>
      <c r="J1058" s="36" t="str">
        <f t="shared" si="44"/>
        <v>Skill, Employment, Entrepreneurship and InnovationVocational Education EstablishmentAJoint Director of Training-Cum-Apprenticeship Advisior/ Joint Director, Vocational Education &amp; Training/ Director, Maharashtra State Skill Vocational Education and Training BoardS25 (78800 - 209200)</v>
      </c>
      <c r="K1058" s="36"/>
      <c r="L1058" s="36" t="s">
        <v>243</v>
      </c>
      <c r="M1058" s="38" t="s">
        <v>2641</v>
      </c>
      <c r="N1058" s="40" t="s">
        <v>32</v>
      </c>
      <c r="O1058" s="6" t="s">
        <v>83</v>
      </c>
      <c r="P1058" s="8"/>
      <c r="Q1058" s="7" t="s">
        <v>34</v>
      </c>
      <c r="R1058" s="8"/>
      <c r="S1058" s="8"/>
      <c r="T1058" s="4" t="s">
        <v>3276</v>
      </c>
      <c r="U1058" s="36" t="s">
        <v>100</v>
      </c>
      <c r="V1058" s="38"/>
      <c r="W1058" s="36"/>
      <c r="X1058" s="36"/>
      <c r="Y1058" s="36"/>
      <c r="Z1058" s="41"/>
      <c r="AA1058" s="42" t="e">
        <f>_xlfn.XLOOKUP(C1058,#REF!,#REF!,"",0,1)</f>
        <v>#REF!</v>
      </c>
      <c r="AB1058" s="43">
        <f t="shared" si="46"/>
        <v>0</v>
      </c>
    </row>
    <row r="1059" spans="1:28" ht="182.5" thickBot="1" x14ac:dyDescent="0.3">
      <c r="A1059" s="36">
        <v>1058</v>
      </c>
      <c r="B1059" s="36" t="s">
        <v>24</v>
      </c>
      <c r="C1059" s="36" t="s">
        <v>263</v>
      </c>
      <c r="D1059" s="37">
        <v>44658</v>
      </c>
      <c r="E1059" s="36" t="s">
        <v>2620</v>
      </c>
      <c r="F1059" s="36" t="s">
        <v>2634</v>
      </c>
      <c r="G1059" s="36" t="s">
        <v>42</v>
      </c>
      <c r="H1059" s="36" t="s">
        <v>2642</v>
      </c>
      <c r="I1059" s="36" t="s">
        <v>44</v>
      </c>
      <c r="J1059" s="36" t="str">
        <f t="shared" si="44"/>
        <v>Skill, Employment, Entrepreneurship and InnovationVocational Education EstablishmentB (Gazetted)Ass.Director (NT)/ RegistararS15 (41800 - 132300)</v>
      </c>
      <c r="K1059" s="36" t="s">
        <v>45</v>
      </c>
      <c r="L1059" s="36" t="s">
        <v>247</v>
      </c>
      <c r="M1059" s="38" t="s">
        <v>2643</v>
      </c>
      <c r="N1059" s="36" t="s">
        <v>47</v>
      </c>
      <c r="O1059" s="6" t="s">
        <v>33</v>
      </c>
      <c r="P1059" s="7">
        <v>18</v>
      </c>
      <c r="Q1059" s="7" t="s">
        <v>34</v>
      </c>
      <c r="R1059" s="8"/>
      <c r="S1059" s="8"/>
      <c r="T1059" s="7" t="s">
        <v>35</v>
      </c>
      <c r="U1059" s="36" t="s">
        <v>1002</v>
      </c>
      <c r="V1059" s="38"/>
      <c r="W1059" s="36"/>
      <c r="X1059" s="36"/>
      <c r="Y1059" s="36"/>
      <c r="Z1059" s="41"/>
      <c r="AA1059" s="42" t="e">
        <f>_xlfn.XLOOKUP(C1059,#REF!,#REF!,"",0,1)</f>
        <v>#REF!</v>
      </c>
      <c r="AB1059" s="43">
        <f t="shared" si="46"/>
        <v>0</v>
      </c>
    </row>
    <row r="1060" spans="1:28" ht="169.5" thickBot="1" x14ac:dyDescent="0.3">
      <c r="A1060" s="36">
        <v>1059</v>
      </c>
      <c r="B1060" s="36" t="s">
        <v>24</v>
      </c>
      <c r="C1060" s="36" t="s">
        <v>263</v>
      </c>
      <c r="D1060" s="37">
        <v>44658</v>
      </c>
      <c r="E1060" s="36" t="s">
        <v>2620</v>
      </c>
      <c r="F1060" s="36" t="s">
        <v>2634</v>
      </c>
      <c r="G1060" s="36" t="s">
        <v>42</v>
      </c>
      <c r="H1060" s="36" t="s">
        <v>2644</v>
      </c>
      <c r="I1060" s="36" t="s">
        <v>372</v>
      </c>
      <c r="J1060" s="36" t="str">
        <f t="shared" si="44"/>
        <v>Skill, Employment, Entrepreneurship and InnovationVocational Education EstablishmentB (Gazetted)HeadmasterS17 (47600 - 151100)</v>
      </c>
      <c r="K1060" s="36" t="s">
        <v>246</v>
      </c>
      <c r="L1060" s="36" t="s">
        <v>247</v>
      </c>
      <c r="M1060" s="38" t="s">
        <v>2645</v>
      </c>
      <c r="N1060" s="36" t="s">
        <v>447</v>
      </c>
      <c r="O1060" s="6" t="s">
        <v>33</v>
      </c>
      <c r="P1060" s="7">
        <v>25</v>
      </c>
      <c r="Q1060" s="7" t="s">
        <v>34</v>
      </c>
      <c r="R1060" s="8"/>
      <c r="S1060" s="8"/>
      <c r="T1060" s="7" t="s">
        <v>35</v>
      </c>
      <c r="U1060" s="36" t="s">
        <v>100</v>
      </c>
      <c r="V1060" s="38"/>
      <c r="W1060" s="36"/>
      <c r="X1060" s="36"/>
      <c r="Y1060" s="36"/>
      <c r="Z1060" s="41"/>
      <c r="AA1060" s="42" t="e">
        <f>_xlfn.XLOOKUP(C1060,#REF!,#REF!,"",0,1)</f>
        <v>#REF!</v>
      </c>
      <c r="AB1060" s="43">
        <f t="shared" si="46"/>
        <v>0</v>
      </c>
    </row>
    <row r="1061" spans="1:28" ht="221.5" thickBot="1" x14ac:dyDescent="0.3">
      <c r="A1061" s="36">
        <v>1060</v>
      </c>
      <c r="B1061" s="36" t="s">
        <v>24</v>
      </c>
      <c r="C1061" s="36" t="s">
        <v>263</v>
      </c>
      <c r="D1061" s="37">
        <v>44658</v>
      </c>
      <c r="E1061" s="36" t="s">
        <v>2620</v>
      </c>
      <c r="F1061" s="36" t="s">
        <v>2634</v>
      </c>
      <c r="G1061" s="36" t="s">
        <v>42</v>
      </c>
      <c r="H1061" s="36" t="s">
        <v>2646</v>
      </c>
      <c r="I1061" s="36" t="s">
        <v>372</v>
      </c>
      <c r="J1061" s="36" t="str">
        <f t="shared" si="44"/>
        <v>Skill, Employment, Entrepreneurship and InnovationVocational Education EstablishmentB (Gazetted)Principal/
  Vice Principal/ Assistant Apprenticeship AdvisorS17 (47600 - 151100)</v>
      </c>
      <c r="K1061" s="36" t="s">
        <v>246</v>
      </c>
      <c r="L1061" s="36" t="s">
        <v>247</v>
      </c>
      <c r="M1061" s="38" t="s">
        <v>2647</v>
      </c>
      <c r="N1061" s="36" t="s">
        <v>447</v>
      </c>
      <c r="O1061" s="6" t="s">
        <v>33</v>
      </c>
      <c r="P1061" s="7">
        <v>133</v>
      </c>
      <c r="Q1061" s="7" t="s">
        <v>34</v>
      </c>
      <c r="R1061" s="8"/>
      <c r="S1061" s="8"/>
      <c r="T1061" s="7" t="s">
        <v>35</v>
      </c>
      <c r="U1061" s="36" t="s">
        <v>100</v>
      </c>
      <c r="V1061" s="38"/>
      <c r="W1061" s="36"/>
      <c r="X1061" s="36"/>
      <c r="Y1061" s="36"/>
      <c r="Z1061" s="41"/>
      <c r="AA1061" s="42" t="e">
        <f>_xlfn.XLOOKUP(C1061,#REF!,#REF!,"",0,1)</f>
        <v>#REF!</v>
      </c>
      <c r="AB1061" s="43">
        <f t="shared" si="46"/>
        <v>0</v>
      </c>
    </row>
    <row r="1062" spans="1:28" ht="247.5" thickBot="1" x14ac:dyDescent="0.3">
      <c r="A1062" s="36">
        <v>1061</v>
      </c>
      <c r="B1062" s="36" t="s">
        <v>24</v>
      </c>
      <c r="C1062" s="36" t="s">
        <v>263</v>
      </c>
      <c r="D1062" s="37">
        <v>44658</v>
      </c>
      <c r="E1062" s="36" t="s">
        <v>2620</v>
      </c>
      <c r="F1062" s="36" t="s">
        <v>2634</v>
      </c>
      <c r="G1062" s="36" t="s">
        <v>55</v>
      </c>
      <c r="H1062" s="36" t="s">
        <v>2648</v>
      </c>
      <c r="I1062" s="36" t="s">
        <v>276</v>
      </c>
      <c r="J1062" s="36" t="str">
        <f t="shared" si="44"/>
        <v>Skill, Employment, Entrepreneurship and InnovationVocational Education EstablishmentCInstructor (Pre- Vocational Courses)S10 (29200 - 92300)</v>
      </c>
      <c r="K1062" s="36" t="s">
        <v>163</v>
      </c>
      <c r="L1062" s="36" t="s">
        <v>225</v>
      </c>
      <c r="M1062" s="38" t="s">
        <v>2649</v>
      </c>
      <c r="N1062" s="40" t="s">
        <v>165</v>
      </c>
      <c r="O1062" s="6" t="s">
        <v>83</v>
      </c>
      <c r="P1062" s="7">
        <v>60</v>
      </c>
      <c r="Q1062" s="7" t="s">
        <v>34</v>
      </c>
      <c r="R1062" s="8"/>
      <c r="S1062" s="8"/>
      <c r="T1062" s="7" t="s">
        <v>35</v>
      </c>
      <c r="U1062" s="36" t="s">
        <v>1002</v>
      </c>
      <c r="V1062" s="38" t="s">
        <v>2650</v>
      </c>
      <c r="W1062" s="36"/>
      <c r="X1062" s="36" t="s">
        <v>2651</v>
      </c>
      <c r="Y1062" s="46">
        <v>45572</v>
      </c>
      <c r="Z1062" s="41"/>
      <c r="AA1062" s="42" t="e">
        <f>_xlfn.XLOOKUP(C1062,#REF!,#REF!,"",0,1)</f>
        <v>#REF!</v>
      </c>
      <c r="AB1062" s="43">
        <f t="shared" si="46"/>
        <v>0</v>
      </c>
    </row>
    <row r="1063" spans="1:28" ht="409.6" thickBot="1" x14ac:dyDescent="0.3">
      <c r="A1063" s="36">
        <v>1062</v>
      </c>
      <c r="B1063" s="36" t="s">
        <v>24</v>
      </c>
      <c r="C1063" s="36" t="s">
        <v>263</v>
      </c>
      <c r="D1063" s="37">
        <v>44658</v>
      </c>
      <c r="E1063" s="36" t="s">
        <v>2620</v>
      </c>
      <c r="F1063" s="36" t="s">
        <v>2634</v>
      </c>
      <c r="G1063" s="36" t="s">
        <v>55</v>
      </c>
      <c r="H1063" s="36" t="s">
        <v>2652</v>
      </c>
      <c r="I1063" s="36" t="s">
        <v>276</v>
      </c>
      <c r="J1063" s="36" t="str">
        <f t="shared" si="44"/>
        <v>Skill, Employment, Entrepreneurship and InnovationVocational Education EstablishmentCMillwrite Maintenance (Mechanical/ Electrical/Electronics)S10 (29200 - 92300)</v>
      </c>
      <c r="K1063" s="36" t="s">
        <v>163</v>
      </c>
      <c r="L1063" s="36" t="s">
        <v>225</v>
      </c>
      <c r="M1063" s="38" t="s">
        <v>2653</v>
      </c>
      <c r="N1063" s="36" t="s">
        <v>165</v>
      </c>
      <c r="O1063" s="6" t="s">
        <v>33</v>
      </c>
      <c r="P1063" s="7">
        <v>57</v>
      </c>
      <c r="Q1063" s="7" t="s">
        <v>34</v>
      </c>
      <c r="R1063" s="8"/>
      <c r="S1063" s="8"/>
      <c r="T1063" s="7" t="s">
        <v>35</v>
      </c>
      <c r="U1063" s="36" t="s">
        <v>1002</v>
      </c>
      <c r="V1063" s="38" t="s">
        <v>2654</v>
      </c>
      <c r="W1063" s="36"/>
      <c r="X1063" s="36" t="s">
        <v>2655</v>
      </c>
      <c r="Y1063" s="36" t="s">
        <v>2305</v>
      </c>
      <c r="Z1063" s="41"/>
      <c r="AA1063" s="42" t="e">
        <f>_xlfn.XLOOKUP(C1063,#REF!,#REF!,"",0,1)</f>
        <v>#REF!</v>
      </c>
      <c r="AB1063" s="43">
        <f t="shared" si="46"/>
        <v>0</v>
      </c>
    </row>
    <row r="1064" spans="1:28" ht="195.5" thickBot="1" x14ac:dyDescent="0.3">
      <c r="A1064" s="36">
        <v>1063</v>
      </c>
      <c r="B1064" s="36" t="s">
        <v>24</v>
      </c>
      <c r="C1064" s="36" t="s">
        <v>263</v>
      </c>
      <c r="D1064" s="37">
        <v>44658</v>
      </c>
      <c r="E1064" s="36" t="s">
        <v>2620</v>
      </c>
      <c r="F1064" s="36" t="s">
        <v>2634</v>
      </c>
      <c r="G1064" s="36" t="s">
        <v>55</v>
      </c>
      <c r="H1064" s="49" t="s">
        <v>287</v>
      </c>
      <c r="I1064" s="36" t="s">
        <v>276</v>
      </c>
      <c r="J1064" s="36" t="str">
        <f t="shared" si="44"/>
        <v>Skill, Employment, Entrepreneurship and InnovationVocational Education EstablishmentCStore KeeperS10 (29200 - 92300)</v>
      </c>
      <c r="K1064" s="36" t="s">
        <v>2656</v>
      </c>
      <c r="L1064" s="36" t="s">
        <v>225</v>
      </c>
      <c r="M1064" s="38" t="s">
        <v>2657</v>
      </c>
      <c r="N1064" s="38" t="s">
        <v>2658</v>
      </c>
      <c r="O1064" s="6" t="s">
        <v>33</v>
      </c>
      <c r="P1064" s="7">
        <v>9</v>
      </c>
      <c r="Q1064" s="7" t="s">
        <v>34</v>
      </c>
      <c r="R1064" s="8"/>
      <c r="S1064" s="8"/>
      <c r="T1064" s="7" t="s">
        <v>35</v>
      </c>
      <c r="U1064" s="36" t="s">
        <v>1002</v>
      </c>
      <c r="V1064" s="38" t="s">
        <v>2659</v>
      </c>
      <c r="W1064" s="36"/>
      <c r="X1064" s="36" t="s">
        <v>2660</v>
      </c>
      <c r="Y1064" s="36" t="s">
        <v>2661</v>
      </c>
      <c r="Z1064" s="41"/>
      <c r="AA1064" s="42" t="e">
        <f>_xlfn.XLOOKUP(C1064,#REF!,#REF!,"",0,1)</f>
        <v>#REF!</v>
      </c>
      <c r="AB1064" s="43">
        <f t="shared" si="46"/>
        <v>0</v>
      </c>
    </row>
    <row r="1065" spans="1:28" ht="156.5" thickBot="1" x14ac:dyDescent="0.3">
      <c r="A1065" s="36">
        <v>1064</v>
      </c>
      <c r="B1065" s="36" t="s">
        <v>24</v>
      </c>
      <c r="C1065" s="36" t="s">
        <v>263</v>
      </c>
      <c r="D1065" s="37">
        <v>44658</v>
      </c>
      <c r="E1065" s="36" t="s">
        <v>2620</v>
      </c>
      <c r="F1065" s="36" t="s">
        <v>2634</v>
      </c>
      <c r="G1065" s="36" t="s">
        <v>55</v>
      </c>
      <c r="H1065" s="36" t="s">
        <v>1731</v>
      </c>
      <c r="I1065" s="36" t="s">
        <v>276</v>
      </c>
      <c r="J1065" s="36" t="str">
        <f t="shared" si="44"/>
        <v>Skill, Employment, Entrepreneurship and InnovationVocational Education EstablishmentCHostel SuperintendentS10 (29200 - 92300)</v>
      </c>
      <c r="K1065" s="36" t="s">
        <v>58</v>
      </c>
      <c r="L1065" s="36" t="s">
        <v>228</v>
      </c>
      <c r="M1065" s="38" t="s">
        <v>2662</v>
      </c>
      <c r="N1065" s="36" t="s">
        <v>199</v>
      </c>
      <c r="O1065" s="6" t="s">
        <v>33</v>
      </c>
      <c r="P1065" s="7">
        <v>9</v>
      </c>
      <c r="Q1065" s="7" t="s">
        <v>34</v>
      </c>
      <c r="R1065" s="8"/>
      <c r="S1065" s="8"/>
      <c r="T1065" s="7" t="s">
        <v>35</v>
      </c>
      <c r="U1065" s="36" t="s">
        <v>1002</v>
      </c>
      <c r="V1065" s="38" t="s">
        <v>2663</v>
      </c>
      <c r="W1065" s="36"/>
      <c r="X1065" s="36" t="s">
        <v>2664</v>
      </c>
      <c r="Y1065" s="36" t="s">
        <v>2665</v>
      </c>
      <c r="Z1065" s="41"/>
      <c r="AA1065" s="42" t="e">
        <f>_xlfn.XLOOKUP(C1065,#REF!,#REF!,"",0,1)</f>
        <v>#REF!</v>
      </c>
      <c r="AB1065" s="43">
        <f t="shared" si="46"/>
        <v>0</v>
      </c>
    </row>
    <row r="1066" spans="1:28" ht="182.5" thickBot="1" x14ac:dyDescent="0.3">
      <c r="A1066" s="36">
        <v>1065</v>
      </c>
      <c r="B1066" s="36" t="s">
        <v>24</v>
      </c>
      <c r="C1066" s="36" t="s">
        <v>263</v>
      </c>
      <c r="D1066" s="37">
        <v>44658</v>
      </c>
      <c r="E1066" s="36" t="s">
        <v>2620</v>
      </c>
      <c r="F1066" s="36" t="s">
        <v>2634</v>
      </c>
      <c r="G1066" s="36" t="s">
        <v>55</v>
      </c>
      <c r="H1066" s="36" t="s">
        <v>2666</v>
      </c>
      <c r="I1066" s="36" t="s">
        <v>67</v>
      </c>
      <c r="J1066" s="36" t="str">
        <f t="shared" si="44"/>
        <v>Skill, Employment, Entrepreneurship and InnovationVocational Education EstablishmentCCraft Instructor / Trade InstructorS14 (38600 - 122800)</v>
      </c>
      <c r="K1066" s="36" t="s">
        <v>163</v>
      </c>
      <c r="L1066" s="36" t="s">
        <v>225</v>
      </c>
      <c r="M1066" s="38" t="s">
        <v>2667</v>
      </c>
      <c r="N1066" s="40" t="s">
        <v>165</v>
      </c>
      <c r="O1066" s="6" t="s">
        <v>83</v>
      </c>
      <c r="P1066" s="7"/>
      <c r="Q1066" s="7" t="s">
        <v>34</v>
      </c>
      <c r="R1066" s="8"/>
      <c r="S1066" s="8"/>
      <c r="T1066" s="7" t="s">
        <v>35</v>
      </c>
      <c r="U1066" s="36" t="s">
        <v>1002</v>
      </c>
      <c r="V1066" s="38" t="s">
        <v>2668</v>
      </c>
      <c r="W1066" s="36"/>
      <c r="X1066" s="36" t="s">
        <v>2669</v>
      </c>
      <c r="Y1066" s="46">
        <v>45572</v>
      </c>
      <c r="Z1066" s="41"/>
      <c r="AA1066" s="42" t="e">
        <f>_xlfn.XLOOKUP(C1066,#REF!,#REF!,"",0,1)</f>
        <v>#REF!</v>
      </c>
      <c r="AB1066" s="43">
        <f t="shared" si="46"/>
        <v>0</v>
      </c>
    </row>
    <row r="1067" spans="1:28" ht="169.5" thickBot="1" x14ac:dyDescent="0.3">
      <c r="A1067" s="36">
        <v>1066</v>
      </c>
      <c r="B1067" s="36" t="s">
        <v>24</v>
      </c>
      <c r="C1067" s="36" t="s">
        <v>263</v>
      </c>
      <c r="D1067" s="37">
        <v>44658</v>
      </c>
      <c r="E1067" s="36" t="s">
        <v>2620</v>
      </c>
      <c r="F1067" s="36" t="s">
        <v>2634</v>
      </c>
      <c r="G1067" s="36" t="s">
        <v>55</v>
      </c>
      <c r="H1067" s="36" t="s">
        <v>2670</v>
      </c>
      <c r="I1067" s="36" t="s">
        <v>67</v>
      </c>
      <c r="J1067" s="36" t="str">
        <f t="shared" si="44"/>
        <v>Skill, Employment, Entrepreneurship and InnovationVocational Education EstablishmentCMathematics cum Drawing InstructorS14 (38600 - 122800)</v>
      </c>
      <c r="K1067" s="36" t="s">
        <v>163</v>
      </c>
      <c r="L1067" s="36" t="s">
        <v>225</v>
      </c>
      <c r="M1067" s="38" t="s">
        <v>2671</v>
      </c>
      <c r="N1067" s="36" t="s">
        <v>165</v>
      </c>
      <c r="O1067" s="6" t="s">
        <v>33</v>
      </c>
      <c r="P1067" s="7"/>
      <c r="Q1067" s="7" t="s">
        <v>34</v>
      </c>
      <c r="R1067" s="8"/>
      <c r="S1067" s="8"/>
      <c r="T1067" s="7" t="s">
        <v>35</v>
      </c>
      <c r="U1067" s="36" t="s">
        <v>1002</v>
      </c>
      <c r="V1067" s="38" t="s">
        <v>2672</v>
      </c>
      <c r="W1067" s="36"/>
      <c r="X1067" s="36" t="s">
        <v>2669</v>
      </c>
      <c r="Y1067" s="46">
        <v>45572</v>
      </c>
      <c r="Z1067" s="41"/>
      <c r="AA1067" s="42" t="e">
        <f>_xlfn.XLOOKUP(C1067,#REF!,#REF!,"",0,1)</f>
        <v>#REF!</v>
      </c>
      <c r="AB1067" s="43">
        <f t="shared" si="46"/>
        <v>0</v>
      </c>
    </row>
    <row r="1068" spans="1:28" ht="208.5" thickBot="1" x14ac:dyDescent="0.3">
      <c r="A1068" s="36">
        <v>1067</v>
      </c>
      <c r="B1068" s="36" t="s">
        <v>24</v>
      </c>
      <c r="C1068" s="36" t="s">
        <v>263</v>
      </c>
      <c r="D1068" s="37">
        <v>44658</v>
      </c>
      <c r="E1068" s="36" t="s">
        <v>2620</v>
      </c>
      <c r="F1068" s="36" t="s">
        <v>2634</v>
      </c>
      <c r="G1068" s="36" t="s">
        <v>55</v>
      </c>
      <c r="H1068" s="36" t="s">
        <v>2673</v>
      </c>
      <c r="I1068" s="36" t="s">
        <v>67</v>
      </c>
      <c r="J1068" s="36" t="str">
        <f t="shared" si="44"/>
        <v>Skill, Employment, Entrepreneurship and InnovationVocational Education EstablishmentCFull Time Instructor (Bifocal/MCVC)/ Full Time Teacher (Practical)S14 (38600 - 122800)</v>
      </c>
      <c r="K1068" s="36" t="s">
        <v>163</v>
      </c>
      <c r="L1068" s="36" t="s">
        <v>225</v>
      </c>
      <c r="M1068" s="38" t="s">
        <v>2674</v>
      </c>
      <c r="N1068" s="36" t="s">
        <v>165</v>
      </c>
      <c r="O1068" s="6" t="s">
        <v>33</v>
      </c>
      <c r="P1068" s="7"/>
      <c r="Q1068" s="7" t="s">
        <v>34</v>
      </c>
      <c r="R1068" s="8"/>
      <c r="S1068" s="8"/>
      <c r="T1068" s="7" t="s">
        <v>35</v>
      </c>
      <c r="U1068" s="36" t="s">
        <v>1002</v>
      </c>
      <c r="V1068" s="38" t="s">
        <v>2675</v>
      </c>
      <c r="W1068" s="36"/>
      <c r="X1068" s="36" t="s">
        <v>2676</v>
      </c>
      <c r="Y1068" s="36" t="s">
        <v>2305</v>
      </c>
      <c r="Z1068" s="41"/>
      <c r="AA1068" s="42" t="e">
        <f>_xlfn.XLOOKUP(C1068,#REF!,#REF!,"",0,1)</f>
        <v>#REF!</v>
      </c>
      <c r="AB1068" s="43">
        <f t="shared" si="46"/>
        <v>0</v>
      </c>
    </row>
    <row r="1069" spans="1:28" ht="156.5" thickBot="1" x14ac:dyDescent="0.3">
      <c r="A1069" s="36">
        <v>1068</v>
      </c>
      <c r="B1069" s="36" t="s">
        <v>24</v>
      </c>
      <c r="C1069" s="36" t="s">
        <v>263</v>
      </c>
      <c r="D1069" s="37">
        <v>44658</v>
      </c>
      <c r="E1069" s="36" t="s">
        <v>2620</v>
      </c>
      <c r="F1069" s="36" t="s">
        <v>2634</v>
      </c>
      <c r="G1069" s="36" t="s">
        <v>55</v>
      </c>
      <c r="H1069" s="36" t="s">
        <v>2677</v>
      </c>
      <c r="I1069" s="36" t="s">
        <v>67</v>
      </c>
      <c r="J1069" s="36" t="str">
        <f t="shared" si="44"/>
        <v>Skill, Employment, Entrepreneurship and InnovationVocational Education EstablishmentCAssistant LecturerS14 (38600 - 122800)</v>
      </c>
      <c r="K1069" s="36" t="s">
        <v>163</v>
      </c>
      <c r="L1069" s="36" t="s">
        <v>225</v>
      </c>
      <c r="M1069" s="38" t="s">
        <v>2678</v>
      </c>
      <c r="N1069" s="36" t="s">
        <v>165</v>
      </c>
      <c r="O1069" s="6" t="s">
        <v>33</v>
      </c>
      <c r="P1069" s="7">
        <v>8</v>
      </c>
      <c r="Q1069" s="7" t="s">
        <v>34</v>
      </c>
      <c r="R1069" s="8"/>
      <c r="S1069" s="8"/>
      <c r="T1069" s="7" t="s">
        <v>35</v>
      </c>
      <c r="U1069" s="36" t="s">
        <v>1002</v>
      </c>
      <c r="V1069" s="38" t="s">
        <v>2679</v>
      </c>
      <c r="W1069" s="36"/>
      <c r="X1069" s="36" t="s">
        <v>2676</v>
      </c>
      <c r="Y1069" s="36" t="s">
        <v>2305</v>
      </c>
      <c r="Z1069" s="41"/>
      <c r="AA1069" s="42" t="e">
        <f>_xlfn.XLOOKUP(C1069,#REF!,#REF!,"",0,1)</f>
        <v>#REF!</v>
      </c>
      <c r="AB1069" s="43">
        <f t="shared" si="46"/>
        <v>0</v>
      </c>
    </row>
    <row r="1070" spans="1:28" ht="156.5" thickBot="1" x14ac:dyDescent="0.3">
      <c r="A1070" s="36">
        <v>1069</v>
      </c>
      <c r="B1070" s="36" t="s">
        <v>24</v>
      </c>
      <c r="C1070" s="36" t="s">
        <v>263</v>
      </c>
      <c r="D1070" s="37">
        <v>44658</v>
      </c>
      <c r="E1070" s="36" t="s">
        <v>2620</v>
      </c>
      <c r="F1070" s="36" t="s">
        <v>2634</v>
      </c>
      <c r="G1070" s="36" t="s">
        <v>55</v>
      </c>
      <c r="H1070" s="36" t="s">
        <v>2680</v>
      </c>
      <c r="I1070" s="36" t="s">
        <v>67</v>
      </c>
      <c r="J1070" s="36" t="str">
        <f t="shared" si="44"/>
        <v>Skill, Employment, Entrepreneurship and InnovationVocational Education EstablishmentCSuperintendent (Technical)S14 (38600 - 122800)</v>
      </c>
      <c r="K1070" s="36" t="s">
        <v>163</v>
      </c>
      <c r="L1070" s="36" t="s">
        <v>225</v>
      </c>
      <c r="M1070" s="38" t="s">
        <v>2681</v>
      </c>
      <c r="N1070" s="36" t="s">
        <v>165</v>
      </c>
      <c r="O1070" s="6" t="s">
        <v>83</v>
      </c>
      <c r="P1070" s="7">
        <v>3</v>
      </c>
      <c r="Q1070" s="7" t="s">
        <v>34</v>
      </c>
      <c r="R1070" s="8"/>
      <c r="S1070" s="8"/>
      <c r="T1070" s="7" t="s">
        <v>35</v>
      </c>
      <c r="U1070" s="36" t="s">
        <v>1002</v>
      </c>
      <c r="V1070" s="38" t="s">
        <v>2682</v>
      </c>
      <c r="W1070" s="36"/>
      <c r="X1070" s="36" t="s">
        <v>2660</v>
      </c>
      <c r="Y1070" s="36" t="s">
        <v>2661</v>
      </c>
      <c r="Z1070" s="41"/>
      <c r="AA1070" s="42" t="e">
        <f>_xlfn.XLOOKUP(C1070,#REF!,#REF!,"",0,1)</f>
        <v>#REF!</v>
      </c>
      <c r="AB1070" s="43">
        <f t="shared" si="46"/>
        <v>0</v>
      </c>
    </row>
    <row r="1071" spans="1:28" ht="195.5" thickBot="1" x14ac:dyDescent="0.3">
      <c r="A1071" s="36">
        <v>1070</v>
      </c>
      <c r="B1071" s="36" t="s">
        <v>24</v>
      </c>
      <c r="C1071" s="36" t="s">
        <v>263</v>
      </c>
      <c r="D1071" s="37">
        <v>44658</v>
      </c>
      <c r="E1071" s="36" t="s">
        <v>2620</v>
      </c>
      <c r="F1071" s="36" t="s">
        <v>2634</v>
      </c>
      <c r="G1071" s="36" t="s">
        <v>55</v>
      </c>
      <c r="H1071" s="36" t="s">
        <v>2683</v>
      </c>
      <c r="I1071" s="36" t="s">
        <v>44</v>
      </c>
      <c r="J1071" s="36" t="str">
        <f t="shared" si="44"/>
        <v>Skill, Employment, Entrepreneurship and InnovationVocational Education EstablishmentCJunior Serveyor-cum Junior Apprenticeship Advisor (Technical)S15 (41800 - 132300)</v>
      </c>
      <c r="K1071" s="36" t="s">
        <v>163</v>
      </c>
      <c r="L1071" s="36" t="s">
        <v>225</v>
      </c>
      <c r="M1071" s="38" t="s">
        <v>2684</v>
      </c>
      <c r="N1071" s="36" t="s">
        <v>165</v>
      </c>
      <c r="O1071" s="6" t="s">
        <v>83</v>
      </c>
      <c r="P1071" s="7">
        <v>1</v>
      </c>
      <c r="Q1071" s="7" t="s">
        <v>34</v>
      </c>
      <c r="R1071" s="8"/>
      <c r="S1071" s="8"/>
      <c r="T1071" s="7" t="s">
        <v>2395</v>
      </c>
      <c r="U1071" s="36" t="s">
        <v>1002</v>
      </c>
      <c r="V1071" s="38" t="s">
        <v>2685</v>
      </c>
      <c r="W1071" s="36"/>
      <c r="X1071" s="36" t="s">
        <v>2660</v>
      </c>
      <c r="Y1071" s="36" t="s">
        <v>2661</v>
      </c>
      <c r="Z1071" s="41"/>
      <c r="AA1071" s="42" t="e">
        <f>_xlfn.XLOOKUP(C1071,#REF!,#REF!,"",0,1)</f>
        <v>#REF!</v>
      </c>
      <c r="AB1071" s="43">
        <f t="shared" si="46"/>
        <v>0</v>
      </c>
    </row>
    <row r="1072" spans="1:28" ht="156.5" thickBot="1" x14ac:dyDescent="0.3">
      <c r="A1072" s="36">
        <v>1071</v>
      </c>
      <c r="B1072" s="36" t="s">
        <v>24</v>
      </c>
      <c r="C1072" s="36" t="s">
        <v>263</v>
      </c>
      <c r="D1072" s="37">
        <v>44658</v>
      </c>
      <c r="E1072" s="36" t="s">
        <v>2620</v>
      </c>
      <c r="F1072" s="36" t="s">
        <v>2634</v>
      </c>
      <c r="G1072" s="36" t="s">
        <v>55</v>
      </c>
      <c r="H1072" s="36" t="s">
        <v>2686</v>
      </c>
      <c r="I1072" s="36" t="s">
        <v>44</v>
      </c>
      <c r="J1072" s="36" t="str">
        <f t="shared" si="44"/>
        <v>Skill, Employment, Entrepreneurship and InnovationVocational Education EstablishmentCComputer ProgrammerS15 (41800 - 132300)</v>
      </c>
      <c r="K1072" s="36" t="s">
        <v>163</v>
      </c>
      <c r="L1072" s="36" t="s">
        <v>225</v>
      </c>
      <c r="M1072" s="38" t="s">
        <v>2687</v>
      </c>
      <c r="N1072" s="36" t="s">
        <v>165</v>
      </c>
      <c r="O1072" s="6" t="s">
        <v>33</v>
      </c>
      <c r="P1072" s="7">
        <v>2</v>
      </c>
      <c r="Q1072" s="7" t="s">
        <v>34</v>
      </c>
      <c r="R1072" s="8"/>
      <c r="S1072" s="8"/>
      <c r="T1072" s="7" t="s">
        <v>35</v>
      </c>
      <c r="U1072" s="36" t="s">
        <v>1002</v>
      </c>
      <c r="V1072" s="38" t="s">
        <v>2688</v>
      </c>
      <c r="W1072" s="36"/>
      <c r="X1072" s="36" t="s">
        <v>2689</v>
      </c>
      <c r="Y1072" s="36" t="s">
        <v>2661</v>
      </c>
      <c r="Z1072" s="41"/>
      <c r="AA1072" s="42" t="e">
        <f>_xlfn.XLOOKUP(C1072,#REF!,#REF!,"",0,1)</f>
        <v>#REF!</v>
      </c>
      <c r="AB1072" s="43">
        <f t="shared" si="46"/>
        <v>0</v>
      </c>
    </row>
    <row r="1073" spans="1:28" ht="182.5" thickBot="1" x14ac:dyDescent="0.3">
      <c r="A1073" s="36">
        <v>1072</v>
      </c>
      <c r="B1073" s="36" t="s">
        <v>24</v>
      </c>
      <c r="C1073" s="36" t="s">
        <v>263</v>
      </c>
      <c r="D1073" s="37">
        <v>44658</v>
      </c>
      <c r="E1073" s="36" t="s">
        <v>2620</v>
      </c>
      <c r="F1073" s="36" t="s">
        <v>2634</v>
      </c>
      <c r="G1073" s="36" t="s">
        <v>55</v>
      </c>
      <c r="H1073" s="36" t="s">
        <v>2690</v>
      </c>
      <c r="I1073" s="36" t="s">
        <v>54</v>
      </c>
      <c r="J1073" s="36" t="str">
        <f t="shared" si="44"/>
        <v>Skill, Employment, Entrepreneurship and InnovationVocational Education EstablishmentCFull Time Teacher (Bifocal/ MCVC)S16 (44900 - 142400)</v>
      </c>
      <c r="K1073" s="36" t="s">
        <v>163</v>
      </c>
      <c r="L1073" s="36" t="s">
        <v>225</v>
      </c>
      <c r="M1073" s="38" t="s">
        <v>2691</v>
      </c>
      <c r="N1073" s="36" t="s">
        <v>165</v>
      </c>
      <c r="O1073" s="6" t="s">
        <v>33</v>
      </c>
      <c r="P1073" s="7"/>
      <c r="Q1073" s="7" t="s">
        <v>34</v>
      </c>
      <c r="R1073" s="8"/>
      <c r="S1073" s="8"/>
      <c r="T1073" s="7" t="s">
        <v>35</v>
      </c>
      <c r="U1073" s="36" t="s">
        <v>1002</v>
      </c>
      <c r="V1073" s="38" t="s">
        <v>2675</v>
      </c>
      <c r="W1073" s="36"/>
      <c r="X1073" s="36" t="s">
        <v>2676</v>
      </c>
      <c r="Y1073" s="36" t="s">
        <v>2305</v>
      </c>
      <c r="Z1073" s="41"/>
      <c r="AA1073" s="42" t="e">
        <f>_xlfn.XLOOKUP(C1073,#REF!,#REF!,"",0,1)</f>
        <v>#REF!</v>
      </c>
      <c r="AB1073" s="43">
        <f t="shared" si="46"/>
        <v>0</v>
      </c>
    </row>
    <row r="1074" spans="1:28" ht="143.5" thickBot="1" x14ac:dyDescent="0.3">
      <c r="A1074" s="36">
        <v>1073</v>
      </c>
      <c r="B1074" s="36" t="s">
        <v>24</v>
      </c>
      <c r="C1074" s="36" t="s">
        <v>263</v>
      </c>
      <c r="D1074" s="37">
        <v>44658</v>
      </c>
      <c r="E1074" s="36" t="s">
        <v>2620</v>
      </c>
      <c r="F1074" s="36" t="s">
        <v>2634</v>
      </c>
      <c r="G1074" s="36" t="s">
        <v>55</v>
      </c>
      <c r="H1074" s="36" t="s">
        <v>1597</v>
      </c>
      <c r="I1074" s="36" t="s">
        <v>74</v>
      </c>
      <c r="J1074" s="36" t="str">
        <f t="shared" si="44"/>
        <v>Skill, Employment, Entrepreneurship and InnovationVocational Education EstablishmentCClerk cum TypistS6 (19900 - 63200)</v>
      </c>
      <c r="K1074" s="36" t="s">
        <v>75</v>
      </c>
      <c r="L1074" s="36" t="s">
        <v>228</v>
      </c>
      <c r="M1074" s="38" t="s">
        <v>2692</v>
      </c>
      <c r="N1074" s="36" t="s">
        <v>70</v>
      </c>
      <c r="O1074" s="6" t="s">
        <v>33</v>
      </c>
      <c r="P1074" s="7">
        <v>280</v>
      </c>
      <c r="Q1074" s="7" t="s">
        <v>34</v>
      </c>
      <c r="R1074" s="8"/>
      <c r="S1074" s="8"/>
      <c r="T1074" s="7" t="s">
        <v>35</v>
      </c>
      <c r="U1074" s="36" t="s">
        <v>1002</v>
      </c>
      <c r="V1074" s="38" t="s">
        <v>125</v>
      </c>
      <c r="W1074" s="36"/>
      <c r="X1074" s="36" t="s">
        <v>77</v>
      </c>
      <c r="Y1074" s="36" t="s">
        <v>78</v>
      </c>
      <c r="Z1074" s="41"/>
      <c r="AA1074" s="42" t="e">
        <f>_xlfn.XLOOKUP(C1074,#REF!,#REF!,"",0,1)</f>
        <v>#REF!</v>
      </c>
      <c r="AB1074" s="43">
        <f t="shared" si="46"/>
        <v>0</v>
      </c>
    </row>
    <row r="1075" spans="1:28" ht="234.5" thickBot="1" x14ac:dyDescent="0.3">
      <c r="A1075" s="36">
        <v>1074</v>
      </c>
      <c r="B1075" s="36" t="s">
        <v>24</v>
      </c>
      <c r="C1075" s="36" t="s">
        <v>263</v>
      </c>
      <c r="D1075" s="37">
        <v>44658</v>
      </c>
      <c r="E1075" s="36" t="s">
        <v>2620</v>
      </c>
      <c r="F1075" s="36" t="s">
        <v>2634</v>
      </c>
      <c r="G1075" s="36" t="s">
        <v>55</v>
      </c>
      <c r="H1075" s="49" t="s">
        <v>2693</v>
      </c>
      <c r="I1075" s="36" t="s">
        <v>74</v>
      </c>
      <c r="J1075" s="36" t="str">
        <f t="shared" si="44"/>
        <v>Skill, Employment, Entrepreneurship and InnovationVocational Education EstablishmentCAssistant Store KeeperS6 (19900 - 63200)</v>
      </c>
      <c r="K1075" s="36" t="s">
        <v>2656</v>
      </c>
      <c r="L1075" s="36" t="s">
        <v>225</v>
      </c>
      <c r="M1075" s="38" t="s">
        <v>2694</v>
      </c>
      <c r="N1075" s="38" t="s">
        <v>2658</v>
      </c>
      <c r="O1075" s="6" t="s">
        <v>33</v>
      </c>
      <c r="P1075" s="7">
        <v>156</v>
      </c>
      <c r="Q1075" s="7" t="s">
        <v>34</v>
      </c>
      <c r="R1075" s="8"/>
      <c r="S1075" s="8"/>
      <c r="T1075" s="7" t="s">
        <v>35</v>
      </c>
      <c r="U1075" s="36" t="s">
        <v>1002</v>
      </c>
      <c r="V1075" s="38" t="s">
        <v>2695</v>
      </c>
      <c r="W1075" s="36"/>
      <c r="X1075" s="36" t="s">
        <v>2660</v>
      </c>
      <c r="Y1075" s="36" t="s">
        <v>2661</v>
      </c>
      <c r="Z1075" s="41"/>
      <c r="AA1075" s="42" t="e">
        <f>_xlfn.XLOOKUP(C1075,#REF!,#REF!,"",0,1)</f>
        <v>#REF!</v>
      </c>
      <c r="AB1075" s="43">
        <f t="shared" si="46"/>
        <v>0</v>
      </c>
    </row>
    <row r="1076" spans="1:28" ht="208.5" thickBot="1" x14ac:dyDescent="0.3">
      <c r="A1076" s="36">
        <v>1075</v>
      </c>
      <c r="B1076" s="36" t="s">
        <v>24</v>
      </c>
      <c r="C1076" s="36" t="s">
        <v>263</v>
      </c>
      <c r="D1076" s="37">
        <v>44658</v>
      </c>
      <c r="E1076" s="36" t="s">
        <v>2620</v>
      </c>
      <c r="F1076" s="36" t="s">
        <v>2634</v>
      </c>
      <c r="G1076" s="36" t="s">
        <v>55</v>
      </c>
      <c r="H1076" s="36" t="s">
        <v>87</v>
      </c>
      <c r="I1076" s="36" t="s">
        <v>80</v>
      </c>
      <c r="J1076" s="36" t="str">
        <f t="shared" si="44"/>
        <v>Skill, Employment, Entrepreneurship and InnovationVocational Education EstablishmentCSenior ClerkS8 (25500 - 81100)</v>
      </c>
      <c r="K1076" s="36" t="s">
        <v>75</v>
      </c>
      <c r="L1076" s="36" t="s">
        <v>228</v>
      </c>
      <c r="M1076" s="38" t="s">
        <v>2696</v>
      </c>
      <c r="N1076" s="36" t="s">
        <v>2697</v>
      </c>
      <c r="O1076" s="6" t="s">
        <v>33</v>
      </c>
      <c r="P1076" s="7">
        <v>69</v>
      </c>
      <c r="Q1076" s="7" t="s">
        <v>34</v>
      </c>
      <c r="R1076" s="8"/>
      <c r="S1076" s="8"/>
      <c r="T1076" s="7" t="s">
        <v>35</v>
      </c>
      <c r="U1076" s="36" t="s">
        <v>1002</v>
      </c>
      <c r="V1076" s="38" t="s">
        <v>2698</v>
      </c>
      <c r="W1076" s="36"/>
      <c r="X1076" s="36" t="s">
        <v>2699</v>
      </c>
      <c r="Y1076" s="36" t="s">
        <v>2305</v>
      </c>
      <c r="Z1076" s="41"/>
      <c r="AA1076" s="42" t="e">
        <f>_xlfn.XLOOKUP(C1076,#REF!,#REF!,"",0,1)</f>
        <v>#REF!</v>
      </c>
      <c r="AB1076" s="43">
        <f t="shared" si="46"/>
        <v>0</v>
      </c>
    </row>
    <row r="1077" spans="1:28" ht="130.5" thickBot="1" x14ac:dyDescent="0.3">
      <c r="A1077" s="36">
        <v>1076</v>
      </c>
      <c r="B1077" s="36" t="s">
        <v>24</v>
      </c>
      <c r="C1077" s="36" t="s">
        <v>263</v>
      </c>
      <c r="D1077" s="37">
        <v>44658</v>
      </c>
      <c r="E1077" s="36" t="s">
        <v>2620</v>
      </c>
      <c r="F1077" s="36" t="s">
        <v>2634</v>
      </c>
      <c r="G1077" s="36" t="s">
        <v>55</v>
      </c>
      <c r="H1077" s="36" t="s">
        <v>92</v>
      </c>
      <c r="I1077" s="36" t="s">
        <v>80</v>
      </c>
      <c r="J1077" s="36" t="str">
        <f t="shared" si="44"/>
        <v>Skill, Employment, Entrepreneurship and InnovationVocational Education EstablishmentCSteno TypistS8 (25500 - 81100)</v>
      </c>
      <c r="K1077" s="36" t="s">
        <v>68</v>
      </c>
      <c r="L1077" s="36" t="s">
        <v>231</v>
      </c>
      <c r="M1077" s="38" t="s">
        <v>2700</v>
      </c>
      <c r="N1077" s="36" t="s">
        <v>70</v>
      </c>
      <c r="O1077" s="6" t="s">
        <v>33</v>
      </c>
      <c r="P1077" s="7">
        <v>2</v>
      </c>
      <c r="Q1077" s="7" t="s">
        <v>34</v>
      </c>
      <c r="R1077" s="8"/>
      <c r="S1077" s="8"/>
      <c r="T1077" s="4" t="s">
        <v>3276</v>
      </c>
      <c r="U1077" s="36" t="s">
        <v>1002</v>
      </c>
      <c r="V1077" s="38"/>
      <c r="W1077" s="36"/>
      <c r="X1077" s="36"/>
      <c r="Y1077" s="36"/>
      <c r="Z1077" s="41"/>
      <c r="AA1077" s="42" t="e">
        <f>_xlfn.XLOOKUP(C1077,#REF!,#REF!,"",0,1)</f>
        <v>#REF!</v>
      </c>
      <c r="AB1077" s="43">
        <f t="shared" si="46"/>
        <v>0</v>
      </c>
    </row>
    <row r="1078" spans="1:28" ht="130.5" thickBot="1" x14ac:dyDescent="0.3">
      <c r="A1078" s="36">
        <v>1077</v>
      </c>
      <c r="B1078" s="36" t="s">
        <v>24</v>
      </c>
      <c r="C1078" s="36" t="s">
        <v>1008</v>
      </c>
      <c r="D1078" s="37">
        <v>38044</v>
      </c>
      <c r="E1078" s="36" t="s">
        <v>2701</v>
      </c>
      <c r="F1078" s="36" t="s">
        <v>2702</v>
      </c>
      <c r="G1078" s="36" t="s">
        <v>28</v>
      </c>
      <c r="H1078" s="36" t="s">
        <v>2703</v>
      </c>
      <c r="I1078" s="36" t="s">
        <v>38</v>
      </c>
      <c r="J1078" s="36" t="str">
        <f t="shared" si="44"/>
        <v>Social JusticeSocial Justice EstablishmentAAssistant Commissioner, Social WelfareS20 (56100 - 177500)</v>
      </c>
      <c r="K1078" s="36" t="s">
        <v>45</v>
      </c>
      <c r="L1078" s="36" t="s">
        <v>247</v>
      </c>
      <c r="M1078" s="38" t="s">
        <v>2704</v>
      </c>
      <c r="N1078" s="36" t="s">
        <v>41</v>
      </c>
      <c r="O1078" s="6" t="s">
        <v>33</v>
      </c>
      <c r="P1078" s="7">
        <v>23</v>
      </c>
      <c r="Q1078" s="7" t="s">
        <v>34</v>
      </c>
      <c r="R1078" s="8"/>
      <c r="S1078" s="8"/>
      <c r="T1078" s="7" t="s">
        <v>35</v>
      </c>
      <c r="U1078" s="36" t="s">
        <v>100</v>
      </c>
      <c r="V1078" s="38"/>
      <c r="W1078" s="36"/>
      <c r="X1078" s="36"/>
      <c r="Y1078" s="36"/>
      <c r="Z1078" s="41"/>
      <c r="AA1078" s="42" t="e">
        <f>_xlfn.XLOOKUP(C1078,#REF!,#REF!,"",0,1)</f>
        <v>#REF!</v>
      </c>
      <c r="AB1078" s="43">
        <f t="shared" si="46"/>
        <v>0</v>
      </c>
    </row>
    <row r="1079" spans="1:28" ht="143.5" thickBot="1" x14ac:dyDescent="0.3">
      <c r="A1079" s="36">
        <v>1078</v>
      </c>
      <c r="B1079" s="36" t="s">
        <v>24</v>
      </c>
      <c r="C1079" s="36" t="s">
        <v>1008</v>
      </c>
      <c r="D1079" s="37">
        <v>38044</v>
      </c>
      <c r="E1079" s="36" t="s">
        <v>2701</v>
      </c>
      <c r="F1079" s="36" t="s">
        <v>2702</v>
      </c>
      <c r="G1079" s="36" t="s">
        <v>42</v>
      </c>
      <c r="H1079" s="36" t="s">
        <v>2705</v>
      </c>
      <c r="I1079" s="36" t="s">
        <v>44</v>
      </c>
      <c r="J1079" s="36" t="str">
        <f t="shared" si="44"/>
        <v>Social JusticeSocial Justice EstablishmentB (Gazetted)Special Offcier / Social Welfare Officer IIS15 (41800 - 132300)</v>
      </c>
      <c r="K1079" s="36" t="s">
        <v>45</v>
      </c>
      <c r="L1079" s="36" t="s">
        <v>247</v>
      </c>
      <c r="M1079" s="38" t="s">
        <v>2704</v>
      </c>
      <c r="N1079" s="36" t="s">
        <v>41</v>
      </c>
      <c r="O1079" s="6" t="s">
        <v>33</v>
      </c>
      <c r="P1079" s="7">
        <v>0</v>
      </c>
      <c r="Q1079" s="7" t="s">
        <v>34</v>
      </c>
      <c r="R1079" s="8"/>
      <c r="S1079" s="8"/>
      <c r="T1079" s="7" t="s">
        <v>2395</v>
      </c>
      <c r="U1079" s="36" t="s">
        <v>596</v>
      </c>
      <c r="V1079" s="38"/>
      <c r="W1079" s="36"/>
      <c r="X1079" s="36"/>
      <c r="Y1079" s="36"/>
      <c r="Z1079" s="41"/>
      <c r="AA1079" s="42" t="e">
        <f>_xlfn.XLOOKUP(C1079,#REF!,#REF!,"",0,1)</f>
        <v>#REF!</v>
      </c>
      <c r="AB1079" s="43">
        <f t="shared" si="46"/>
        <v>0</v>
      </c>
    </row>
    <row r="1080" spans="1:28" ht="117.5" thickBot="1" x14ac:dyDescent="0.3">
      <c r="A1080" s="36">
        <v>1079</v>
      </c>
      <c r="B1080" s="36" t="s">
        <v>584</v>
      </c>
      <c r="C1080" s="36" t="s">
        <v>1008</v>
      </c>
      <c r="D1080" s="37">
        <v>38044</v>
      </c>
      <c r="E1080" s="36" t="s">
        <v>2701</v>
      </c>
      <c r="F1080" s="36" t="s">
        <v>2702</v>
      </c>
      <c r="G1080" s="36" t="s">
        <v>65</v>
      </c>
      <c r="H1080" s="36" t="s">
        <v>477</v>
      </c>
      <c r="I1080" s="36" t="s">
        <v>44</v>
      </c>
      <c r="J1080" s="36" t="str">
        <f t="shared" si="44"/>
        <v>Social JusticeSocial Justice EstablishmentB (Non Gazetted)House MasterS15 (41800 - 132300)</v>
      </c>
      <c r="K1080" s="36"/>
      <c r="L1080" s="36"/>
      <c r="M1080" s="38" t="s">
        <v>155</v>
      </c>
      <c r="N1080" s="36"/>
      <c r="O1080" s="6" t="s">
        <v>33</v>
      </c>
      <c r="P1080" s="7">
        <v>0</v>
      </c>
      <c r="Q1080" s="7" t="s">
        <v>34</v>
      </c>
      <c r="R1080" s="8"/>
      <c r="S1080" s="8"/>
      <c r="T1080" s="4" t="s">
        <v>3276</v>
      </c>
      <c r="U1080" s="36" t="s">
        <v>596</v>
      </c>
      <c r="V1080" s="38"/>
      <c r="W1080" s="36"/>
      <c r="X1080" s="36"/>
      <c r="Y1080" s="36"/>
      <c r="Z1080" s="41"/>
      <c r="AA1080" s="42" t="e">
        <f>_xlfn.XLOOKUP(C1080,#REF!,#REF!,"",0,1)</f>
        <v>#REF!</v>
      </c>
      <c r="AB1080" s="43">
        <f t="shared" si="46"/>
        <v>0</v>
      </c>
    </row>
    <row r="1081" spans="1:28" ht="104.5" thickBot="1" x14ac:dyDescent="0.3">
      <c r="A1081" s="36">
        <v>1080</v>
      </c>
      <c r="B1081" s="36" t="s">
        <v>24</v>
      </c>
      <c r="C1081" s="36" t="s">
        <v>1008</v>
      </c>
      <c r="D1081" s="37">
        <v>38044</v>
      </c>
      <c r="E1081" s="36" t="s">
        <v>2701</v>
      </c>
      <c r="F1081" s="36" t="s">
        <v>2702</v>
      </c>
      <c r="G1081" s="36" t="s">
        <v>55</v>
      </c>
      <c r="H1081" s="36" t="s">
        <v>2706</v>
      </c>
      <c r="I1081" s="36" t="s">
        <v>57</v>
      </c>
      <c r="J1081" s="36" t="str">
        <f t="shared" si="44"/>
        <v>Social JusticeSocial Justice EstablishmentCSocial Welfare InspectorS13 (35400 - 112400)</v>
      </c>
      <c r="K1081" s="36" t="s">
        <v>1496</v>
      </c>
      <c r="L1081" s="36" t="s">
        <v>228</v>
      </c>
      <c r="M1081" s="38" t="s">
        <v>2707</v>
      </c>
      <c r="N1081" s="36" t="s">
        <v>41</v>
      </c>
      <c r="O1081" s="6" t="s">
        <v>33</v>
      </c>
      <c r="P1081" s="7">
        <v>22</v>
      </c>
      <c r="Q1081" s="7" t="s">
        <v>34</v>
      </c>
      <c r="R1081" s="8"/>
      <c r="S1081" s="8"/>
      <c r="T1081" s="7" t="s">
        <v>35</v>
      </c>
      <c r="U1081" s="36" t="s">
        <v>2639</v>
      </c>
      <c r="V1081" s="38" t="s">
        <v>2708</v>
      </c>
      <c r="W1081" s="36"/>
      <c r="X1081" s="36" t="s">
        <v>2709</v>
      </c>
      <c r="Y1081" s="36" t="s">
        <v>2710</v>
      </c>
      <c r="Z1081" s="41"/>
      <c r="AA1081" s="42" t="e">
        <f>_xlfn.XLOOKUP(C1081,#REF!,#REF!,"",0,1)</f>
        <v>#REF!</v>
      </c>
      <c r="AB1081" s="43">
        <f t="shared" si="46"/>
        <v>0</v>
      </c>
    </row>
    <row r="1082" spans="1:28" ht="117.5" thickBot="1" x14ac:dyDescent="0.3">
      <c r="A1082" s="36">
        <v>1081</v>
      </c>
      <c r="B1082" s="36" t="s">
        <v>24</v>
      </c>
      <c r="C1082" s="36" t="s">
        <v>1008</v>
      </c>
      <c r="D1082" s="37">
        <v>38044</v>
      </c>
      <c r="E1082" s="36" t="s">
        <v>2701</v>
      </c>
      <c r="F1082" s="36" t="s">
        <v>2702</v>
      </c>
      <c r="G1082" s="36" t="s">
        <v>55</v>
      </c>
      <c r="H1082" s="36" t="s">
        <v>2711</v>
      </c>
      <c r="I1082" s="36" t="s">
        <v>67</v>
      </c>
      <c r="J1082" s="36" t="str">
        <f t="shared" si="44"/>
        <v>Social JusticeSocial Justice EstablishmentCSr. Social welfare InspectorS14 (38600 - 122800)</v>
      </c>
      <c r="K1082" s="36" t="s">
        <v>1496</v>
      </c>
      <c r="L1082" s="36" t="s">
        <v>228</v>
      </c>
      <c r="M1082" s="38" t="s">
        <v>2712</v>
      </c>
      <c r="N1082" s="36" t="s">
        <v>41</v>
      </c>
      <c r="O1082" s="6" t="s">
        <v>33</v>
      </c>
      <c r="P1082" s="7">
        <v>5</v>
      </c>
      <c r="Q1082" s="7" t="s">
        <v>34</v>
      </c>
      <c r="R1082" s="8"/>
      <c r="S1082" s="8"/>
      <c r="T1082" s="7" t="s">
        <v>35</v>
      </c>
      <c r="U1082" s="36" t="s">
        <v>2639</v>
      </c>
      <c r="V1082" s="38" t="s">
        <v>2713</v>
      </c>
      <c r="W1082" s="36"/>
      <c r="X1082" s="36" t="s">
        <v>2714</v>
      </c>
      <c r="Y1082" s="36" t="s">
        <v>2715</v>
      </c>
      <c r="Z1082" s="41"/>
      <c r="AA1082" s="42" t="e">
        <f>_xlfn.XLOOKUP(C1082,#REF!,#REF!,"",0,1)</f>
        <v>#REF!</v>
      </c>
      <c r="AB1082" s="43">
        <f t="shared" si="46"/>
        <v>0</v>
      </c>
    </row>
    <row r="1083" spans="1:28" ht="91.5" thickBot="1" x14ac:dyDescent="0.3">
      <c r="A1083" s="36">
        <v>1082</v>
      </c>
      <c r="B1083" s="36" t="s">
        <v>24</v>
      </c>
      <c r="C1083" s="36" t="s">
        <v>1008</v>
      </c>
      <c r="D1083" s="37">
        <v>38044</v>
      </c>
      <c r="E1083" s="36" t="s">
        <v>2701</v>
      </c>
      <c r="F1083" s="36" t="s">
        <v>2702</v>
      </c>
      <c r="G1083" s="36" t="s">
        <v>55</v>
      </c>
      <c r="H1083" s="36" t="s">
        <v>2716</v>
      </c>
      <c r="I1083" s="36" t="s">
        <v>67</v>
      </c>
      <c r="J1083" s="36" t="str">
        <f t="shared" si="44"/>
        <v>Social JusticeSocial Justice EstablishmentCWardenS14 (38600 - 122800)</v>
      </c>
      <c r="K1083" s="36" t="s">
        <v>1933</v>
      </c>
      <c r="L1083" s="36" t="s">
        <v>228</v>
      </c>
      <c r="M1083" s="38" t="s">
        <v>2707</v>
      </c>
      <c r="N1083" s="36" t="s">
        <v>199</v>
      </c>
      <c r="O1083" s="6" t="s">
        <v>33</v>
      </c>
      <c r="P1083" s="7">
        <v>60</v>
      </c>
      <c r="Q1083" s="7" t="s">
        <v>34</v>
      </c>
      <c r="R1083" s="8"/>
      <c r="S1083" s="8"/>
      <c r="T1083" s="7" t="s">
        <v>35</v>
      </c>
      <c r="U1083" s="36" t="s">
        <v>2639</v>
      </c>
      <c r="V1083" s="38" t="s">
        <v>2717</v>
      </c>
      <c r="W1083" s="36"/>
      <c r="X1083" s="36" t="s">
        <v>2709</v>
      </c>
      <c r="Y1083" s="36" t="s">
        <v>2710</v>
      </c>
      <c r="Z1083" s="41"/>
      <c r="AA1083" s="42" t="e">
        <f>_xlfn.XLOOKUP(C1083,#REF!,#REF!,"",0,1)</f>
        <v>#REF!</v>
      </c>
      <c r="AB1083" s="43">
        <f t="shared" si="46"/>
        <v>0</v>
      </c>
    </row>
    <row r="1084" spans="1:28" ht="117.5" thickBot="1" x14ac:dyDescent="0.3">
      <c r="A1084" s="36">
        <v>1083</v>
      </c>
      <c r="B1084" s="36" t="s">
        <v>24</v>
      </c>
      <c r="C1084" s="36" t="s">
        <v>1008</v>
      </c>
      <c r="D1084" s="37">
        <v>38044</v>
      </c>
      <c r="E1084" s="36" t="s">
        <v>2701</v>
      </c>
      <c r="F1084" s="36" t="s">
        <v>2702</v>
      </c>
      <c r="G1084" s="36" t="s">
        <v>55</v>
      </c>
      <c r="H1084" s="36" t="s">
        <v>1536</v>
      </c>
      <c r="I1084" s="36" t="s">
        <v>44</v>
      </c>
      <c r="J1084" s="36" t="str">
        <f t="shared" si="44"/>
        <v>Social JusticeSocial Justice EstablishmentCLower Grade Steno GrapherS15 (41800 - 132300)</v>
      </c>
      <c r="K1084" s="36" t="s">
        <v>68</v>
      </c>
      <c r="L1084" s="36" t="s">
        <v>231</v>
      </c>
      <c r="M1084" s="38" t="s">
        <v>2718</v>
      </c>
      <c r="N1084" s="36" t="s">
        <v>70</v>
      </c>
      <c r="O1084" s="6" t="s">
        <v>33</v>
      </c>
      <c r="P1084" s="7">
        <v>0</v>
      </c>
      <c r="Q1084" s="7" t="s">
        <v>34</v>
      </c>
      <c r="R1084" s="8"/>
      <c r="S1084" s="8"/>
      <c r="T1084" s="4" t="s">
        <v>3276</v>
      </c>
      <c r="U1084" s="36" t="s">
        <v>2639</v>
      </c>
      <c r="V1084" s="38"/>
      <c r="W1084" s="36"/>
      <c r="X1084" s="36"/>
      <c r="Y1084" s="36"/>
      <c r="Z1084" s="41"/>
      <c r="AA1084" s="42" t="e">
        <f>_xlfn.XLOOKUP(C1084,#REF!,#REF!,"",0,1)</f>
        <v>#REF!</v>
      </c>
      <c r="AB1084" s="43">
        <f t="shared" si="46"/>
        <v>0</v>
      </c>
    </row>
    <row r="1085" spans="1:28" ht="117.5" thickBot="1" x14ac:dyDescent="0.3">
      <c r="A1085" s="36">
        <v>1084</v>
      </c>
      <c r="B1085" s="36" t="s">
        <v>24</v>
      </c>
      <c r="C1085" s="36" t="s">
        <v>1008</v>
      </c>
      <c r="D1085" s="37">
        <v>38044</v>
      </c>
      <c r="E1085" s="36" t="s">
        <v>2701</v>
      </c>
      <c r="F1085" s="36" t="s">
        <v>2702</v>
      </c>
      <c r="G1085" s="36" t="s">
        <v>55</v>
      </c>
      <c r="H1085" s="36" t="s">
        <v>1539</v>
      </c>
      <c r="I1085" s="36" t="s">
        <v>54</v>
      </c>
      <c r="J1085" s="36" t="str">
        <f t="shared" si="44"/>
        <v>Social JusticeSocial Justice EstablishmentCHigher Grade Steno GrapherS16 (44900 - 142400)</v>
      </c>
      <c r="K1085" s="36" t="s">
        <v>68</v>
      </c>
      <c r="L1085" s="36" t="s">
        <v>231</v>
      </c>
      <c r="M1085" s="38" t="s">
        <v>2719</v>
      </c>
      <c r="N1085" s="36" t="s">
        <v>70</v>
      </c>
      <c r="O1085" s="6" t="s">
        <v>33</v>
      </c>
      <c r="P1085" s="7">
        <v>0</v>
      </c>
      <c r="Q1085" s="7" t="s">
        <v>34</v>
      </c>
      <c r="R1085" s="8"/>
      <c r="S1085" s="8"/>
      <c r="T1085" s="4" t="s">
        <v>3276</v>
      </c>
      <c r="U1085" s="36" t="s">
        <v>2639</v>
      </c>
      <c r="V1085" s="38"/>
      <c r="W1085" s="36"/>
      <c r="X1085" s="36"/>
      <c r="Y1085" s="36"/>
      <c r="Z1085" s="41"/>
      <c r="AA1085" s="42" t="e">
        <f>_xlfn.XLOOKUP(C1085,#REF!,#REF!,"",0,1)</f>
        <v>#REF!</v>
      </c>
      <c r="AB1085" s="43">
        <f t="shared" si="46"/>
        <v>0</v>
      </c>
    </row>
    <row r="1086" spans="1:28" ht="78.5" thickBot="1" x14ac:dyDescent="0.3">
      <c r="A1086" s="36">
        <v>1085</v>
      </c>
      <c r="B1086" s="36" t="s">
        <v>24</v>
      </c>
      <c r="C1086" s="36" t="s">
        <v>1008</v>
      </c>
      <c r="D1086" s="37">
        <v>38044</v>
      </c>
      <c r="E1086" s="36" t="s">
        <v>2701</v>
      </c>
      <c r="F1086" s="36" t="s">
        <v>2702</v>
      </c>
      <c r="G1086" s="36" t="s">
        <v>55</v>
      </c>
      <c r="H1086" s="36" t="s">
        <v>2720</v>
      </c>
      <c r="I1086" s="36" t="s">
        <v>74</v>
      </c>
      <c r="J1086" s="36" t="str">
        <f t="shared" si="44"/>
        <v>Social JusticeSocial Justice EstablishmentCJr.ClerkS6 (19900 - 63200)</v>
      </c>
      <c r="K1086" s="36" t="s">
        <v>75</v>
      </c>
      <c r="L1086" s="36" t="s">
        <v>228</v>
      </c>
      <c r="M1086" s="38" t="s">
        <v>2721</v>
      </c>
      <c r="N1086" s="36" t="s">
        <v>70</v>
      </c>
      <c r="O1086" s="6" t="s">
        <v>33</v>
      </c>
      <c r="P1086" s="7">
        <v>103</v>
      </c>
      <c r="Q1086" s="7" t="s">
        <v>100</v>
      </c>
      <c r="R1086" s="7">
        <v>64</v>
      </c>
      <c r="S1086" s="7" t="s">
        <v>2722</v>
      </c>
      <c r="T1086" s="7" t="s">
        <v>35</v>
      </c>
      <c r="U1086" s="36" t="s">
        <v>2639</v>
      </c>
      <c r="V1086" s="38" t="s">
        <v>2723</v>
      </c>
      <c r="W1086" s="36"/>
      <c r="X1086" s="36" t="s">
        <v>2709</v>
      </c>
      <c r="Y1086" s="36" t="s">
        <v>2710</v>
      </c>
      <c r="Z1086" s="41"/>
      <c r="AA1086" s="42" t="e">
        <f>_xlfn.XLOOKUP(C1086,#REF!,#REF!,"",0,1)</f>
        <v>#REF!</v>
      </c>
      <c r="AB1086" s="43">
        <f t="shared" si="46"/>
        <v>0</v>
      </c>
    </row>
    <row r="1087" spans="1:28" ht="78.5" thickBot="1" x14ac:dyDescent="0.3">
      <c r="A1087" s="36">
        <v>1086</v>
      </c>
      <c r="B1087" s="36" t="s">
        <v>24</v>
      </c>
      <c r="C1087" s="36" t="s">
        <v>1008</v>
      </c>
      <c r="D1087" s="37">
        <v>38044</v>
      </c>
      <c r="E1087" s="36" t="s">
        <v>2701</v>
      </c>
      <c r="F1087" s="36" t="s">
        <v>2702</v>
      </c>
      <c r="G1087" s="36" t="s">
        <v>55</v>
      </c>
      <c r="H1087" s="36" t="s">
        <v>92</v>
      </c>
      <c r="I1087" s="36" t="s">
        <v>80</v>
      </c>
      <c r="J1087" s="36" t="str">
        <f t="shared" si="44"/>
        <v>Social JusticeSocial Justice EstablishmentCSteno TypistS8 (25500 - 81100)</v>
      </c>
      <c r="K1087" s="36" t="s">
        <v>68</v>
      </c>
      <c r="L1087" s="36" t="s">
        <v>231</v>
      </c>
      <c r="M1087" s="38" t="s">
        <v>2724</v>
      </c>
      <c r="N1087" s="36" t="s">
        <v>70</v>
      </c>
      <c r="O1087" s="6" t="s">
        <v>33</v>
      </c>
      <c r="P1087" s="7">
        <v>11</v>
      </c>
      <c r="Q1087" s="7" t="s">
        <v>34</v>
      </c>
      <c r="R1087" s="8"/>
      <c r="S1087" s="8"/>
      <c r="T1087" s="4" t="s">
        <v>3276</v>
      </c>
      <c r="U1087" s="36" t="s">
        <v>2639</v>
      </c>
      <c r="V1087" s="38"/>
      <c r="W1087" s="36"/>
      <c r="X1087" s="36"/>
      <c r="Y1087" s="36"/>
      <c r="Z1087" s="41"/>
      <c r="AA1087" s="42" t="e">
        <f>_xlfn.XLOOKUP(C1087,#REF!,#REF!,"",0,1)</f>
        <v>#REF!</v>
      </c>
      <c r="AB1087" s="43">
        <f t="shared" si="46"/>
        <v>0</v>
      </c>
    </row>
    <row r="1088" spans="1:28" ht="156.5" thickBot="1" x14ac:dyDescent="0.3">
      <c r="A1088" s="36">
        <v>1087</v>
      </c>
      <c r="B1088" s="36" t="s">
        <v>24</v>
      </c>
      <c r="C1088" s="36" t="s">
        <v>263</v>
      </c>
      <c r="D1088" s="37">
        <v>45826</v>
      </c>
      <c r="E1088" s="36" t="s">
        <v>2725</v>
      </c>
      <c r="F1088" s="36" t="s">
        <v>2726</v>
      </c>
      <c r="G1088" s="36" t="s">
        <v>28</v>
      </c>
      <c r="H1088" s="36" t="s">
        <v>2727</v>
      </c>
      <c r="I1088" s="36" t="s">
        <v>38</v>
      </c>
      <c r="J1088" s="36" t="str">
        <f t="shared" si="44"/>
        <v>Soil &amp; Water ConservationSoil &amp; Water Conservation EstablishmentASub -Divisional Water
  conservation officer
  (civil)S20 (56100 - 177500)</v>
      </c>
      <c r="K1088" s="36" t="s">
        <v>246</v>
      </c>
      <c r="L1088" s="36" t="s">
        <v>247</v>
      </c>
      <c r="M1088" s="38" t="s">
        <v>2728</v>
      </c>
      <c r="N1088" s="36" t="s">
        <v>41</v>
      </c>
      <c r="O1088" s="6" t="s">
        <v>83</v>
      </c>
      <c r="P1088" s="7">
        <v>0</v>
      </c>
      <c r="Q1088" s="7" t="s">
        <v>34</v>
      </c>
      <c r="R1088" s="8"/>
      <c r="S1088" s="8"/>
      <c r="T1088" s="7" t="s">
        <v>2395</v>
      </c>
      <c r="U1088" s="36" t="s">
        <v>61</v>
      </c>
      <c r="V1088" s="38"/>
      <c r="W1088" s="36"/>
      <c r="X1088" s="36"/>
      <c r="Y1088" s="36"/>
      <c r="Z1088" s="41"/>
      <c r="AA1088" s="42" t="e">
        <f>_xlfn.XLOOKUP(C1088,#REF!,#REF!,"",0,1)</f>
        <v>#REF!</v>
      </c>
      <c r="AB1088" s="43">
        <f t="shared" si="46"/>
        <v>0</v>
      </c>
    </row>
    <row r="1089" spans="1:28" ht="156.5" thickBot="1" x14ac:dyDescent="0.3">
      <c r="A1089" s="36">
        <v>1088</v>
      </c>
      <c r="B1089" s="36" t="s">
        <v>24</v>
      </c>
      <c r="C1089" s="36" t="s">
        <v>263</v>
      </c>
      <c r="D1089" s="37">
        <v>45826</v>
      </c>
      <c r="E1089" s="36" t="s">
        <v>2725</v>
      </c>
      <c r="F1089" s="36" t="s">
        <v>2726</v>
      </c>
      <c r="G1089" s="36" t="s">
        <v>42</v>
      </c>
      <c r="H1089" s="36" t="s">
        <v>2729</v>
      </c>
      <c r="I1089" s="36" t="s">
        <v>54</v>
      </c>
      <c r="J1089" s="36" t="str">
        <f t="shared" si="44"/>
        <v>Soil &amp; Water ConservationSoil &amp; Water Conservation EstablishmentB (Gazetted)Water conservation
  officer (Civil)S16 (44900 - 142400)</v>
      </c>
      <c r="K1089" s="36" t="s">
        <v>246</v>
      </c>
      <c r="L1089" s="36" t="s">
        <v>247</v>
      </c>
      <c r="M1089" s="38" t="s">
        <v>2728</v>
      </c>
      <c r="N1089" s="36" t="s">
        <v>41</v>
      </c>
      <c r="O1089" s="6" t="s">
        <v>83</v>
      </c>
      <c r="P1089" s="7">
        <v>4</v>
      </c>
      <c r="Q1089" s="7" t="s">
        <v>100</v>
      </c>
      <c r="R1089" s="7">
        <v>4</v>
      </c>
      <c r="S1089" s="7" t="s">
        <v>2730</v>
      </c>
      <c r="T1089" s="7" t="s">
        <v>61</v>
      </c>
      <c r="U1089" s="36" t="s">
        <v>61</v>
      </c>
      <c r="V1089" s="38"/>
      <c r="W1089" s="36"/>
      <c r="X1089" s="36"/>
      <c r="Y1089" s="36"/>
      <c r="Z1089" s="41"/>
      <c r="AA1089" s="42" t="e">
        <f>_xlfn.XLOOKUP(C1089,#REF!,#REF!,"",0,1)</f>
        <v>#REF!</v>
      </c>
      <c r="AB1089" s="43">
        <f t="shared" si="46"/>
        <v>0</v>
      </c>
    </row>
    <row r="1090" spans="1:28" ht="156.5" thickBot="1" x14ac:dyDescent="0.3">
      <c r="A1090" s="36">
        <v>1089</v>
      </c>
      <c r="B1090" s="36" t="s">
        <v>24</v>
      </c>
      <c r="C1090" s="36" t="s">
        <v>263</v>
      </c>
      <c r="D1090" s="37">
        <v>45826</v>
      </c>
      <c r="E1090" s="36" t="s">
        <v>2725</v>
      </c>
      <c r="F1090" s="36" t="s">
        <v>2726</v>
      </c>
      <c r="G1090" s="36" t="s">
        <v>65</v>
      </c>
      <c r="H1090" s="36" t="s">
        <v>2731</v>
      </c>
      <c r="I1090" s="36" t="s">
        <v>44</v>
      </c>
      <c r="J1090" s="36" t="str">
        <f t="shared" ref="J1090:J1153" si="47">_xlfn.CONCAT(E1090:I1090)</f>
        <v>Soil &amp; Water ConservationSoil &amp; Water Conservation EstablishmentB (Non Gazetted)Water conservation
  officer(civil)S15 (41800 - 132300)</v>
      </c>
      <c r="K1090" s="36" t="s">
        <v>163</v>
      </c>
      <c r="L1090" s="36" t="s">
        <v>225</v>
      </c>
      <c r="M1090" s="38" t="s">
        <v>2732</v>
      </c>
      <c r="N1090" s="36" t="s">
        <v>165</v>
      </c>
      <c r="O1090" s="6" t="s">
        <v>83</v>
      </c>
      <c r="P1090" s="7">
        <v>85</v>
      </c>
      <c r="Q1090" s="7" t="s">
        <v>34</v>
      </c>
      <c r="R1090" s="8"/>
      <c r="S1090" s="7" t="s">
        <v>3239</v>
      </c>
      <c r="T1090" s="7" t="s">
        <v>35</v>
      </c>
      <c r="U1090" s="36" t="s">
        <v>35</v>
      </c>
      <c r="V1090" s="38" t="s">
        <v>2733</v>
      </c>
      <c r="W1090" s="36"/>
      <c r="X1090" s="36" t="s">
        <v>2734</v>
      </c>
      <c r="Y1090" s="36" t="s">
        <v>2735</v>
      </c>
      <c r="Z1090" s="41"/>
      <c r="AA1090" s="42" t="e">
        <f>_xlfn.XLOOKUP(C1090,#REF!,#REF!,"",0,1)</f>
        <v>#REF!</v>
      </c>
      <c r="AB1090" s="43">
        <f t="shared" ref="AB1090:AB1101" si="48">IFERROR(FLOOR(P1090*AA1090,1),0)</f>
        <v>0</v>
      </c>
    </row>
    <row r="1091" spans="1:28" ht="91.5" thickBot="1" x14ac:dyDescent="0.3">
      <c r="A1091" s="36">
        <v>1090</v>
      </c>
      <c r="B1091" s="36" t="s">
        <v>24</v>
      </c>
      <c r="C1091" s="36" t="s">
        <v>263</v>
      </c>
      <c r="D1091" s="37">
        <v>45826</v>
      </c>
      <c r="E1091" s="36" t="s">
        <v>2725</v>
      </c>
      <c r="F1091" s="36" t="s">
        <v>2726</v>
      </c>
      <c r="G1091" s="36" t="s">
        <v>55</v>
      </c>
      <c r="H1091" s="36" t="s">
        <v>2736</v>
      </c>
      <c r="I1091" s="36" t="s">
        <v>276</v>
      </c>
      <c r="J1091" s="36" t="str">
        <f t="shared" si="47"/>
        <v>Soil &amp; Water ConservationSoil &amp; Water Conservation EstablishmentCDraftsmanS10 (29200 - 92300)</v>
      </c>
      <c r="K1091" s="36" t="s">
        <v>163</v>
      </c>
      <c r="L1091" s="36" t="s">
        <v>225</v>
      </c>
      <c r="M1091" s="38" t="s">
        <v>2737</v>
      </c>
      <c r="N1091" s="36" t="s">
        <v>165</v>
      </c>
      <c r="O1091" s="6" t="s">
        <v>33</v>
      </c>
      <c r="P1091" s="7">
        <v>23</v>
      </c>
      <c r="Q1091" s="7" t="s">
        <v>34</v>
      </c>
      <c r="R1091" s="8"/>
      <c r="S1091" s="8"/>
      <c r="T1091" s="7" t="s">
        <v>35</v>
      </c>
      <c r="U1091" s="36" t="s">
        <v>35</v>
      </c>
      <c r="V1091" s="38" t="s">
        <v>2738</v>
      </c>
      <c r="W1091" s="36"/>
      <c r="X1091" s="36" t="s">
        <v>2739</v>
      </c>
      <c r="Y1091" s="46">
        <v>42404</v>
      </c>
      <c r="Z1091" s="41"/>
      <c r="AA1091" s="42" t="e">
        <f>_xlfn.XLOOKUP(C1091,#REF!,#REF!,"",0,1)</f>
        <v>#REF!</v>
      </c>
      <c r="AB1091" s="43">
        <f t="shared" si="48"/>
        <v>0</v>
      </c>
    </row>
    <row r="1092" spans="1:28" ht="104.5" thickBot="1" x14ac:dyDescent="0.3">
      <c r="A1092" s="36">
        <v>1091</v>
      </c>
      <c r="B1092" s="36" t="s">
        <v>24</v>
      </c>
      <c r="C1092" s="36" t="s">
        <v>263</v>
      </c>
      <c r="D1092" s="37">
        <v>45826</v>
      </c>
      <c r="E1092" s="36" t="s">
        <v>2725</v>
      </c>
      <c r="F1092" s="36" t="s">
        <v>2726</v>
      </c>
      <c r="G1092" s="36" t="s">
        <v>55</v>
      </c>
      <c r="H1092" s="36" t="s">
        <v>287</v>
      </c>
      <c r="I1092" s="36" t="s">
        <v>276</v>
      </c>
      <c r="J1092" s="36" t="str">
        <f t="shared" si="47"/>
        <v>Soil &amp; Water ConservationSoil &amp; Water Conservation EstablishmentCStore KeeperS10 (29200 - 92300)</v>
      </c>
      <c r="K1092" s="36" t="s">
        <v>288</v>
      </c>
      <c r="L1092" s="36" t="s">
        <v>228</v>
      </c>
      <c r="M1092" s="38" t="s">
        <v>2740</v>
      </c>
      <c r="N1092" s="36" t="s">
        <v>199</v>
      </c>
      <c r="O1092" s="6" t="s">
        <v>33</v>
      </c>
      <c r="P1092" s="7">
        <v>1</v>
      </c>
      <c r="Q1092" s="7" t="s">
        <v>34</v>
      </c>
      <c r="R1092" s="8"/>
      <c r="S1092" s="8"/>
      <c r="T1092" s="7" t="s">
        <v>2395</v>
      </c>
      <c r="U1092" s="36" t="s">
        <v>35</v>
      </c>
      <c r="V1092" s="38" t="s">
        <v>2741</v>
      </c>
      <c r="W1092" s="36"/>
      <c r="X1092" s="36" t="s">
        <v>2742</v>
      </c>
      <c r="Y1092" s="46">
        <v>41066</v>
      </c>
      <c r="Z1092" s="41"/>
      <c r="AA1092" s="42" t="e">
        <f>_xlfn.XLOOKUP(C1092,#REF!,#REF!,"",0,1)</f>
        <v>#REF!</v>
      </c>
      <c r="AB1092" s="43">
        <f t="shared" si="48"/>
        <v>0</v>
      </c>
    </row>
    <row r="1093" spans="1:28" ht="130.5" thickBot="1" x14ac:dyDescent="0.3">
      <c r="A1093" s="36">
        <v>1092</v>
      </c>
      <c r="B1093" s="36" t="s">
        <v>24</v>
      </c>
      <c r="C1093" s="36" t="s">
        <v>263</v>
      </c>
      <c r="D1093" s="37">
        <v>45826</v>
      </c>
      <c r="E1093" s="36" t="s">
        <v>2725</v>
      </c>
      <c r="F1093" s="36" t="s">
        <v>2726</v>
      </c>
      <c r="G1093" s="36" t="s">
        <v>55</v>
      </c>
      <c r="H1093" s="36" t="s">
        <v>2743</v>
      </c>
      <c r="I1093" s="36" t="s">
        <v>44</v>
      </c>
      <c r="J1093" s="36" t="str">
        <f t="shared" si="47"/>
        <v>Soil &amp; Water ConservationSoil &amp; Water Conservation EstablishmentCHigher Grade
  StenographerS15 (41800 - 132300)</v>
      </c>
      <c r="K1093" s="36" t="s">
        <v>68</v>
      </c>
      <c r="L1093" s="36" t="s">
        <v>231</v>
      </c>
      <c r="M1093" s="38" t="s">
        <v>2744</v>
      </c>
      <c r="N1093" s="36" t="s">
        <v>70</v>
      </c>
      <c r="O1093" s="6" t="s">
        <v>33</v>
      </c>
      <c r="P1093" s="7"/>
      <c r="Q1093" s="8"/>
      <c r="R1093" s="8"/>
      <c r="S1093" s="8"/>
      <c r="T1093" s="4" t="s">
        <v>3276</v>
      </c>
      <c r="U1093" s="36" t="s">
        <v>35</v>
      </c>
      <c r="V1093" s="38"/>
      <c r="W1093" s="36"/>
      <c r="X1093" s="36"/>
      <c r="Y1093" s="36"/>
      <c r="Z1093" s="41"/>
      <c r="AA1093" s="42" t="e">
        <f>_xlfn.XLOOKUP(C1093,#REF!,#REF!,"",0,1)</f>
        <v>#REF!</v>
      </c>
      <c r="AB1093" s="43">
        <f t="shared" si="48"/>
        <v>0</v>
      </c>
    </row>
    <row r="1094" spans="1:28" ht="91.5" thickBot="1" x14ac:dyDescent="0.3">
      <c r="A1094" s="36">
        <v>1093</v>
      </c>
      <c r="B1094" s="36" t="s">
        <v>24</v>
      </c>
      <c r="C1094" s="36" t="s">
        <v>263</v>
      </c>
      <c r="D1094" s="37">
        <v>45826</v>
      </c>
      <c r="E1094" s="36" t="s">
        <v>2725</v>
      </c>
      <c r="F1094" s="36" t="s">
        <v>2726</v>
      </c>
      <c r="G1094" s="36" t="s">
        <v>55</v>
      </c>
      <c r="H1094" s="36" t="s">
        <v>123</v>
      </c>
      <c r="I1094" s="36" t="s">
        <v>74</v>
      </c>
      <c r="J1094" s="36" t="str">
        <f t="shared" si="47"/>
        <v>Soil &amp; Water ConservationSoil &amp; Water Conservation EstablishmentCJunior ClerkS6 (19900 - 63200)</v>
      </c>
      <c r="K1094" s="36" t="s">
        <v>75</v>
      </c>
      <c r="L1094" s="36" t="s">
        <v>228</v>
      </c>
      <c r="M1094" s="38" t="s">
        <v>2740</v>
      </c>
      <c r="N1094" s="36" t="s">
        <v>70</v>
      </c>
      <c r="O1094" s="6" t="s">
        <v>33</v>
      </c>
      <c r="P1094" s="7">
        <v>65</v>
      </c>
      <c r="Q1094" s="7" t="s">
        <v>34</v>
      </c>
      <c r="R1094" s="8"/>
      <c r="S1094" s="7" t="s">
        <v>3239</v>
      </c>
      <c r="T1094" s="7" t="s">
        <v>35</v>
      </c>
      <c r="U1094" s="36" t="s">
        <v>35</v>
      </c>
      <c r="V1094" s="38" t="s">
        <v>125</v>
      </c>
      <c r="W1094" s="36"/>
      <c r="X1094" s="36" t="s">
        <v>77</v>
      </c>
      <c r="Y1094" s="36" t="s">
        <v>78</v>
      </c>
      <c r="Z1094" s="41"/>
      <c r="AA1094" s="42" t="e">
        <f>_xlfn.XLOOKUP(C1094,#REF!,#REF!,"",0,1)</f>
        <v>#REF!</v>
      </c>
      <c r="AB1094" s="43">
        <f t="shared" si="48"/>
        <v>0</v>
      </c>
    </row>
    <row r="1095" spans="1:28" ht="104.5" thickBot="1" x14ac:dyDescent="0.3">
      <c r="A1095" s="36">
        <v>1094</v>
      </c>
      <c r="B1095" s="36" t="s">
        <v>24</v>
      </c>
      <c r="C1095" s="36" t="s">
        <v>263</v>
      </c>
      <c r="D1095" s="37">
        <v>45826</v>
      </c>
      <c r="E1095" s="36" t="s">
        <v>2725</v>
      </c>
      <c r="F1095" s="36" t="s">
        <v>2726</v>
      </c>
      <c r="G1095" s="36" t="s">
        <v>55</v>
      </c>
      <c r="H1095" s="36" t="s">
        <v>2745</v>
      </c>
      <c r="I1095" s="36" t="s">
        <v>74</v>
      </c>
      <c r="J1095" s="36" t="str">
        <f t="shared" si="47"/>
        <v>Soil &amp; Water ConservationSoil &amp; Water Conservation EstablishmentCAsst Store KeeperS6 (19900 - 63200)</v>
      </c>
      <c r="K1095" s="36" t="s">
        <v>288</v>
      </c>
      <c r="L1095" s="36" t="s">
        <v>228</v>
      </c>
      <c r="M1095" s="38" t="s">
        <v>2740</v>
      </c>
      <c r="N1095" s="36" t="s">
        <v>199</v>
      </c>
      <c r="O1095" s="6" t="s">
        <v>33</v>
      </c>
      <c r="P1095" s="7">
        <v>2</v>
      </c>
      <c r="Q1095" s="7" t="s">
        <v>34</v>
      </c>
      <c r="R1095" s="8"/>
      <c r="S1095" s="8"/>
      <c r="T1095" s="7" t="s">
        <v>35</v>
      </c>
      <c r="U1095" s="36" t="s">
        <v>35</v>
      </c>
      <c r="V1095" s="38" t="s">
        <v>2746</v>
      </c>
      <c r="W1095" s="36"/>
      <c r="X1095" s="36" t="s">
        <v>2742</v>
      </c>
      <c r="Y1095" s="46">
        <v>41066</v>
      </c>
      <c r="Z1095" s="41"/>
      <c r="AA1095" s="42" t="e">
        <f>_xlfn.XLOOKUP(C1095,#REF!,#REF!,"",0,1)</f>
        <v>#REF!</v>
      </c>
      <c r="AB1095" s="43">
        <f t="shared" si="48"/>
        <v>0</v>
      </c>
    </row>
    <row r="1096" spans="1:28" ht="91.5" thickBot="1" x14ac:dyDescent="0.3">
      <c r="A1096" s="36">
        <v>1095</v>
      </c>
      <c r="B1096" s="36" t="s">
        <v>24</v>
      </c>
      <c r="C1096" s="36" t="s">
        <v>263</v>
      </c>
      <c r="D1096" s="37">
        <v>45826</v>
      </c>
      <c r="E1096" s="36" t="s">
        <v>2725</v>
      </c>
      <c r="F1096" s="36" t="s">
        <v>2726</v>
      </c>
      <c r="G1096" s="36" t="s">
        <v>55</v>
      </c>
      <c r="H1096" s="36" t="s">
        <v>1384</v>
      </c>
      <c r="I1096" s="36" t="s">
        <v>169</v>
      </c>
      <c r="J1096" s="36" t="str">
        <f t="shared" si="47"/>
        <v>Soil &amp; Water ConservationSoil &amp; Water Conservation EstablishmentCTracerS7 (21700 - 69100)</v>
      </c>
      <c r="K1096" s="36" t="s">
        <v>1385</v>
      </c>
      <c r="L1096" s="36" t="s">
        <v>225</v>
      </c>
      <c r="M1096" s="38" t="s">
        <v>2747</v>
      </c>
      <c r="N1096" s="36" t="s">
        <v>41</v>
      </c>
      <c r="O1096" s="6" t="s">
        <v>33</v>
      </c>
      <c r="P1096" s="7">
        <v>325</v>
      </c>
      <c r="Q1096" s="7" t="s">
        <v>34</v>
      </c>
      <c r="R1096" s="8"/>
      <c r="S1096" s="8"/>
      <c r="T1096" s="7" t="s">
        <v>35</v>
      </c>
      <c r="U1096" s="36" t="s">
        <v>35</v>
      </c>
      <c r="V1096" s="38" t="s">
        <v>2748</v>
      </c>
      <c r="W1096" s="36"/>
      <c r="X1096" s="36" t="s">
        <v>2739</v>
      </c>
      <c r="Y1096" s="46">
        <v>42404</v>
      </c>
      <c r="Z1096" s="41"/>
      <c r="AA1096" s="42" t="e">
        <f>_xlfn.XLOOKUP(C1096,#REF!,#REF!,"",0,1)</f>
        <v>#REF!</v>
      </c>
      <c r="AB1096" s="43">
        <f t="shared" si="48"/>
        <v>0</v>
      </c>
    </row>
    <row r="1097" spans="1:28" ht="91.5" thickBot="1" x14ac:dyDescent="0.3">
      <c r="A1097" s="36">
        <v>1096</v>
      </c>
      <c r="B1097" s="36" t="s">
        <v>24</v>
      </c>
      <c r="C1097" s="36" t="s">
        <v>263</v>
      </c>
      <c r="D1097" s="37">
        <v>45826</v>
      </c>
      <c r="E1097" s="36" t="s">
        <v>2725</v>
      </c>
      <c r="F1097" s="36" t="s">
        <v>2726</v>
      </c>
      <c r="G1097" s="36" t="s">
        <v>55</v>
      </c>
      <c r="H1097" s="36" t="s">
        <v>87</v>
      </c>
      <c r="I1097" s="36" t="s">
        <v>80</v>
      </c>
      <c r="J1097" s="36" t="str">
        <f t="shared" si="47"/>
        <v>Soil &amp; Water ConservationSoil &amp; Water Conservation EstablishmentCSenior ClerkS8 (25500 - 81100)</v>
      </c>
      <c r="K1097" s="36" t="s">
        <v>75</v>
      </c>
      <c r="L1097" s="36" t="s">
        <v>228</v>
      </c>
      <c r="M1097" s="38" t="s">
        <v>2167</v>
      </c>
      <c r="N1097" s="36" t="s">
        <v>70</v>
      </c>
      <c r="O1097" s="6" t="s">
        <v>33</v>
      </c>
      <c r="P1097" s="7">
        <v>3</v>
      </c>
      <c r="Q1097" s="7" t="s">
        <v>34</v>
      </c>
      <c r="R1097" s="8"/>
      <c r="S1097" s="7" t="s">
        <v>3239</v>
      </c>
      <c r="T1097" s="7" t="s">
        <v>35</v>
      </c>
      <c r="U1097" s="36" t="s">
        <v>35</v>
      </c>
      <c r="V1097" s="38" t="s">
        <v>257</v>
      </c>
      <c r="W1097" s="36"/>
      <c r="X1097" s="36" t="s">
        <v>258</v>
      </c>
      <c r="Y1097" s="36" t="s">
        <v>259</v>
      </c>
      <c r="Z1097" s="41"/>
      <c r="AA1097" s="42" t="e">
        <f>_xlfn.XLOOKUP(C1097,#REF!,#REF!,"",0,1)</f>
        <v>#REF!</v>
      </c>
      <c r="AB1097" s="43">
        <f t="shared" si="48"/>
        <v>0</v>
      </c>
    </row>
    <row r="1098" spans="1:28" ht="130.5" thickBot="1" x14ac:dyDescent="0.3">
      <c r="A1098" s="36">
        <v>1097</v>
      </c>
      <c r="B1098" s="36" t="s">
        <v>24</v>
      </c>
      <c r="C1098" s="36" t="s">
        <v>263</v>
      </c>
      <c r="D1098" s="37">
        <v>45826</v>
      </c>
      <c r="E1098" s="36" t="s">
        <v>2725</v>
      </c>
      <c r="F1098" s="36" t="s">
        <v>2726</v>
      </c>
      <c r="G1098" s="36" t="s">
        <v>55</v>
      </c>
      <c r="H1098" s="36" t="s">
        <v>2749</v>
      </c>
      <c r="I1098" s="36" t="s">
        <v>80</v>
      </c>
      <c r="J1098" s="36" t="str">
        <f t="shared" si="47"/>
        <v>Soil &amp; Water ConservationSoil &amp; Water Conservation EstablishmentCCircle Water
  Conservation
  Officer(CEA)S8 (25500 - 81100)</v>
      </c>
      <c r="K1098" s="36" t="s">
        <v>163</v>
      </c>
      <c r="L1098" s="36" t="s">
        <v>225</v>
      </c>
      <c r="M1098" s="38" t="s">
        <v>2732</v>
      </c>
      <c r="N1098" s="36" t="s">
        <v>165</v>
      </c>
      <c r="O1098" s="6" t="s">
        <v>83</v>
      </c>
      <c r="P1098" s="7">
        <v>218</v>
      </c>
      <c r="Q1098" s="7" t="s">
        <v>34</v>
      </c>
      <c r="R1098" s="8"/>
      <c r="S1098" s="7" t="s">
        <v>3239</v>
      </c>
      <c r="T1098" s="7" t="s">
        <v>35</v>
      </c>
      <c r="U1098" s="36" t="s">
        <v>35</v>
      </c>
      <c r="V1098" s="38" t="s">
        <v>2750</v>
      </c>
      <c r="W1098" s="36"/>
      <c r="X1098" s="36" t="s">
        <v>2751</v>
      </c>
      <c r="Y1098" s="46">
        <v>41616</v>
      </c>
      <c r="Z1098" s="41"/>
      <c r="AA1098" s="42" t="e">
        <f>_xlfn.XLOOKUP(C1098,#REF!,#REF!,"",0,1)</f>
        <v>#REF!</v>
      </c>
      <c r="AB1098" s="43">
        <f t="shared" si="48"/>
        <v>0</v>
      </c>
    </row>
    <row r="1099" spans="1:28" ht="117.5" thickBot="1" x14ac:dyDescent="0.3">
      <c r="A1099" s="36">
        <v>1098</v>
      </c>
      <c r="B1099" s="36" t="s">
        <v>24</v>
      </c>
      <c r="C1099" s="36" t="s">
        <v>263</v>
      </c>
      <c r="D1099" s="37">
        <v>45826</v>
      </c>
      <c r="E1099" s="36" t="s">
        <v>2725</v>
      </c>
      <c r="F1099" s="36" t="s">
        <v>2726</v>
      </c>
      <c r="G1099" s="36" t="s">
        <v>55</v>
      </c>
      <c r="H1099" s="36" t="s">
        <v>2752</v>
      </c>
      <c r="I1099" s="36" t="s">
        <v>80</v>
      </c>
      <c r="J1099" s="36" t="str">
        <f t="shared" si="47"/>
        <v>Soil &amp; Water ConservationSoil &amp; Water Conservation EstablishmentCAsst Draftsman / Junior DraftsmanS8 (25500 - 81100)</v>
      </c>
      <c r="K1099" s="36" t="s">
        <v>163</v>
      </c>
      <c r="L1099" s="36" t="s">
        <v>225</v>
      </c>
      <c r="M1099" s="38" t="s">
        <v>2753</v>
      </c>
      <c r="N1099" s="36" t="s">
        <v>165</v>
      </c>
      <c r="O1099" s="6" t="s">
        <v>33</v>
      </c>
      <c r="P1099" s="7">
        <v>14</v>
      </c>
      <c r="Q1099" s="7" t="s">
        <v>34</v>
      </c>
      <c r="R1099" s="8"/>
      <c r="S1099" s="8"/>
      <c r="T1099" s="7" t="s">
        <v>35</v>
      </c>
      <c r="U1099" s="36" t="s">
        <v>35</v>
      </c>
      <c r="V1099" s="38" t="s">
        <v>2754</v>
      </c>
      <c r="W1099" s="36"/>
      <c r="X1099" s="36" t="s">
        <v>2755</v>
      </c>
      <c r="Y1099" s="46">
        <v>42404</v>
      </c>
      <c r="Z1099" s="41"/>
      <c r="AA1099" s="42" t="e">
        <f>_xlfn.XLOOKUP(C1099,#REF!,#REF!,"",0,1)</f>
        <v>#REF!</v>
      </c>
      <c r="AB1099" s="43">
        <f t="shared" si="48"/>
        <v>0</v>
      </c>
    </row>
    <row r="1100" spans="1:28" ht="117.5" thickBot="1" x14ac:dyDescent="0.3">
      <c r="A1100" s="36">
        <v>1099</v>
      </c>
      <c r="B1100" s="36" t="s">
        <v>24</v>
      </c>
      <c r="C1100" s="36" t="s">
        <v>183</v>
      </c>
      <c r="D1100" s="37">
        <v>40806</v>
      </c>
      <c r="E1100" s="36" t="s">
        <v>2756</v>
      </c>
      <c r="F1100" s="36" t="s">
        <v>2757</v>
      </c>
      <c r="G1100" s="36" t="s">
        <v>28</v>
      </c>
      <c r="H1100" s="36" t="s">
        <v>2758</v>
      </c>
      <c r="I1100" s="36" t="s">
        <v>38</v>
      </c>
      <c r="J1100" s="36" t="str">
        <f t="shared" si="47"/>
        <v>SportsSports (Directorate) EstablishmentAAssistant Director/ District Sports OfficerS20 (56100 - 177500)</v>
      </c>
      <c r="K1100" s="36"/>
      <c r="L1100" s="36" t="s">
        <v>243</v>
      </c>
      <c r="M1100" s="38" t="s">
        <v>2759</v>
      </c>
      <c r="N1100" s="36" t="s">
        <v>32</v>
      </c>
      <c r="O1100" s="6" t="s">
        <v>33</v>
      </c>
      <c r="P1100" s="7">
        <v>5</v>
      </c>
      <c r="Q1100" s="7" t="s">
        <v>34</v>
      </c>
      <c r="R1100" s="8"/>
      <c r="S1100" s="8"/>
      <c r="T1100" s="4" t="s">
        <v>3276</v>
      </c>
      <c r="U1100" s="36" t="s">
        <v>36</v>
      </c>
      <c r="V1100" s="38"/>
      <c r="W1100" s="36"/>
      <c r="X1100" s="36"/>
      <c r="Y1100" s="36"/>
      <c r="Z1100" s="41"/>
      <c r="AA1100" s="42" t="e">
        <f>_xlfn.XLOOKUP(C1100,#REF!,#REF!,"",0,1)</f>
        <v>#REF!</v>
      </c>
      <c r="AB1100" s="43">
        <f t="shared" si="48"/>
        <v>0</v>
      </c>
    </row>
    <row r="1101" spans="1:28" ht="104.5" thickBot="1" x14ac:dyDescent="0.3">
      <c r="A1101" s="36">
        <v>1100</v>
      </c>
      <c r="B1101" s="36" t="s">
        <v>24</v>
      </c>
      <c r="C1101" s="36" t="s">
        <v>183</v>
      </c>
      <c r="D1101" s="37">
        <v>40806</v>
      </c>
      <c r="E1101" s="36" t="s">
        <v>2756</v>
      </c>
      <c r="F1101" s="36" t="s">
        <v>2757</v>
      </c>
      <c r="G1101" s="36" t="s">
        <v>28</v>
      </c>
      <c r="H1101" s="36" t="s">
        <v>2760</v>
      </c>
      <c r="I1101" s="36" t="s">
        <v>242</v>
      </c>
      <c r="J1101" s="36" t="str">
        <f t="shared" si="47"/>
        <v>SportsSports (Directorate) EstablishmentAOfficer on Special DutyS23 (67700 - 208700)</v>
      </c>
      <c r="K1101" s="36"/>
      <c r="L1101" s="36" t="s">
        <v>238</v>
      </c>
      <c r="M1101" s="38" t="s">
        <v>1796</v>
      </c>
      <c r="N1101" s="36"/>
      <c r="O1101" s="9"/>
      <c r="P1101" s="7">
        <v>0</v>
      </c>
      <c r="Q1101" s="7" t="s">
        <v>34</v>
      </c>
      <c r="R1101" s="8"/>
      <c r="S1101" s="8"/>
      <c r="T1101" s="7" t="s">
        <v>2395</v>
      </c>
      <c r="U1101" s="36" t="s">
        <v>36</v>
      </c>
      <c r="V1101" s="38"/>
      <c r="W1101" s="36"/>
      <c r="X1101" s="36"/>
      <c r="Y1101" s="36"/>
      <c r="Z1101" s="41"/>
      <c r="AA1101" s="42" t="e">
        <f>_xlfn.XLOOKUP(C1101,#REF!,#REF!,"",0,1)</f>
        <v>#REF!</v>
      </c>
      <c r="AB1101" s="43">
        <f t="shared" si="48"/>
        <v>0</v>
      </c>
    </row>
    <row r="1102" spans="1:28" ht="117.5" thickBot="1" x14ac:dyDescent="0.3">
      <c r="A1102" s="36">
        <v>1101</v>
      </c>
      <c r="B1102" s="36" t="s">
        <v>532</v>
      </c>
      <c r="C1102" s="36" t="s">
        <v>183</v>
      </c>
      <c r="D1102" s="37">
        <v>40806</v>
      </c>
      <c r="E1102" s="36" t="s">
        <v>2756</v>
      </c>
      <c r="F1102" s="36" t="s">
        <v>2757</v>
      </c>
      <c r="G1102" s="36" t="s">
        <v>42</v>
      </c>
      <c r="H1102" s="36" t="s">
        <v>2761</v>
      </c>
      <c r="I1102" s="36" t="s">
        <v>67</v>
      </c>
      <c r="J1102" s="36" t="str">
        <f t="shared" si="47"/>
        <v>SportsSports (Directorate) EstablishmentB (Gazetted)Assistant Account OfficerS14 (38600 - 122800)</v>
      </c>
      <c r="K1102" s="36"/>
      <c r="L1102" s="36"/>
      <c r="M1102" s="38" t="s">
        <v>2762</v>
      </c>
      <c r="N1102" s="36"/>
      <c r="O1102" s="6" t="s">
        <v>33</v>
      </c>
      <c r="P1102" s="7">
        <v>0</v>
      </c>
      <c r="Q1102" s="7" t="s">
        <v>34</v>
      </c>
      <c r="R1102" s="8"/>
      <c r="S1102" s="8"/>
      <c r="T1102" s="4" t="s">
        <v>3276</v>
      </c>
      <c r="U1102" s="36" t="s">
        <v>36</v>
      </c>
      <c r="V1102" s="38"/>
      <c r="W1102" s="36"/>
      <c r="X1102" s="36"/>
      <c r="Y1102" s="36"/>
      <c r="Z1102" s="41"/>
      <c r="AA1102" s="42" t="e">
        <f>_xlfn.XLOOKUP(C1102,#REF!,#REF!,"",0,1)</f>
        <v>#REF!</v>
      </c>
      <c r="AB1102" s="43">
        <f t="shared" ref="AB1102:AB1153" si="49">IFERROR(FLOOR(P1102*AA1102,1),0)</f>
        <v>0</v>
      </c>
    </row>
    <row r="1103" spans="1:28" ht="117.5" thickBot="1" x14ac:dyDescent="0.3">
      <c r="A1103" s="36">
        <v>1102</v>
      </c>
      <c r="B1103" s="36" t="s">
        <v>24</v>
      </c>
      <c r="C1103" s="36" t="s">
        <v>183</v>
      </c>
      <c r="D1103" s="37">
        <v>40806</v>
      </c>
      <c r="E1103" s="36" t="s">
        <v>2756</v>
      </c>
      <c r="F1103" s="36" t="s">
        <v>2757</v>
      </c>
      <c r="G1103" s="36" t="s">
        <v>42</v>
      </c>
      <c r="H1103" s="36" t="s">
        <v>2763</v>
      </c>
      <c r="I1103" s="36" t="s">
        <v>44</v>
      </c>
      <c r="J1103" s="36" t="str">
        <f t="shared" si="47"/>
        <v>SportsSports (Directorate) EstablishmentB (Gazetted)Taluka Sports OfficerS15 (41800 - 132300)</v>
      </c>
      <c r="K1103" s="36"/>
      <c r="L1103" s="36" t="s">
        <v>238</v>
      </c>
      <c r="M1103" s="38" t="s">
        <v>2764</v>
      </c>
      <c r="N1103" s="36" t="s">
        <v>47</v>
      </c>
      <c r="O1103" s="9"/>
      <c r="P1103" s="7">
        <v>5</v>
      </c>
      <c r="Q1103" s="7" t="s">
        <v>34</v>
      </c>
      <c r="R1103" s="8"/>
      <c r="S1103" s="8"/>
      <c r="T1103" s="7" t="s">
        <v>35</v>
      </c>
      <c r="U1103" s="36" t="s">
        <v>36</v>
      </c>
      <c r="V1103" s="38"/>
      <c r="W1103" s="36"/>
      <c r="X1103" s="36"/>
      <c r="Y1103" s="36"/>
      <c r="Z1103" s="41"/>
      <c r="AA1103" s="42" t="e">
        <f>_xlfn.XLOOKUP(C1103,#REF!,#REF!,"",0,1)</f>
        <v>#REF!</v>
      </c>
      <c r="AB1103" s="43">
        <f t="shared" si="49"/>
        <v>0</v>
      </c>
    </row>
    <row r="1104" spans="1:28" ht="156.5" thickBot="1" x14ac:dyDescent="0.3">
      <c r="A1104" s="36">
        <v>1103</v>
      </c>
      <c r="B1104" s="36" t="s">
        <v>532</v>
      </c>
      <c r="C1104" s="36" t="s">
        <v>183</v>
      </c>
      <c r="D1104" s="37">
        <v>40806</v>
      </c>
      <c r="E1104" s="36" t="s">
        <v>2756</v>
      </c>
      <c r="F1104" s="36" t="s">
        <v>2757</v>
      </c>
      <c r="G1104" s="36" t="s">
        <v>42</v>
      </c>
      <c r="H1104" s="36" t="s">
        <v>1013</v>
      </c>
      <c r="I1104" s="36" t="s">
        <v>44</v>
      </c>
      <c r="J1104" s="36" t="str">
        <f t="shared" si="47"/>
        <v>SportsSports (Directorate) EstablishmentB (Gazetted)Account OfficerS15 (41800 - 132300)</v>
      </c>
      <c r="K1104" s="36"/>
      <c r="L1104" s="36"/>
      <c r="M1104" s="38" t="s">
        <v>2765</v>
      </c>
      <c r="N1104" s="36"/>
      <c r="O1104" s="6" t="s">
        <v>33</v>
      </c>
      <c r="P1104" s="7">
        <v>0</v>
      </c>
      <c r="Q1104" s="7" t="s">
        <v>34</v>
      </c>
      <c r="R1104" s="8"/>
      <c r="S1104" s="8"/>
      <c r="T1104" s="4" t="s">
        <v>3276</v>
      </c>
      <c r="U1104" s="36" t="s">
        <v>36</v>
      </c>
      <c r="V1104" s="38"/>
      <c r="W1104" s="36"/>
      <c r="X1104" s="36"/>
      <c r="Y1104" s="36"/>
      <c r="Z1104" s="41"/>
      <c r="AA1104" s="42" t="e">
        <f>_xlfn.XLOOKUP(C1104,#REF!,#REF!,"",0,1)</f>
        <v>#REF!</v>
      </c>
      <c r="AB1104" s="43">
        <f t="shared" si="49"/>
        <v>0</v>
      </c>
    </row>
    <row r="1105" spans="1:28" ht="234.5" thickBot="1" x14ac:dyDescent="0.3">
      <c r="A1105" s="36">
        <v>1104</v>
      </c>
      <c r="B1105" s="36" t="s">
        <v>24</v>
      </c>
      <c r="C1105" s="36" t="s">
        <v>183</v>
      </c>
      <c r="D1105" s="37">
        <v>40806</v>
      </c>
      <c r="E1105" s="36" t="s">
        <v>2756</v>
      </c>
      <c r="F1105" s="36" t="s">
        <v>2757</v>
      </c>
      <c r="G1105" s="36" t="s">
        <v>65</v>
      </c>
      <c r="H1105" s="36" t="s">
        <v>2766</v>
      </c>
      <c r="I1105" s="36" t="s">
        <v>67</v>
      </c>
      <c r="J1105" s="36" t="str">
        <f t="shared" si="47"/>
        <v>SportsSports (Directorate) EstablishmentB (Non Gazetted)Sports OfficerS14 (38600 - 122800)</v>
      </c>
      <c r="K1105" s="36" t="s">
        <v>2767</v>
      </c>
      <c r="L1105" s="36" t="s">
        <v>225</v>
      </c>
      <c r="M1105" s="38" t="s">
        <v>2768</v>
      </c>
      <c r="N1105" s="36" t="s">
        <v>41</v>
      </c>
      <c r="O1105" s="6" t="s">
        <v>33</v>
      </c>
      <c r="P1105" s="7">
        <v>36</v>
      </c>
      <c r="Q1105" s="7" t="s">
        <v>34</v>
      </c>
      <c r="R1105" s="8"/>
      <c r="S1105" s="8"/>
      <c r="T1105" s="7" t="s">
        <v>35</v>
      </c>
      <c r="U1105" s="36" t="s">
        <v>36</v>
      </c>
      <c r="V1105" s="38" t="s">
        <v>2769</v>
      </c>
      <c r="W1105" s="36"/>
      <c r="X1105" s="36" t="s">
        <v>2770</v>
      </c>
      <c r="Y1105" s="36" t="s">
        <v>2771</v>
      </c>
      <c r="Z1105" s="41"/>
      <c r="AA1105" s="42" t="e">
        <f>_xlfn.XLOOKUP(C1105,#REF!,#REF!,"",0,1)</f>
        <v>#REF!</v>
      </c>
      <c r="AB1105" s="43">
        <f t="shared" si="49"/>
        <v>0</v>
      </c>
    </row>
    <row r="1106" spans="1:28" ht="234.5" thickBot="1" x14ac:dyDescent="0.3">
      <c r="A1106" s="36">
        <v>1105</v>
      </c>
      <c r="B1106" s="36" t="s">
        <v>24</v>
      </c>
      <c r="C1106" s="36" t="s">
        <v>183</v>
      </c>
      <c r="D1106" s="37">
        <v>40806</v>
      </c>
      <c r="E1106" s="36" t="s">
        <v>2756</v>
      </c>
      <c r="F1106" s="36" t="s">
        <v>2757</v>
      </c>
      <c r="G1106" s="36" t="s">
        <v>65</v>
      </c>
      <c r="H1106" s="36" t="s">
        <v>2772</v>
      </c>
      <c r="I1106" s="36" t="s">
        <v>67</v>
      </c>
      <c r="J1106" s="36" t="str">
        <f t="shared" si="47"/>
        <v>SportsSports (Directorate) EstablishmentB (Non Gazetted)Ladies Sports OfficerS14 (38600 - 122800)</v>
      </c>
      <c r="K1106" s="36" t="s">
        <v>2767</v>
      </c>
      <c r="L1106" s="36" t="s">
        <v>225</v>
      </c>
      <c r="M1106" s="38" t="s">
        <v>2773</v>
      </c>
      <c r="N1106" s="36" t="s">
        <v>41</v>
      </c>
      <c r="O1106" s="6" t="s">
        <v>33</v>
      </c>
      <c r="P1106" s="7">
        <v>1</v>
      </c>
      <c r="Q1106" s="7" t="s">
        <v>34</v>
      </c>
      <c r="R1106" s="8"/>
      <c r="S1106" s="8"/>
      <c r="T1106" s="7" t="s">
        <v>2395</v>
      </c>
      <c r="U1106" s="36" t="s">
        <v>36</v>
      </c>
      <c r="V1106" s="38" t="s">
        <v>2769</v>
      </c>
      <c r="W1106" s="36"/>
      <c r="X1106" s="36" t="s">
        <v>2770</v>
      </c>
      <c r="Y1106" s="36" t="s">
        <v>2771</v>
      </c>
      <c r="Z1106" s="41"/>
      <c r="AA1106" s="42" t="e">
        <f>_xlfn.XLOOKUP(C1106,#REF!,#REF!,"",0,1)</f>
        <v>#REF!</v>
      </c>
      <c r="AB1106" s="43">
        <f t="shared" si="49"/>
        <v>0</v>
      </c>
    </row>
    <row r="1107" spans="1:28" ht="234.5" thickBot="1" x14ac:dyDescent="0.3">
      <c r="A1107" s="36">
        <v>1106</v>
      </c>
      <c r="B1107" s="36" t="s">
        <v>24</v>
      </c>
      <c r="C1107" s="36" t="s">
        <v>183</v>
      </c>
      <c r="D1107" s="37">
        <v>40806</v>
      </c>
      <c r="E1107" s="36" t="s">
        <v>2756</v>
      </c>
      <c r="F1107" s="36" t="s">
        <v>2757</v>
      </c>
      <c r="G1107" s="36" t="s">
        <v>65</v>
      </c>
      <c r="H1107" s="36" t="s">
        <v>2774</v>
      </c>
      <c r="I1107" s="36" t="s">
        <v>67</v>
      </c>
      <c r="J1107" s="36" t="str">
        <f t="shared" si="47"/>
        <v>SportsSports (Directorate) EstablishmentB (Non Gazetted)Sports CoachS14 (38600 - 122800)</v>
      </c>
      <c r="K1107" s="36" t="s">
        <v>2767</v>
      </c>
      <c r="L1107" s="36" t="s">
        <v>225</v>
      </c>
      <c r="M1107" s="38" t="s">
        <v>2773</v>
      </c>
      <c r="N1107" s="36" t="s">
        <v>41</v>
      </c>
      <c r="O1107" s="6" t="s">
        <v>33</v>
      </c>
      <c r="P1107" s="7">
        <v>32</v>
      </c>
      <c r="Q1107" s="7" t="s">
        <v>34</v>
      </c>
      <c r="R1107" s="8"/>
      <c r="S1107" s="8"/>
      <c r="T1107" s="7" t="s">
        <v>35</v>
      </c>
      <c r="U1107" s="36" t="s">
        <v>36</v>
      </c>
      <c r="V1107" s="38" t="s">
        <v>2775</v>
      </c>
      <c r="W1107" s="36"/>
      <c r="X1107" s="36" t="s">
        <v>2770</v>
      </c>
      <c r="Y1107" s="36" t="s">
        <v>2771</v>
      </c>
      <c r="Z1107" s="41"/>
      <c r="AA1107" s="42" t="e">
        <f>_xlfn.XLOOKUP(C1107,#REF!,#REF!,"",0,1)</f>
        <v>#REF!</v>
      </c>
      <c r="AB1107" s="43">
        <f t="shared" si="49"/>
        <v>0</v>
      </c>
    </row>
    <row r="1108" spans="1:28" ht="117.5" thickBot="1" x14ac:dyDescent="0.3">
      <c r="A1108" s="36">
        <v>1107</v>
      </c>
      <c r="B1108" s="36" t="s">
        <v>24</v>
      </c>
      <c r="C1108" s="36" t="s">
        <v>183</v>
      </c>
      <c r="D1108" s="37">
        <v>40806</v>
      </c>
      <c r="E1108" s="36" t="s">
        <v>2756</v>
      </c>
      <c r="F1108" s="36" t="s">
        <v>2757</v>
      </c>
      <c r="G1108" s="36" t="s">
        <v>65</v>
      </c>
      <c r="H1108" s="36" t="s">
        <v>2776</v>
      </c>
      <c r="I1108" s="36" t="s">
        <v>44</v>
      </c>
      <c r="J1108" s="36" t="str">
        <f t="shared" si="47"/>
        <v>SportsSports (Directorate) EstablishmentB (Non Gazetted)Stenographer (Lower)S15 (41800 - 132300)</v>
      </c>
      <c r="K1108" s="36" t="s">
        <v>68</v>
      </c>
      <c r="L1108" s="36" t="s">
        <v>231</v>
      </c>
      <c r="M1108" s="38" t="s">
        <v>2777</v>
      </c>
      <c r="N1108" s="36" t="s">
        <v>70</v>
      </c>
      <c r="O1108" s="6" t="s">
        <v>33</v>
      </c>
      <c r="P1108" s="7">
        <v>3</v>
      </c>
      <c r="Q1108" s="7" t="s">
        <v>34</v>
      </c>
      <c r="R1108" s="8"/>
      <c r="S1108" s="8"/>
      <c r="T1108" s="4" t="s">
        <v>3276</v>
      </c>
      <c r="U1108" s="36" t="s">
        <v>36</v>
      </c>
      <c r="V1108" s="38"/>
      <c r="W1108" s="36"/>
      <c r="X1108" s="36"/>
      <c r="Y1108" s="36"/>
      <c r="Z1108" s="41"/>
      <c r="AA1108" s="42" t="e">
        <f>_xlfn.XLOOKUP(C1108,#REF!,#REF!,"",0,1)</f>
        <v>#REF!</v>
      </c>
      <c r="AB1108" s="43">
        <f t="shared" si="49"/>
        <v>0</v>
      </c>
    </row>
    <row r="1109" spans="1:28" ht="117.5" thickBot="1" x14ac:dyDescent="0.3">
      <c r="A1109" s="36">
        <v>1108</v>
      </c>
      <c r="B1109" s="36" t="s">
        <v>24</v>
      </c>
      <c r="C1109" s="36" t="s">
        <v>183</v>
      </c>
      <c r="D1109" s="37">
        <v>40806</v>
      </c>
      <c r="E1109" s="36" t="s">
        <v>2756</v>
      </c>
      <c r="F1109" s="36" t="s">
        <v>2757</v>
      </c>
      <c r="G1109" s="36" t="s">
        <v>65</v>
      </c>
      <c r="H1109" s="36" t="s">
        <v>2778</v>
      </c>
      <c r="I1109" s="36" t="s">
        <v>54</v>
      </c>
      <c r="J1109" s="36" t="str">
        <f t="shared" si="47"/>
        <v>SportsSports (Directorate) EstablishmentB (Non Gazetted)Stenographer (Higher)S16 (44900 - 142400)</v>
      </c>
      <c r="K1109" s="36" t="s">
        <v>68</v>
      </c>
      <c r="L1109" s="36" t="s">
        <v>231</v>
      </c>
      <c r="M1109" s="38" t="s">
        <v>72</v>
      </c>
      <c r="N1109" s="36" t="s">
        <v>70</v>
      </c>
      <c r="O1109" s="6" t="s">
        <v>33</v>
      </c>
      <c r="P1109" s="7">
        <v>1</v>
      </c>
      <c r="Q1109" s="7" t="s">
        <v>34</v>
      </c>
      <c r="R1109" s="8"/>
      <c r="S1109" s="8"/>
      <c r="T1109" s="4" t="s">
        <v>3276</v>
      </c>
      <c r="U1109" s="36" t="s">
        <v>36</v>
      </c>
      <c r="V1109" s="38"/>
      <c r="W1109" s="36"/>
      <c r="X1109" s="36"/>
      <c r="Y1109" s="36"/>
      <c r="Z1109" s="41"/>
      <c r="AA1109" s="42" t="e">
        <f>_xlfn.XLOOKUP(C1109,#REF!,#REF!,"",0,1)</f>
        <v>#REF!</v>
      </c>
      <c r="AB1109" s="43">
        <f t="shared" si="49"/>
        <v>0</v>
      </c>
    </row>
    <row r="1110" spans="1:28" ht="91.5" thickBot="1" x14ac:dyDescent="0.3">
      <c r="A1110" s="36">
        <v>1109</v>
      </c>
      <c r="B1110" s="36" t="s">
        <v>24</v>
      </c>
      <c r="C1110" s="36" t="s">
        <v>183</v>
      </c>
      <c r="D1110" s="37">
        <v>40806</v>
      </c>
      <c r="E1110" s="36" t="s">
        <v>2756</v>
      </c>
      <c r="F1110" s="36" t="s">
        <v>2757</v>
      </c>
      <c r="G1110" s="36" t="s">
        <v>55</v>
      </c>
      <c r="H1110" s="36" t="s">
        <v>123</v>
      </c>
      <c r="I1110" s="36" t="s">
        <v>74</v>
      </c>
      <c r="J1110" s="36" t="str">
        <f t="shared" si="47"/>
        <v>SportsSports (Directorate) EstablishmentCJunior ClerkS6 (19900 - 63200)</v>
      </c>
      <c r="K1110" s="36" t="s">
        <v>75</v>
      </c>
      <c r="L1110" s="36" t="s">
        <v>228</v>
      </c>
      <c r="M1110" s="38" t="s">
        <v>124</v>
      </c>
      <c r="N1110" s="36" t="s">
        <v>70</v>
      </c>
      <c r="O1110" s="6" t="s">
        <v>33</v>
      </c>
      <c r="P1110" s="7">
        <v>15</v>
      </c>
      <c r="Q1110" s="7" t="s">
        <v>34</v>
      </c>
      <c r="R1110" s="8"/>
      <c r="S1110" s="8"/>
      <c r="T1110" s="7" t="s">
        <v>35</v>
      </c>
      <c r="U1110" s="36" t="s">
        <v>36</v>
      </c>
      <c r="V1110" s="38" t="s">
        <v>125</v>
      </c>
      <c r="W1110" s="36"/>
      <c r="X1110" s="36" t="s">
        <v>77</v>
      </c>
      <c r="Y1110" s="36" t="s">
        <v>78</v>
      </c>
      <c r="Z1110" s="41"/>
      <c r="AA1110" s="42" t="e">
        <f>_xlfn.XLOOKUP(C1110,#REF!,#REF!,"",0,1)</f>
        <v>#REF!</v>
      </c>
      <c r="AB1110" s="43">
        <f t="shared" si="49"/>
        <v>0</v>
      </c>
    </row>
    <row r="1111" spans="1:28" ht="78.5" thickBot="1" x14ac:dyDescent="0.3">
      <c r="A1111" s="36">
        <v>1110</v>
      </c>
      <c r="B1111" s="36" t="s">
        <v>24</v>
      </c>
      <c r="C1111" s="36" t="s">
        <v>183</v>
      </c>
      <c r="D1111" s="37">
        <v>40806</v>
      </c>
      <c r="E1111" s="36" t="s">
        <v>2756</v>
      </c>
      <c r="F1111" s="36" t="s">
        <v>2757</v>
      </c>
      <c r="G1111" s="36" t="s">
        <v>55</v>
      </c>
      <c r="H1111" s="36" t="s">
        <v>68</v>
      </c>
      <c r="I1111" s="36" t="s">
        <v>80</v>
      </c>
      <c r="J1111" s="36" t="str">
        <f t="shared" si="47"/>
        <v>SportsSports (Directorate) EstablishmentCStenographerS8 (25500 - 81100)</v>
      </c>
      <c r="K1111" s="36" t="s">
        <v>68</v>
      </c>
      <c r="L1111" s="36" t="s">
        <v>231</v>
      </c>
      <c r="M1111" s="38" t="s">
        <v>2779</v>
      </c>
      <c r="N1111" s="36" t="s">
        <v>70</v>
      </c>
      <c r="O1111" s="6" t="s">
        <v>33</v>
      </c>
      <c r="P1111" s="7">
        <v>1</v>
      </c>
      <c r="Q1111" s="7" t="s">
        <v>34</v>
      </c>
      <c r="R1111" s="8"/>
      <c r="S1111" s="8"/>
      <c r="T1111" s="4" t="s">
        <v>3276</v>
      </c>
      <c r="U1111" s="36" t="s">
        <v>36</v>
      </c>
      <c r="V1111" s="38"/>
      <c r="W1111" s="36"/>
      <c r="X1111" s="36"/>
      <c r="Y1111" s="36"/>
      <c r="Z1111" s="41"/>
      <c r="AA1111" s="42" t="e">
        <f>_xlfn.XLOOKUP(C1111,#REF!,#REF!,"",0,1)</f>
        <v>#REF!</v>
      </c>
      <c r="AB1111" s="43">
        <f t="shared" si="49"/>
        <v>0</v>
      </c>
    </row>
    <row r="1112" spans="1:28" ht="91.5" thickBot="1" x14ac:dyDescent="0.3">
      <c r="A1112" s="36">
        <v>1111</v>
      </c>
      <c r="B1112" s="36" t="s">
        <v>24</v>
      </c>
      <c r="C1112" s="36" t="s">
        <v>183</v>
      </c>
      <c r="D1112" s="37">
        <v>40806</v>
      </c>
      <c r="E1112" s="36" t="s">
        <v>2756</v>
      </c>
      <c r="F1112" s="36" t="s">
        <v>2780</v>
      </c>
      <c r="G1112" s="36" t="s">
        <v>28</v>
      </c>
      <c r="H1112" s="36" t="s">
        <v>2781</v>
      </c>
      <c r="I1112" s="36" t="s">
        <v>38</v>
      </c>
      <c r="J1112" s="36" t="str">
        <f t="shared" si="47"/>
        <v>SportsSports EstablishmentAChief Sports Executive OfficerS20 (56100 - 177500)</v>
      </c>
      <c r="K1112" s="36"/>
      <c r="L1112" s="36" t="s">
        <v>238</v>
      </c>
      <c r="M1112" s="38" t="s">
        <v>2782</v>
      </c>
      <c r="N1112" s="36"/>
      <c r="O1112" s="9"/>
      <c r="P1112" s="7">
        <v>8</v>
      </c>
      <c r="Q1112" s="7" t="s">
        <v>34</v>
      </c>
      <c r="R1112" s="8"/>
      <c r="S1112" s="7" t="s">
        <v>2783</v>
      </c>
      <c r="T1112" s="7" t="s">
        <v>35</v>
      </c>
      <c r="U1112" s="36" t="s">
        <v>36</v>
      </c>
      <c r="V1112" s="38"/>
      <c r="W1112" s="36"/>
      <c r="X1112" s="36"/>
      <c r="Y1112" s="36"/>
      <c r="Z1112" s="41"/>
      <c r="AA1112" s="42" t="e">
        <f>_xlfn.XLOOKUP(C1112,#REF!,#REF!,"",0,1)</f>
        <v>#REF!</v>
      </c>
      <c r="AB1112" s="43">
        <f t="shared" si="49"/>
        <v>0</v>
      </c>
    </row>
    <row r="1113" spans="1:28" ht="104.5" thickBot="1" x14ac:dyDescent="0.3">
      <c r="A1113" s="36">
        <v>1112</v>
      </c>
      <c r="B1113" s="36" t="s">
        <v>24</v>
      </c>
      <c r="C1113" s="36" t="s">
        <v>183</v>
      </c>
      <c r="D1113" s="37">
        <v>40806</v>
      </c>
      <c r="E1113" s="36" t="s">
        <v>2756</v>
      </c>
      <c r="F1113" s="36" t="s">
        <v>2780</v>
      </c>
      <c r="G1113" s="36" t="s">
        <v>42</v>
      </c>
      <c r="H1113" s="36" t="s">
        <v>2784</v>
      </c>
      <c r="I1113" s="36" t="s">
        <v>372</v>
      </c>
      <c r="J1113" s="36" t="str">
        <f t="shared" si="47"/>
        <v>SportsSports EstablishmentB (Gazetted)Sports Executive OfficerS17 (47600 - 151100)</v>
      </c>
      <c r="K1113" s="36"/>
      <c r="L1113" s="36" t="s">
        <v>238</v>
      </c>
      <c r="M1113" s="38" t="s">
        <v>2782</v>
      </c>
      <c r="N1113" s="36"/>
      <c r="O1113" s="9"/>
      <c r="P1113" s="7">
        <v>1</v>
      </c>
      <c r="Q1113" s="7" t="s">
        <v>34</v>
      </c>
      <c r="R1113" s="8"/>
      <c r="S1113" s="7" t="s">
        <v>2785</v>
      </c>
      <c r="T1113" s="7" t="s">
        <v>2395</v>
      </c>
      <c r="U1113" s="36" t="s">
        <v>36</v>
      </c>
      <c r="V1113" s="38"/>
      <c r="W1113" s="36"/>
      <c r="X1113" s="36"/>
      <c r="Y1113" s="36"/>
      <c r="Z1113" s="41"/>
      <c r="AA1113" s="42" t="e">
        <f>_xlfn.XLOOKUP(C1113,#REF!,#REF!,"",0,1)</f>
        <v>#REF!</v>
      </c>
      <c r="AB1113" s="43">
        <f t="shared" si="49"/>
        <v>0</v>
      </c>
    </row>
    <row r="1114" spans="1:28" ht="91.5" thickBot="1" x14ac:dyDescent="0.3">
      <c r="A1114" s="36">
        <v>1113</v>
      </c>
      <c r="B1114" s="36" t="s">
        <v>24</v>
      </c>
      <c r="C1114" s="36" t="s">
        <v>183</v>
      </c>
      <c r="D1114" s="37">
        <v>40806</v>
      </c>
      <c r="E1114" s="36" t="s">
        <v>2756</v>
      </c>
      <c r="F1114" s="36" t="s">
        <v>2780</v>
      </c>
      <c r="G1114" s="36" t="s">
        <v>55</v>
      </c>
      <c r="H1114" s="36" t="s">
        <v>2786</v>
      </c>
      <c r="I1114" s="36" t="s">
        <v>276</v>
      </c>
      <c r="J1114" s="36" t="str">
        <f t="shared" si="47"/>
        <v>SportsSports EstablishmentCAssistant Sports Development OfficerS10 (29200 - 92300)</v>
      </c>
      <c r="K1114" s="36"/>
      <c r="L1114" s="36" t="s">
        <v>238</v>
      </c>
      <c r="M1114" s="38" t="s">
        <v>2782</v>
      </c>
      <c r="N1114" s="36" t="s">
        <v>283</v>
      </c>
      <c r="O1114" s="6" t="s">
        <v>33</v>
      </c>
      <c r="P1114" s="7">
        <v>12</v>
      </c>
      <c r="Q1114" s="7" t="s">
        <v>34</v>
      </c>
      <c r="R1114" s="8"/>
      <c r="S1114" s="7" t="s">
        <v>2787</v>
      </c>
      <c r="T1114" s="7" t="s">
        <v>35</v>
      </c>
      <c r="U1114" s="36" t="s">
        <v>36</v>
      </c>
      <c r="V1114" s="38"/>
      <c r="W1114" s="36"/>
      <c r="X1114" s="36"/>
      <c r="Y1114" s="36"/>
      <c r="Z1114" s="41"/>
      <c r="AA1114" s="42" t="e">
        <f>_xlfn.XLOOKUP(C1114,#REF!,#REF!,"",0,1)</f>
        <v>#REF!</v>
      </c>
      <c r="AB1114" s="43">
        <f t="shared" si="49"/>
        <v>0</v>
      </c>
    </row>
    <row r="1115" spans="1:28" ht="104.5" thickBot="1" x14ac:dyDescent="0.3">
      <c r="A1115" s="36">
        <v>1114</v>
      </c>
      <c r="B1115" s="36" t="s">
        <v>24</v>
      </c>
      <c r="C1115" s="36" t="s">
        <v>263</v>
      </c>
      <c r="D1115" s="37">
        <v>44629</v>
      </c>
      <c r="E1115" s="36" t="s">
        <v>2788</v>
      </c>
      <c r="F1115" s="36" t="s">
        <v>2789</v>
      </c>
      <c r="G1115" s="36" t="s">
        <v>28</v>
      </c>
      <c r="H1115" s="36" t="s">
        <v>344</v>
      </c>
      <c r="I1115" s="36" t="s">
        <v>372</v>
      </c>
      <c r="J1115" s="36" t="str">
        <f t="shared" si="47"/>
        <v>TextileSericulture EstablishmentAAssistant DirectorS17 (47600 - 151100)</v>
      </c>
      <c r="K1115" s="36"/>
      <c r="L1115" s="36" t="s">
        <v>243</v>
      </c>
      <c r="M1115" s="38" t="s">
        <v>2790</v>
      </c>
      <c r="N1115" s="36" t="s">
        <v>32</v>
      </c>
      <c r="O1115" s="6" t="s">
        <v>33</v>
      </c>
      <c r="P1115" s="7">
        <v>0</v>
      </c>
      <c r="Q1115" s="7" t="s">
        <v>34</v>
      </c>
      <c r="R1115" s="8"/>
      <c r="S1115" s="8"/>
      <c r="T1115" s="4" t="s">
        <v>3276</v>
      </c>
      <c r="U1115" s="36" t="s">
        <v>35</v>
      </c>
      <c r="V1115" s="38"/>
      <c r="W1115" s="36"/>
      <c r="X1115" s="36"/>
      <c r="Y1115" s="36"/>
      <c r="Z1115" s="41"/>
      <c r="AA1115" s="42" t="e">
        <f>_xlfn.XLOOKUP(C1115,#REF!,#REF!,"",0,1)</f>
        <v>#REF!</v>
      </c>
      <c r="AB1115" s="43">
        <f t="shared" si="49"/>
        <v>0</v>
      </c>
    </row>
    <row r="1116" spans="1:28" ht="130.5" thickBot="1" x14ac:dyDescent="0.3">
      <c r="A1116" s="36">
        <v>1115</v>
      </c>
      <c r="B1116" s="36" t="s">
        <v>24</v>
      </c>
      <c r="C1116" s="36" t="s">
        <v>263</v>
      </c>
      <c r="D1116" s="37">
        <v>44629</v>
      </c>
      <c r="E1116" s="36" t="s">
        <v>2788</v>
      </c>
      <c r="F1116" s="36" t="s">
        <v>2789</v>
      </c>
      <c r="G1116" s="36" t="s">
        <v>42</v>
      </c>
      <c r="H1116" s="36" t="s">
        <v>2791</v>
      </c>
      <c r="I1116" s="36" t="s">
        <v>54</v>
      </c>
      <c r="J1116" s="36" t="str">
        <f t="shared" si="47"/>
        <v>TextileSericulture EstablishmentB (Gazetted)Sericulture Development Officer Gr 1S16 (44900 - 142400)</v>
      </c>
      <c r="K1116" s="36" t="s">
        <v>39</v>
      </c>
      <c r="L1116" s="36" t="s">
        <v>247</v>
      </c>
      <c r="M1116" s="38" t="s">
        <v>2792</v>
      </c>
      <c r="N1116" s="36" t="s">
        <v>60</v>
      </c>
      <c r="O1116" s="6" t="s">
        <v>33</v>
      </c>
      <c r="P1116" s="7">
        <v>1</v>
      </c>
      <c r="Q1116" s="7" t="s">
        <v>34</v>
      </c>
      <c r="R1116" s="8"/>
      <c r="S1116" s="8"/>
      <c r="T1116" s="7" t="s">
        <v>2395</v>
      </c>
      <c r="U1116" s="36" t="s">
        <v>35</v>
      </c>
      <c r="V1116" s="38"/>
      <c r="W1116" s="36"/>
      <c r="X1116" s="36"/>
      <c r="Y1116" s="36"/>
      <c r="Z1116" s="41"/>
      <c r="AA1116" s="42" t="e">
        <f>_xlfn.XLOOKUP(C1116,#REF!,#REF!,"",0,1)</f>
        <v>#REF!</v>
      </c>
      <c r="AB1116" s="43">
        <f t="shared" si="49"/>
        <v>0</v>
      </c>
    </row>
    <row r="1117" spans="1:28" ht="143.5" thickBot="1" x14ac:dyDescent="0.3">
      <c r="A1117" s="36">
        <v>1116</v>
      </c>
      <c r="B1117" s="36" t="s">
        <v>24</v>
      </c>
      <c r="C1117" s="36" t="s">
        <v>263</v>
      </c>
      <c r="D1117" s="37">
        <v>44629</v>
      </c>
      <c r="E1117" s="36" t="s">
        <v>2788</v>
      </c>
      <c r="F1117" s="36" t="s">
        <v>2789</v>
      </c>
      <c r="G1117" s="36" t="s">
        <v>65</v>
      </c>
      <c r="H1117" s="36" t="s">
        <v>2793</v>
      </c>
      <c r="I1117" s="36" t="s">
        <v>44</v>
      </c>
      <c r="J1117" s="36" t="str">
        <f t="shared" si="47"/>
        <v>TextileSericulture EstablishmentB (Non Gazetted)Sericulture Development Officer Grade2S15 (41800 - 132300)</v>
      </c>
      <c r="K1117" s="36" t="s">
        <v>2794</v>
      </c>
      <c r="L1117" s="36" t="s">
        <v>225</v>
      </c>
      <c r="M1117" s="38" t="s">
        <v>2795</v>
      </c>
      <c r="N1117" s="36" t="s">
        <v>60</v>
      </c>
      <c r="O1117" s="6" t="s">
        <v>33</v>
      </c>
      <c r="P1117" s="7">
        <v>4</v>
      </c>
      <c r="Q1117" s="7" t="s">
        <v>100</v>
      </c>
      <c r="R1117" s="7">
        <v>4</v>
      </c>
      <c r="S1117" s="7" t="s">
        <v>2796</v>
      </c>
      <c r="T1117" s="7" t="s">
        <v>61</v>
      </c>
      <c r="U1117" s="36" t="s">
        <v>35</v>
      </c>
      <c r="V1117" s="38" t="s">
        <v>2797</v>
      </c>
      <c r="W1117" s="36"/>
      <c r="X1117" s="36" t="s">
        <v>2798</v>
      </c>
      <c r="Y1117" s="46">
        <v>41735</v>
      </c>
      <c r="Z1117" s="41"/>
      <c r="AA1117" s="42" t="e">
        <f>_xlfn.XLOOKUP(C1117,#REF!,#REF!,"",0,1)</f>
        <v>#REF!</v>
      </c>
      <c r="AB1117" s="43">
        <f t="shared" si="49"/>
        <v>0</v>
      </c>
    </row>
    <row r="1118" spans="1:28" ht="78.5" thickBot="1" x14ac:dyDescent="0.3">
      <c r="A1118" s="36">
        <v>1117</v>
      </c>
      <c r="B1118" s="36" t="s">
        <v>24</v>
      </c>
      <c r="C1118" s="36" t="s">
        <v>263</v>
      </c>
      <c r="D1118" s="37">
        <v>44629</v>
      </c>
      <c r="E1118" s="36" t="s">
        <v>2788</v>
      </c>
      <c r="F1118" s="36" t="s">
        <v>2789</v>
      </c>
      <c r="G1118" s="36" t="s">
        <v>55</v>
      </c>
      <c r="H1118" s="36" t="s">
        <v>2799</v>
      </c>
      <c r="I1118" s="36" t="s">
        <v>2800</v>
      </c>
      <c r="J1118" s="36" t="str">
        <f t="shared" si="47"/>
        <v>TextileSericulture EstablishmentCSr.Technical AssistantS11 (30100 - 95100)</v>
      </c>
      <c r="K1118" s="36" t="s">
        <v>2794</v>
      </c>
      <c r="L1118" s="36" t="s">
        <v>225</v>
      </c>
      <c r="M1118" s="38" t="s">
        <v>2801</v>
      </c>
      <c r="N1118" s="36" t="s">
        <v>41</v>
      </c>
      <c r="O1118" s="6" t="s">
        <v>33</v>
      </c>
      <c r="P1118" s="7">
        <v>27</v>
      </c>
      <c r="Q1118" s="7" t="s">
        <v>100</v>
      </c>
      <c r="R1118" s="7">
        <v>27</v>
      </c>
      <c r="S1118" s="7" t="s">
        <v>2796</v>
      </c>
      <c r="T1118" s="7" t="s">
        <v>61</v>
      </c>
      <c r="U1118" s="36" t="s">
        <v>35</v>
      </c>
      <c r="V1118" s="38" t="s">
        <v>2802</v>
      </c>
      <c r="W1118" s="36"/>
      <c r="X1118" s="36" t="s">
        <v>2803</v>
      </c>
      <c r="Y1118" s="36" t="s">
        <v>2804</v>
      </c>
      <c r="Z1118" s="41"/>
      <c r="AA1118" s="42" t="e">
        <f>_xlfn.XLOOKUP(C1118,#REF!,#REF!,"",0,1)</f>
        <v>#REF!</v>
      </c>
      <c r="AB1118" s="43">
        <f t="shared" si="49"/>
        <v>0</v>
      </c>
    </row>
    <row r="1119" spans="1:28" ht="78.5" thickBot="1" x14ac:dyDescent="0.3">
      <c r="A1119" s="36">
        <v>1118</v>
      </c>
      <c r="B1119" s="36" t="s">
        <v>24</v>
      </c>
      <c r="C1119" s="36" t="s">
        <v>263</v>
      </c>
      <c r="D1119" s="37">
        <v>44629</v>
      </c>
      <c r="E1119" s="36" t="s">
        <v>2788</v>
      </c>
      <c r="F1119" s="36" t="s">
        <v>2789</v>
      </c>
      <c r="G1119" s="36" t="s">
        <v>55</v>
      </c>
      <c r="H1119" s="36" t="s">
        <v>2805</v>
      </c>
      <c r="I1119" s="36" t="s">
        <v>281</v>
      </c>
      <c r="J1119" s="36" t="str">
        <f t="shared" si="47"/>
        <v>TextileSericulture EstablishmentCRearing OperativeS5 (18000 56900)</v>
      </c>
      <c r="K1119" s="36"/>
      <c r="L1119" s="36" t="s">
        <v>238</v>
      </c>
      <c r="M1119" s="38" t="s">
        <v>2806</v>
      </c>
      <c r="N1119" s="36" t="s">
        <v>283</v>
      </c>
      <c r="O1119" s="6" t="s">
        <v>33</v>
      </c>
      <c r="P1119" s="7">
        <v>3</v>
      </c>
      <c r="Q1119" s="7" t="s">
        <v>100</v>
      </c>
      <c r="R1119" s="7">
        <v>3</v>
      </c>
      <c r="S1119" s="7" t="s">
        <v>2796</v>
      </c>
      <c r="T1119" s="7" t="s">
        <v>61</v>
      </c>
      <c r="U1119" s="36" t="s">
        <v>35</v>
      </c>
      <c r="V1119" s="38"/>
      <c r="W1119" s="36"/>
      <c r="X1119" s="36"/>
      <c r="Y1119" s="36"/>
      <c r="Z1119" s="41"/>
      <c r="AA1119" s="42" t="e">
        <f>_xlfn.XLOOKUP(C1119,#REF!,#REF!,"",0,1)</f>
        <v>#REF!</v>
      </c>
      <c r="AB1119" s="43">
        <f t="shared" si="49"/>
        <v>0</v>
      </c>
    </row>
    <row r="1120" spans="1:28" ht="91.5" thickBot="1" x14ac:dyDescent="0.3">
      <c r="A1120" s="36">
        <v>1119</v>
      </c>
      <c r="B1120" s="36" t="s">
        <v>24</v>
      </c>
      <c r="C1120" s="36" t="s">
        <v>263</v>
      </c>
      <c r="D1120" s="37">
        <v>44629</v>
      </c>
      <c r="E1120" s="36" t="s">
        <v>2788</v>
      </c>
      <c r="F1120" s="36" t="s">
        <v>2789</v>
      </c>
      <c r="G1120" s="36" t="s">
        <v>55</v>
      </c>
      <c r="H1120" s="36" t="s">
        <v>1597</v>
      </c>
      <c r="I1120" s="36" t="s">
        <v>74</v>
      </c>
      <c r="J1120" s="36" t="str">
        <f t="shared" si="47"/>
        <v>TextileSericulture EstablishmentCClerk cum TypistS6 (19900 - 63200)</v>
      </c>
      <c r="K1120" s="36" t="s">
        <v>75</v>
      </c>
      <c r="L1120" s="36" t="s">
        <v>228</v>
      </c>
      <c r="M1120" s="38" t="s">
        <v>2807</v>
      </c>
      <c r="N1120" s="36" t="s">
        <v>70</v>
      </c>
      <c r="O1120" s="6" t="s">
        <v>33</v>
      </c>
      <c r="P1120" s="7">
        <v>3</v>
      </c>
      <c r="Q1120" s="7" t="s">
        <v>100</v>
      </c>
      <c r="R1120" s="7">
        <v>3</v>
      </c>
      <c r="S1120" s="7" t="s">
        <v>2796</v>
      </c>
      <c r="T1120" s="7" t="s">
        <v>61</v>
      </c>
      <c r="U1120" s="36" t="s">
        <v>35</v>
      </c>
      <c r="V1120" s="38" t="s">
        <v>125</v>
      </c>
      <c r="W1120" s="36"/>
      <c r="X1120" s="36" t="s">
        <v>77</v>
      </c>
      <c r="Y1120" s="36" t="s">
        <v>78</v>
      </c>
      <c r="Z1120" s="41"/>
      <c r="AA1120" s="42" t="e">
        <f>_xlfn.XLOOKUP(C1120,#REF!,#REF!,"",0,1)</f>
        <v>#REF!</v>
      </c>
      <c r="AB1120" s="43">
        <f t="shared" si="49"/>
        <v>0</v>
      </c>
    </row>
    <row r="1121" spans="1:28" ht="91.5" thickBot="1" x14ac:dyDescent="0.3">
      <c r="A1121" s="36">
        <v>1120</v>
      </c>
      <c r="B1121" s="36" t="s">
        <v>24</v>
      </c>
      <c r="C1121" s="36" t="s">
        <v>263</v>
      </c>
      <c r="D1121" s="37">
        <v>44629</v>
      </c>
      <c r="E1121" s="36" t="s">
        <v>2788</v>
      </c>
      <c r="F1121" s="36" t="s">
        <v>2789</v>
      </c>
      <c r="G1121" s="36" t="s">
        <v>55</v>
      </c>
      <c r="H1121" s="36" t="s">
        <v>2808</v>
      </c>
      <c r="I1121" s="36" t="s">
        <v>169</v>
      </c>
      <c r="J1121" s="36" t="str">
        <f t="shared" si="47"/>
        <v>TextileSericulture EstablishmentCField Asst.S7 (21700 - 69100)</v>
      </c>
      <c r="K1121" s="36" t="s">
        <v>620</v>
      </c>
      <c r="L1121" s="36" t="s">
        <v>225</v>
      </c>
      <c r="M1121" s="38" t="s">
        <v>2809</v>
      </c>
      <c r="N1121" s="36" t="s">
        <v>622</v>
      </c>
      <c r="O1121" s="6" t="s">
        <v>33</v>
      </c>
      <c r="P1121" s="7">
        <v>67</v>
      </c>
      <c r="Q1121" s="7" t="s">
        <v>100</v>
      </c>
      <c r="R1121" s="7">
        <v>67</v>
      </c>
      <c r="S1121" s="7" t="s">
        <v>2796</v>
      </c>
      <c r="T1121" s="7" t="s">
        <v>61</v>
      </c>
      <c r="U1121" s="36" t="s">
        <v>35</v>
      </c>
      <c r="V1121" s="38" t="s">
        <v>2810</v>
      </c>
      <c r="W1121" s="36"/>
      <c r="X1121" s="36" t="s">
        <v>2803</v>
      </c>
      <c r="Y1121" s="36" t="s">
        <v>2804</v>
      </c>
      <c r="Z1121" s="41"/>
      <c r="AA1121" s="42" t="e">
        <f>_xlfn.XLOOKUP(C1121,#REF!,#REF!,"",0,1)</f>
        <v>#REF!</v>
      </c>
      <c r="AB1121" s="43">
        <f t="shared" si="49"/>
        <v>0</v>
      </c>
    </row>
    <row r="1122" spans="1:28" ht="65.5" thickBot="1" x14ac:dyDescent="0.3">
      <c r="A1122" s="36">
        <v>1121</v>
      </c>
      <c r="B1122" s="36" t="s">
        <v>24</v>
      </c>
      <c r="C1122" s="36" t="s">
        <v>263</v>
      </c>
      <c r="D1122" s="37">
        <v>44629</v>
      </c>
      <c r="E1122" s="36" t="s">
        <v>2788</v>
      </c>
      <c r="F1122" s="36" t="s">
        <v>2789</v>
      </c>
      <c r="G1122" s="36" t="s">
        <v>55</v>
      </c>
      <c r="H1122" s="36" t="s">
        <v>2811</v>
      </c>
      <c r="I1122" s="36" t="s">
        <v>80</v>
      </c>
      <c r="J1122" s="36" t="str">
        <f t="shared" si="47"/>
        <v>TextileSericulture EstablishmentCSr.AssistantS8 (25500 - 81100)</v>
      </c>
      <c r="K1122" s="36" t="s">
        <v>221</v>
      </c>
      <c r="L1122" s="36" t="s">
        <v>228</v>
      </c>
      <c r="M1122" s="38" t="s">
        <v>2812</v>
      </c>
      <c r="N1122" s="36" t="s">
        <v>41</v>
      </c>
      <c r="O1122" s="6" t="s">
        <v>33</v>
      </c>
      <c r="P1122" s="7">
        <v>3</v>
      </c>
      <c r="Q1122" s="7" t="s">
        <v>100</v>
      </c>
      <c r="R1122" s="7">
        <v>3</v>
      </c>
      <c r="S1122" s="7" t="s">
        <v>2796</v>
      </c>
      <c r="T1122" s="7" t="s">
        <v>61</v>
      </c>
      <c r="U1122" s="36" t="s">
        <v>35</v>
      </c>
      <c r="V1122" s="38" t="s">
        <v>2813</v>
      </c>
      <c r="W1122" s="36"/>
      <c r="X1122" s="36" t="s">
        <v>2814</v>
      </c>
      <c r="Y1122" s="36" t="s">
        <v>2815</v>
      </c>
      <c r="Z1122" s="41"/>
      <c r="AA1122" s="42" t="e">
        <f>_xlfn.XLOOKUP(C1122,#REF!,#REF!,"",0,1)</f>
        <v>#REF!</v>
      </c>
      <c r="AB1122" s="43">
        <f t="shared" si="49"/>
        <v>0</v>
      </c>
    </row>
    <row r="1123" spans="1:28" ht="91.5" thickBot="1" x14ac:dyDescent="0.3">
      <c r="A1123" s="36">
        <v>1122</v>
      </c>
      <c r="B1123" s="36" t="s">
        <v>24</v>
      </c>
      <c r="C1123" s="36" t="s">
        <v>263</v>
      </c>
      <c r="D1123" s="37">
        <v>44629</v>
      </c>
      <c r="E1123" s="36" t="s">
        <v>2788</v>
      </c>
      <c r="F1123" s="36" t="s">
        <v>2789</v>
      </c>
      <c r="G1123" s="36" t="s">
        <v>55</v>
      </c>
      <c r="H1123" s="36" t="s">
        <v>1069</v>
      </c>
      <c r="I1123" s="36" t="s">
        <v>80</v>
      </c>
      <c r="J1123" s="36" t="str">
        <f t="shared" si="47"/>
        <v>TextileSericulture EstablishmentCDemonstratorS8 (25500 - 81100)</v>
      </c>
      <c r="K1123" s="36" t="s">
        <v>620</v>
      </c>
      <c r="L1123" s="36" t="s">
        <v>225</v>
      </c>
      <c r="M1123" s="38" t="s">
        <v>2816</v>
      </c>
      <c r="N1123" s="36" t="s">
        <v>2817</v>
      </c>
      <c r="O1123" s="6" t="s">
        <v>33</v>
      </c>
      <c r="P1123" s="7">
        <v>14</v>
      </c>
      <c r="Q1123" s="7" t="s">
        <v>100</v>
      </c>
      <c r="R1123" s="7">
        <v>14</v>
      </c>
      <c r="S1123" s="7" t="s">
        <v>2796</v>
      </c>
      <c r="T1123" s="7" t="s">
        <v>61</v>
      </c>
      <c r="U1123" s="36" t="s">
        <v>35</v>
      </c>
      <c r="V1123" s="38" t="s">
        <v>2818</v>
      </c>
      <c r="W1123" s="36"/>
      <c r="X1123" s="36" t="s">
        <v>2803</v>
      </c>
      <c r="Y1123" s="36" t="s">
        <v>2804</v>
      </c>
      <c r="Z1123" s="41"/>
      <c r="AA1123" s="42" t="e">
        <f>_xlfn.XLOOKUP(C1123,#REF!,#REF!,"",0,1)</f>
        <v>#REF!</v>
      </c>
      <c r="AB1123" s="43">
        <f t="shared" si="49"/>
        <v>0</v>
      </c>
    </row>
    <row r="1124" spans="1:28" ht="78.5" thickBot="1" x14ac:dyDescent="0.3">
      <c r="A1124" s="36">
        <v>1123</v>
      </c>
      <c r="B1124" s="36" t="s">
        <v>24</v>
      </c>
      <c r="C1124" s="36" t="s">
        <v>263</v>
      </c>
      <c r="D1124" s="37">
        <v>44629</v>
      </c>
      <c r="E1124" s="36" t="s">
        <v>2788</v>
      </c>
      <c r="F1124" s="36" t="s">
        <v>2789</v>
      </c>
      <c r="G1124" s="36" t="s">
        <v>55</v>
      </c>
      <c r="H1124" s="36" t="s">
        <v>2819</v>
      </c>
      <c r="I1124" s="36" t="s">
        <v>619</v>
      </c>
      <c r="J1124" s="36" t="str">
        <f t="shared" si="47"/>
        <v>TextileSericulture EstablishmentCSr.Field cum Lab Asst.S9 (26400 - 83600)</v>
      </c>
      <c r="K1124" s="36" t="s">
        <v>377</v>
      </c>
      <c r="L1124" s="36" t="s">
        <v>225</v>
      </c>
      <c r="M1124" s="38" t="s">
        <v>2801</v>
      </c>
      <c r="N1124" s="36" t="s">
        <v>379</v>
      </c>
      <c r="O1124" s="6" t="s">
        <v>33</v>
      </c>
      <c r="P1124" s="7">
        <v>10</v>
      </c>
      <c r="Q1124" s="7" t="s">
        <v>100</v>
      </c>
      <c r="R1124" s="7">
        <v>10</v>
      </c>
      <c r="S1124" s="7" t="s">
        <v>2796</v>
      </c>
      <c r="T1124" s="7" t="s">
        <v>61</v>
      </c>
      <c r="U1124" s="36" t="s">
        <v>35</v>
      </c>
      <c r="V1124" s="38" t="s">
        <v>2820</v>
      </c>
      <c r="W1124" s="36"/>
      <c r="X1124" s="36" t="s">
        <v>2803</v>
      </c>
      <c r="Y1124" s="36" t="s">
        <v>2804</v>
      </c>
      <c r="Z1124" s="41"/>
      <c r="AA1124" s="42" t="e">
        <f>_xlfn.XLOOKUP(C1124,#REF!,#REF!,"",0,1)</f>
        <v>#REF!</v>
      </c>
      <c r="AB1124" s="43">
        <f t="shared" si="49"/>
        <v>0</v>
      </c>
    </row>
    <row r="1125" spans="1:28" ht="117.5" thickBot="1" x14ac:dyDescent="0.3">
      <c r="A1125" s="36">
        <v>1124</v>
      </c>
      <c r="B1125" s="36" t="s">
        <v>24</v>
      </c>
      <c r="C1125" s="36" t="s">
        <v>183</v>
      </c>
      <c r="D1125" s="37">
        <v>40668</v>
      </c>
      <c r="E1125" s="36" t="s">
        <v>2788</v>
      </c>
      <c r="F1125" s="36" t="s">
        <v>2821</v>
      </c>
      <c r="G1125" s="36" t="s">
        <v>42</v>
      </c>
      <c r="H1125" s="36" t="s">
        <v>2822</v>
      </c>
      <c r="I1125" s="36" t="s">
        <v>44</v>
      </c>
      <c r="J1125" s="36" t="str">
        <f t="shared" si="47"/>
        <v>TextileTextile EstablishmentB (Gazetted)Assistant Commissioner (Technical)S15 (41800 - 132300)</v>
      </c>
      <c r="K1125" s="36" t="s">
        <v>246</v>
      </c>
      <c r="L1125" s="36" t="s">
        <v>247</v>
      </c>
      <c r="M1125" s="38" t="s">
        <v>2823</v>
      </c>
      <c r="N1125" s="36" t="s">
        <v>447</v>
      </c>
      <c r="O1125" s="6" t="s">
        <v>33</v>
      </c>
      <c r="P1125" s="7">
        <v>0</v>
      </c>
      <c r="Q1125" s="7" t="s">
        <v>34</v>
      </c>
      <c r="R1125" s="8"/>
      <c r="S1125" s="8"/>
      <c r="T1125" s="7" t="s">
        <v>2395</v>
      </c>
      <c r="U1125" s="36" t="s">
        <v>61</v>
      </c>
      <c r="V1125" s="38"/>
      <c r="W1125" s="36"/>
      <c r="X1125" s="36"/>
      <c r="Y1125" s="36"/>
      <c r="Z1125" s="41"/>
      <c r="AA1125" s="42" t="e">
        <f>_xlfn.XLOOKUP(C1125,#REF!,#REF!,"",0,1)</f>
        <v>#REF!</v>
      </c>
      <c r="AB1125" s="43">
        <f t="shared" si="49"/>
        <v>0</v>
      </c>
    </row>
    <row r="1126" spans="1:28" ht="104.5" thickBot="1" x14ac:dyDescent="0.3">
      <c r="A1126" s="36">
        <v>1125</v>
      </c>
      <c r="B1126" s="36" t="s">
        <v>24</v>
      </c>
      <c r="C1126" s="36" t="s">
        <v>183</v>
      </c>
      <c r="D1126" s="37">
        <v>40668</v>
      </c>
      <c r="E1126" s="36" t="s">
        <v>2788</v>
      </c>
      <c r="F1126" s="36" t="s">
        <v>2821</v>
      </c>
      <c r="G1126" s="36" t="s">
        <v>65</v>
      </c>
      <c r="H1126" s="36" t="s">
        <v>330</v>
      </c>
      <c r="I1126" s="36" t="s">
        <v>67</v>
      </c>
      <c r="J1126" s="36" t="str">
        <f t="shared" si="47"/>
        <v>TextileTextile EstablishmentB (Non Gazetted)Technical AssistantS14 (38600 - 122800)</v>
      </c>
      <c r="K1126" s="36" t="s">
        <v>377</v>
      </c>
      <c r="L1126" s="36" t="s">
        <v>228</v>
      </c>
      <c r="M1126" s="38" t="s">
        <v>2824</v>
      </c>
      <c r="N1126" s="36" t="s">
        <v>60</v>
      </c>
      <c r="O1126" s="6" t="s">
        <v>83</v>
      </c>
      <c r="P1126" s="7"/>
      <c r="Q1126" s="8"/>
      <c r="R1126" s="8"/>
      <c r="S1126" s="8"/>
      <c r="T1126" s="8" t="s">
        <v>35</v>
      </c>
      <c r="U1126" s="36" t="s">
        <v>61</v>
      </c>
      <c r="V1126" s="38" t="s">
        <v>2824</v>
      </c>
      <c r="W1126" s="36"/>
      <c r="X1126" s="36" t="s">
        <v>150</v>
      </c>
      <c r="Y1126" s="36" t="s">
        <v>150</v>
      </c>
      <c r="Z1126" s="41"/>
      <c r="AA1126" s="42" t="e">
        <f>_xlfn.XLOOKUP(C1126,#REF!,#REF!,"",0,1)</f>
        <v>#REF!</v>
      </c>
      <c r="AB1126" s="43">
        <f t="shared" si="49"/>
        <v>0</v>
      </c>
    </row>
    <row r="1127" spans="1:28" ht="65.5" thickBot="1" x14ac:dyDescent="0.3">
      <c r="A1127" s="36">
        <v>1126</v>
      </c>
      <c r="B1127" s="36" t="s">
        <v>24</v>
      </c>
      <c r="C1127" s="36" t="s">
        <v>183</v>
      </c>
      <c r="D1127" s="37">
        <v>40668</v>
      </c>
      <c r="E1127" s="36" t="s">
        <v>2788</v>
      </c>
      <c r="F1127" s="36" t="s">
        <v>2821</v>
      </c>
      <c r="G1127" s="36" t="s">
        <v>55</v>
      </c>
      <c r="H1127" s="36" t="s">
        <v>2825</v>
      </c>
      <c r="I1127" s="36" t="s">
        <v>276</v>
      </c>
      <c r="J1127" s="36" t="str">
        <f t="shared" si="47"/>
        <v>TextileTextile EstablishmentCJr.Industrial InspectorS10 (29200 - 92300)</v>
      </c>
      <c r="K1127" s="36"/>
      <c r="L1127" s="36" t="s">
        <v>238</v>
      </c>
      <c r="M1127" s="38" t="s">
        <v>2826</v>
      </c>
      <c r="N1127" s="36" t="s">
        <v>41</v>
      </c>
      <c r="O1127" s="9"/>
      <c r="P1127" s="7">
        <v>1</v>
      </c>
      <c r="Q1127" s="7" t="s">
        <v>100</v>
      </c>
      <c r="R1127" s="7">
        <v>1</v>
      </c>
      <c r="S1127" s="7" t="s">
        <v>2827</v>
      </c>
      <c r="T1127" s="7" t="s">
        <v>2395</v>
      </c>
      <c r="U1127" s="36" t="s">
        <v>61</v>
      </c>
      <c r="V1127" s="38"/>
      <c r="W1127" s="36"/>
      <c r="X1127" s="36"/>
      <c r="Y1127" s="36"/>
      <c r="Z1127" s="41"/>
      <c r="AA1127" s="42" t="e">
        <f>_xlfn.XLOOKUP(C1127,#REF!,#REF!,"",0,1)</f>
        <v>#REF!</v>
      </c>
      <c r="AB1127" s="43">
        <f t="shared" si="49"/>
        <v>0</v>
      </c>
    </row>
    <row r="1128" spans="1:28" ht="91.5" thickBot="1" x14ac:dyDescent="0.3">
      <c r="A1128" s="36">
        <v>1127</v>
      </c>
      <c r="B1128" s="36" t="s">
        <v>24</v>
      </c>
      <c r="C1128" s="36" t="s">
        <v>183</v>
      </c>
      <c r="D1128" s="37">
        <v>40668</v>
      </c>
      <c r="E1128" s="36" t="s">
        <v>2788</v>
      </c>
      <c r="F1128" s="36" t="s">
        <v>2821</v>
      </c>
      <c r="G1128" s="36" t="s">
        <v>55</v>
      </c>
      <c r="H1128" s="36" t="s">
        <v>2828</v>
      </c>
      <c r="I1128" s="36" t="s">
        <v>276</v>
      </c>
      <c r="J1128" s="36" t="str">
        <f t="shared" si="47"/>
        <v>TextileTextile EstablishmentCPowerloom Jobber (Machine Operator)S10 (29200 - 92300)</v>
      </c>
      <c r="K1128" s="36" t="s">
        <v>163</v>
      </c>
      <c r="L1128" s="36" t="s">
        <v>225</v>
      </c>
      <c r="M1128" s="38" t="s">
        <v>2829</v>
      </c>
      <c r="N1128" s="36" t="s">
        <v>165</v>
      </c>
      <c r="O1128" s="6" t="s">
        <v>33</v>
      </c>
      <c r="P1128" s="7">
        <v>19</v>
      </c>
      <c r="Q1128" s="7" t="s">
        <v>100</v>
      </c>
      <c r="R1128" s="7">
        <v>19</v>
      </c>
      <c r="S1128" s="7" t="s">
        <v>2827</v>
      </c>
      <c r="T1128" s="7" t="s">
        <v>61</v>
      </c>
      <c r="U1128" s="36" t="s">
        <v>61</v>
      </c>
      <c r="V1128" s="38" t="s">
        <v>2830</v>
      </c>
      <c r="W1128" s="36"/>
      <c r="X1128" s="36" t="s">
        <v>2831</v>
      </c>
      <c r="Y1128" s="36" t="s">
        <v>91</v>
      </c>
      <c r="Z1128" s="41"/>
      <c r="AA1128" s="42" t="e">
        <f>_xlfn.XLOOKUP(C1128,#REF!,#REF!,"",0,1)</f>
        <v>#REF!</v>
      </c>
      <c r="AB1128" s="43">
        <f t="shared" si="49"/>
        <v>0</v>
      </c>
    </row>
    <row r="1129" spans="1:28" ht="65.5" thickBot="1" x14ac:dyDescent="0.3">
      <c r="A1129" s="36">
        <v>1128</v>
      </c>
      <c r="B1129" s="36" t="s">
        <v>24</v>
      </c>
      <c r="C1129" s="36" t="s">
        <v>183</v>
      </c>
      <c r="D1129" s="37">
        <v>40668</v>
      </c>
      <c r="E1129" s="36" t="s">
        <v>2788</v>
      </c>
      <c r="F1129" s="36" t="s">
        <v>2821</v>
      </c>
      <c r="G1129" s="36" t="s">
        <v>55</v>
      </c>
      <c r="H1129" s="36" t="s">
        <v>2832</v>
      </c>
      <c r="I1129" s="36" t="s">
        <v>276</v>
      </c>
      <c r="J1129" s="36" t="str">
        <f t="shared" si="47"/>
        <v>TextileTextile EstablishmentCTextile inspectorS10 (29200 - 92300)</v>
      </c>
      <c r="K1129" s="36" t="s">
        <v>163</v>
      </c>
      <c r="L1129" s="36" t="s">
        <v>225</v>
      </c>
      <c r="M1129" s="38" t="s">
        <v>2833</v>
      </c>
      <c r="N1129" s="36" t="s">
        <v>165</v>
      </c>
      <c r="O1129" s="6" t="s">
        <v>33</v>
      </c>
      <c r="P1129" s="7">
        <v>2</v>
      </c>
      <c r="Q1129" s="7" t="s">
        <v>100</v>
      </c>
      <c r="R1129" s="7">
        <v>2</v>
      </c>
      <c r="S1129" s="7" t="s">
        <v>2827</v>
      </c>
      <c r="T1129" s="7" t="s">
        <v>61</v>
      </c>
      <c r="U1129" s="36" t="s">
        <v>61</v>
      </c>
      <c r="V1129" s="38" t="s">
        <v>2830</v>
      </c>
      <c r="W1129" s="36"/>
      <c r="X1129" s="36" t="s">
        <v>2831</v>
      </c>
      <c r="Y1129" s="36" t="s">
        <v>91</v>
      </c>
      <c r="Z1129" s="41"/>
      <c r="AA1129" s="42" t="e">
        <f>_xlfn.XLOOKUP(C1129,#REF!,#REF!,"",0,1)</f>
        <v>#REF!</v>
      </c>
      <c r="AB1129" s="43">
        <f t="shared" si="49"/>
        <v>0</v>
      </c>
    </row>
    <row r="1130" spans="1:28" ht="78.5" thickBot="1" x14ac:dyDescent="0.3">
      <c r="A1130" s="36">
        <v>1129</v>
      </c>
      <c r="B1130" s="36" t="s">
        <v>24</v>
      </c>
      <c r="C1130" s="36" t="s">
        <v>183</v>
      </c>
      <c r="D1130" s="37">
        <v>40668</v>
      </c>
      <c r="E1130" s="36" t="s">
        <v>2788</v>
      </c>
      <c r="F1130" s="36" t="s">
        <v>2821</v>
      </c>
      <c r="G1130" s="36" t="s">
        <v>55</v>
      </c>
      <c r="H1130" s="36" t="s">
        <v>2834</v>
      </c>
      <c r="I1130" s="36" t="s">
        <v>276</v>
      </c>
      <c r="J1130" s="36" t="str">
        <f t="shared" si="47"/>
        <v>TextileTextile EstablishmentCJunior Marketing OfficerS10 (29200 - 92300)</v>
      </c>
      <c r="K1130" s="36"/>
      <c r="L1130" s="36" t="s">
        <v>238</v>
      </c>
      <c r="M1130" s="38" t="s">
        <v>480</v>
      </c>
      <c r="N1130" s="36" t="s">
        <v>283</v>
      </c>
      <c r="O1130" s="9"/>
      <c r="P1130" s="7">
        <v>1</v>
      </c>
      <c r="Q1130" s="7" t="s">
        <v>100</v>
      </c>
      <c r="R1130" s="7">
        <v>1</v>
      </c>
      <c r="S1130" s="7" t="s">
        <v>2827</v>
      </c>
      <c r="T1130" s="7" t="s">
        <v>2395</v>
      </c>
      <c r="U1130" s="36" t="s">
        <v>35</v>
      </c>
      <c r="V1130" s="38"/>
      <c r="W1130" s="36"/>
      <c r="X1130" s="36"/>
      <c r="Y1130" s="36"/>
      <c r="Z1130" s="41"/>
      <c r="AA1130" s="42" t="e">
        <f>_xlfn.XLOOKUP(C1130,#REF!,#REF!,"",0,1)</f>
        <v>#REF!</v>
      </c>
      <c r="AB1130" s="43">
        <f t="shared" si="49"/>
        <v>0</v>
      </c>
    </row>
    <row r="1131" spans="1:28" ht="65.5" thickBot="1" x14ac:dyDescent="0.3">
      <c r="A1131" s="36">
        <v>1130</v>
      </c>
      <c r="B1131" s="36" t="s">
        <v>24</v>
      </c>
      <c r="C1131" s="36" t="s">
        <v>183</v>
      </c>
      <c r="D1131" s="37">
        <v>40668</v>
      </c>
      <c r="E1131" s="36" t="s">
        <v>2788</v>
      </c>
      <c r="F1131" s="36" t="s">
        <v>2821</v>
      </c>
      <c r="G1131" s="36" t="s">
        <v>55</v>
      </c>
      <c r="H1131" s="36" t="s">
        <v>2835</v>
      </c>
      <c r="I1131" s="36" t="s">
        <v>169</v>
      </c>
      <c r="J1131" s="36" t="str">
        <f t="shared" si="47"/>
        <v>TextileTextile EstablishmentCStamping InspectorS7 (21700 - 69100)</v>
      </c>
      <c r="K1131" s="36" t="s">
        <v>163</v>
      </c>
      <c r="L1131" s="36" t="s">
        <v>225</v>
      </c>
      <c r="M1131" s="38" t="s">
        <v>2836</v>
      </c>
      <c r="N1131" s="36" t="s">
        <v>165</v>
      </c>
      <c r="O1131" s="6" t="s">
        <v>33</v>
      </c>
      <c r="P1131" s="7">
        <v>2</v>
      </c>
      <c r="Q1131" s="7" t="s">
        <v>100</v>
      </c>
      <c r="R1131" s="7">
        <v>2</v>
      </c>
      <c r="S1131" s="7" t="s">
        <v>2827</v>
      </c>
      <c r="T1131" s="7" t="s">
        <v>61</v>
      </c>
      <c r="U1131" s="36" t="s">
        <v>61</v>
      </c>
      <c r="V1131" s="38" t="s">
        <v>2837</v>
      </c>
      <c r="W1131" s="36"/>
      <c r="X1131" s="36" t="s">
        <v>2831</v>
      </c>
      <c r="Y1131" s="36" t="s">
        <v>91</v>
      </c>
      <c r="Z1131" s="41"/>
      <c r="AA1131" s="42" t="e">
        <f>_xlfn.XLOOKUP(C1131,#REF!,#REF!,"",0,1)</f>
        <v>#REF!</v>
      </c>
      <c r="AB1131" s="43">
        <f t="shared" si="49"/>
        <v>0</v>
      </c>
    </row>
    <row r="1132" spans="1:28" ht="78.5" thickBot="1" x14ac:dyDescent="0.3">
      <c r="A1132" s="36">
        <v>1131</v>
      </c>
      <c r="B1132" s="36" t="s">
        <v>24</v>
      </c>
      <c r="C1132" s="36" t="s">
        <v>183</v>
      </c>
      <c r="D1132" s="37">
        <v>40668</v>
      </c>
      <c r="E1132" s="36" t="s">
        <v>2788</v>
      </c>
      <c r="F1132" s="36" t="s">
        <v>2821</v>
      </c>
      <c r="G1132" s="36" t="s">
        <v>55</v>
      </c>
      <c r="H1132" s="36" t="s">
        <v>2838</v>
      </c>
      <c r="I1132" s="36" t="s">
        <v>80</v>
      </c>
      <c r="J1132" s="36" t="str">
        <f t="shared" si="47"/>
        <v>TextileTextile EstablishmentCAssistant Textile InspectorS8 (25500 - 81100)</v>
      </c>
      <c r="K1132" s="36" t="s">
        <v>163</v>
      </c>
      <c r="L1132" s="36" t="s">
        <v>243</v>
      </c>
      <c r="M1132" s="38" t="s">
        <v>2839</v>
      </c>
      <c r="N1132" s="36" t="s">
        <v>165</v>
      </c>
      <c r="O1132" s="6" t="s">
        <v>33</v>
      </c>
      <c r="P1132" s="7">
        <v>0</v>
      </c>
      <c r="Q1132" s="7" t="s">
        <v>34</v>
      </c>
      <c r="R1132" s="8"/>
      <c r="S1132" s="8"/>
      <c r="T1132" s="4" t="s">
        <v>3276</v>
      </c>
      <c r="U1132" s="36" t="s">
        <v>61</v>
      </c>
      <c r="V1132" s="38" t="s">
        <v>2839</v>
      </c>
      <c r="W1132" s="36"/>
      <c r="X1132" s="36" t="s">
        <v>2831</v>
      </c>
      <c r="Y1132" s="36" t="s">
        <v>91</v>
      </c>
      <c r="Z1132" s="41"/>
      <c r="AA1132" s="42" t="e">
        <f>_xlfn.XLOOKUP(C1132,#REF!,#REF!,"",0,1)</f>
        <v>#REF!</v>
      </c>
      <c r="AB1132" s="43">
        <f t="shared" si="49"/>
        <v>0</v>
      </c>
    </row>
    <row r="1133" spans="1:28" ht="169.5" thickBot="1" x14ac:dyDescent="0.3">
      <c r="A1133" s="36">
        <v>1132</v>
      </c>
      <c r="B1133" s="36" t="s">
        <v>24</v>
      </c>
      <c r="C1133" s="36" t="s">
        <v>263</v>
      </c>
      <c r="D1133" s="37">
        <v>44881</v>
      </c>
      <c r="E1133" s="36" t="s">
        <v>2840</v>
      </c>
      <c r="F1133" s="36" t="s">
        <v>2841</v>
      </c>
      <c r="G1133" s="36" t="s">
        <v>28</v>
      </c>
      <c r="H1133" s="36" t="s">
        <v>2842</v>
      </c>
      <c r="I1133" s="36" t="s">
        <v>38</v>
      </c>
      <c r="J1133" s="36" t="str">
        <f t="shared" si="47"/>
        <v>Tribal DevelopmentTribal Development Commissionerate EstablishmentAAssistant Commissioner / Project Officer Grade (2)S20 (56100 - 177500)</v>
      </c>
      <c r="K1133" s="36" t="s">
        <v>45</v>
      </c>
      <c r="L1133" s="36" t="s">
        <v>247</v>
      </c>
      <c r="M1133" s="38" t="s">
        <v>2843</v>
      </c>
      <c r="N1133" s="36" t="s">
        <v>41</v>
      </c>
      <c r="O1133" s="6" t="s">
        <v>33</v>
      </c>
      <c r="P1133" s="7">
        <v>0</v>
      </c>
      <c r="Q1133" s="7" t="s">
        <v>34</v>
      </c>
      <c r="R1133" s="8"/>
      <c r="S1133" s="8"/>
      <c r="T1133" s="7" t="s">
        <v>2395</v>
      </c>
      <c r="U1133" s="36" t="s">
        <v>2844</v>
      </c>
      <c r="V1133" s="38"/>
      <c r="W1133" s="36"/>
      <c r="X1133" s="36"/>
      <c r="Y1133" s="36"/>
      <c r="Z1133" s="41"/>
      <c r="AA1133" s="42" t="e">
        <f>_xlfn.XLOOKUP(C1133,#REF!,#REF!,"",0,1)</f>
        <v>#REF!</v>
      </c>
      <c r="AB1133" s="43">
        <f t="shared" si="49"/>
        <v>0</v>
      </c>
    </row>
    <row r="1134" spans="1:28" ht="156.5" thickBot="1" x14ac:dyDescent="0.3">
      <c r="A1134" s="36">
        <v>1133</v>
      </c>
      <c r="B1134" s="36" t="s">
        <v>24</v>
      </c>
      <c r="C1134" s="36" t="s">
        <v>263</v>
      </c>
      <c r="D1134" s="37">
        <v>44881</v>
      </c>
      <c r="E1134" s="36" t="s">
        <v>2840</v>
      </c>
      <c r="F1134" s="36" t="s">
        <v>2841</v>
      </c>
      <c r="G1134" s="36" t="s">
        <v>28</v>
      </c>
      <c r="H1134" s="36" t="s">
        <v>2845</v>
      </c>
      <c r="I1134" s="36" t="s">
        <v>38</v>
      </c>
      <c r="J1134" s="36" t="str">
        <f t="shared" si="47"/>
        <v>Tribal DevelopmentTribal Development Commissionerate EstablishmentASenior Research OfficerS20 (56100 - 177500)</v>
      </c>
      <c r="K1134" s="36" t="s">
        <v>45</v>
      </c>
      <c r="L1134" s="36" t="s">
        <v>247</v>
      </c>
      <c r="M1134" s="38" t="s">
        <v>2846</v>
      </c>
      <c r="N1134" s="36" t="s">
        <v>47</v>
      </c>
      <c r="O1134" s="6" t="s">
        <v>33</v>
      </c>
      <c r="P1134" s="7">
        <v>9</v>
      </c>
      <c r="Q1134" s="7" t="s">
        <v>100</v>
      </c>
      <c r="R1134" s="7">
        <v>9</v>
      </c>
      <c r="S1134" s="18">
        <v>45576</v>
      </c>
      <c r="T1134" s="7" t="s">
        <v>61</v>
      </c>
      <c r="U1134" s="36" t="s">
        <v>2847</v>
      </c>
      <c r="V1134" s="38"/>
      <c r="W1134" s="36"/>
      <c r="X1134" s="36"/>
      <c r="Y1134" s="36"/>
      <c r="Z1134" s="41"/>
      <c r="AA1134" s="42" t="e">
        <f>_xlfn.XLOOKUP(C1134,#REF!,#REF!,"",0,1)</f>
        <v>#REF!</v>
      </c>
      <c r="AB1134" s="43">
        <f t="shared" si="49"/>
        <v>0</v>
      </c>
    </row>
    <row r="1135" spans="1:28" ht="195.5" thickBot="1" x14ac:dyDescent="0.3">
      <c r="A1135" s="36">
        <v>1134</v>
      </c>
      <c r="B1135" s="36" t="s">
        <v>584</v>
      </c>
      <c r="C1135" s="36" t="s">
        <v>263</v>
      </c>
      <c r="D1135" s="37">
        <v>44881</v>
      </c>
      <c r="E1135" s="36" t="s">
        <v>2840</v>
      </c>
      <c r="F1135" s="36" t="s">
        <v>2841</v>
      </c>
      <c r="G1135" s="36" t="s">
        <v>28</v>
      </c>
      <c r="H1135" s="36" t="s">
        <v>2848</v>
      </c>
      <c r="I1135" s="36" t="s">
        <v>242</v>
      </c>
      <c r="J1135" s="36" t="str">
        <f t="shared" si="47"/>
        <v>Tribal DevelopmentTribal Development Commissionerate EstablishmentADeputy Director /Deputy Commissioner/ Project officer Grade (1)S23 (67700 - 208700)</v>
      </c>
      <c r="K1135" s="36"/>
      <c r="L1135" s="36"/>
      <c r="M1135" s="38" t="s">
        <v>2843</v>
      </c>
      <c r="N1135" s="36"/>
      <c r="O1135" s="6" t="s">
        <v>33</v>
      </c>
      <c r="P1135" s="7">
        <v>0</v>
      </c>
      <c r="Q1135" s="7" t="s">
        <v>34</v>
      </c>
      <c r="R1135" s="8"/>
      <c r="S1135" s="8"/>
      <c r="T1135" s="4" t="s">
        <v>3276</v>
      </c>
      <c r="U1135" s="36" t="s">
        <v>2844</v>
      </c>
      <c r="V1135" s="38"/>
      <c r="W1135" s="36"/>
      <c r="X1135" s="36"/>
      <c r="Y1135" s="36"/>
      <c r="Z1135" s="41"/>
      <c r="AA1135" s="42" t="e">
        <f>_xlfn.XLOOKUP(C1135,#REF!,#REF!,"",0,1)</f>
        <v>#REF!</v>
      </c>
      <c r="AB1135" s="43">
        <f t="shared" si="49"/>
        <v>0</v>
      </c>
    </row>
    <row r="1136" spans="1:28" ht="130.5" thickBot="1" x14ac:dyDescent="0.3">
      <c r="A1136" s="36">
        <v>1135</v>
      </c>
      <c r="B1136" s="36" t="s">
        <v>24</v>
      </c>
      <c r="C1136" s="36" t="s">
        <v>263</v>
      </c>
      <c r="D1136" s="37">
        <v>44881</v>
      </c>
      <c r="E1136" s="36" t="s">
        <v>2840</v>
      </c>
      <c r="F1136" s="36" t="s">
        <v>2841</v>
      </c>
      <c r="G1136" s="36" t="s">
        <v>28</v>
      </c>
      <c r="H1136" s="36" t="s">
        <v>1011</v>
      </c>
      <c r="I1136" s="36" t="s">
        <v>242</v>
      </c>
      <c r="J1136" s="36" t="str">
        <f t="shared" si="47"/>
        <v>Tribal DevelopmentTribal Development Commissionerate EstablishmentALaw OfficerS23 (67700 - 208700)</v>
      </c>
      <c r="K1136" s="36" t="s">
        <v>408</v>
      </c>
      <c r="L1136" s="36" t="s">
        <v>247</v>
      </c>
      <c r="M1136" s="38" t="s">
        <v>2849</v>
      </c>
      <c r="N1136" s="36" t="s">
        <v>410</v>
      </c>
      <c r="O1136" s="6" t="s">
        <v>33</v>
      </c>
      <c r="P1136" s="7">
        <v>12</v>
      </c>
      <c r="Q1136" s="7" t="s">
        <v>100</v>
      </c>
      <c r="R1136" s="7">
        <v>12</v>
      </c>
      <c r="S1136" s="18">
        <v>45482</v>
      </c>
      <c r="T1136" s="7" t="s">
        <v>61</v>
      </c>
      <c r="U1136" s="36" t="s">
        <v>2850</v>
      </c>
      <c r="V1136" s="38"/>
      <c r="W1136" s="36"/>
      <c r="X1136" s="36"/>
      <c r="Y1136" s="36"/>
      <c r="Z1136" s="41"/>
      <c r="AA1136" s="42" t="e">
        <f>_xlfn.XLOOKUP(C1136,#REF!,#REF!,"",0,1)</f>
        <v>#REF!</v>
      </c>
      <c r="AB1136" s="43">
        <f t="shared" si="49"/>
        <v>0</v>
      </c>
    </row>
    <row r="1137" spans="1:28" ht="247.5" thickBot="1" x14ac:dyDescent="0.3">
      <c r="A1137" s="36">
        <v>1136</v>
      </c>
      <c r="B1137" s="36" t="s">
        <v>24</v>
      </c>
      <c r="C1137" s="36" t="s">
        <v>263</v>
      </c>
      <c r="D1137" s="37">
        <v>44881</v>
      </c>
      <c r="E1137" s="36" t="s">
        <v>2840</v>
      </c>
      <c r="F1137" s="36" t="s">
        <v>2841</v>
      </c>
      <c r="G1137" s="36" t="s">
        <v>42</v>
      </c>
      <c r="H1137" s="36" t="s">
        <v>2851</v>
      </c>
      <c r="I1137" s="36" t="s">
        <v>44</v>
      </c>
      <c r="J1137" s="36" t="str">
        <f t="shared" si="47"/>
        <v>Tribal DevelopmentTribal Development Commissionerate EstablishmentB (Gazetted)Assistant Project Officer/Research officer/House Master/Registrar/Lecturer/Administrative Officer/Museum CuratorS15 (41800 - 132300)</v>
      </c>
      <c r="K1137" s="36" t="s">
        <v>45</v>
      </c>
      <c r="L1137" s="36" t="s">
        <v>247</v>
      </c>
      <c r="M1137" s="38" t="s">
        <v>2843</v>
      </c>
      <c r="N1137" s="36" t="s">
        <v>41</v>
      </c>
      <c r="O1137" s="6" t="s">
        <v>33</v>
      </c>
      <c r="P1137" s="7">
        <v>16</v>
      </c>
      <c r="Q1137" s="7" t="s">
        <v>100</v>
      </c>
      <c r="R1137" s="7">
        <v>16</v>
      </c>
      <c r="S1137" s="7" t="s">
        <v>2852</v>
      </c>
      <c r="T1137" s="7" t="s">
        <v>61</v>
      </c>
      <c r="U1137" s="36" t="s">
        <v>2844</v>
      </c>
      <c r="V1137" s="38"/>
      <c r="W1137" s="36"/>
      <c r="X1137" s="36"/>
      <c r="Y1137" s="36"/>
      <c r="Z1137" s="41"/>
      <c r="AA1137" s="42" t="e">
        <f>_xlfn.XLOOKUP(C1137,#REF!,#REF!,"",0,1)</f>
        <v>#REF!</v>
      </c>
      <c r="AB1137" s="43">
        <f t="shared" si="49"/>
        <v>0</v>
      </c>
    </row>
    <row r="1138" spans="1:28" ht="182.5" thickBot="1" x14ac:dyDescent="0.3">
      <c r="A1138" s="36">
        <v>1137</v>
      </c>
      <c r="B1138" s="36" t="s">
        <v>24</v>
      </c>
      <c r="C1138" s="36" t="s">
        <v>263</v>
      </c>
      <c r="D1138" s="37">
        <v>44881</v>
      </c>
      <c r="E1138" s="36" t="s">
        <v>2840</v>
      </c>
      <c r="F1138" s="36" t="s">
        <v>2841</v>
      </c>
      <c r="G1138" s="36" t="s">
        <v>42</v>
      </c>
      <c r="H1138" s="36" t="s">
        <v>2853</v>
      </c>
      <c r="I1138" s="36" t="s">
        <v>44</v>
      </c>
      <c r="J1138" s="36" t="str">
        <f t="shared" si="47"/>
        <v>Tribal DevelopmentTribal Development Commissionerate EstablishmentB (Gazetted)Assistant Project Officer (Education)S15 (41800 - 132300)</v>
      </c>
      <c r="K1138" s="36" t="s">
        <v>45</v>
      </c>
      <c r="L1138" s="36" t="s">
        <v>247</v>
      </c>
      <c r="M1138" s="38" t="s">
        <v>2843</v>
      </c>
      <c r="N1138" s="36" t="s">
        <v>41</v>
      </c>
      <c r="O1138" s="6" t="s">
        <v>33</v>
      </c>
      <c r="P1138" s="7">
        <v>0</v>
      </c>
      <c r="Q1138" s="7" t="s">
        <v>34</v>
      </c>
      <c r="R1138" s="8"/>
      <c r="S1138" s="8"/>
      <c r="T1138" s="7" t="s">
        <v>2395</v>
      </c>
      <c r="U1138" s="36" t="s">
        <v>61</v>
      </c>
      <c r="V1138" s="38"/>
      <c r="W1138" s="36"/>
      <c r="X1138" s="36"/>
      <c r="Y1138" s="36"/>
      <c r="Z1138" s="41"/>
      <c r="AA1138" s="42" t="e">
        <f>_xlfn.XLOOKUP(C1138,#REF!,#REF!,"",0,1)</f>
        <v>#REF!</v>
      </c>
      <c r="AB1138" s="43">
        <f t="shared" si="49"/>
        <v>0</v>
      </c>
    </row>
    <row r="1139" spans="1:28" ht="143.5" thickBot="1" x14ac:dyDescent="0.3">
      <c r="A1139" s="36">
        <v>1138</v>
      </c>
      <c r="B1139" s="36" t="s">
        <v>24</v>
      </c>
      <c r="C1139" s="36" t="s">
        <v>263</v>
      </c>
      <c r="D1139" s="37">
        <v>44881</v>
      </c>
      <c r="E1139" s="36" t="s">
        <v>2840</v>
      </c>
      <c r="F1139" s="36" t="s">
        <v>2841</v>
      </c>
      <c r="G1139" s="36" t="s">
        <v>55</v>
      </c>
      <c r="H1139" s="36" t="s">
        <v>2854</v>
      </c>
      <c r="I1139" s="36" t="s">
        <v>276</v>
      </c>
      <c r="J1139" s="36" t="str">
        <f t="shared" si="47"/>
        <v>Tribal DevelopmentTribal Development Commissionerate EstablishmentCCamoraman cum projectorS10 (29200 - 92300)</v>
      </c>
      <c r="K1139" s="36" t="s">
        <v>657</v>
      </c>
      <c r="L1139" s="36" t="s">
        <v>225</v>
      </c>
      <c r="M1139" s="38" t="s">
        <v>2855</v>
      </c>
      <c r="N1139" s="36" t="s">
        <v>2856</v>
      </c>
      <c r="O1139" s="6" t="s">
        <v>33</v>
      </c>
      <c r="P1139" s="7">
        <v>0</v>
      </c>
      <c r="Q1139" s="7" t="s">
        <v>34</v>
      </c>
      <c r="R1139" s="8"/>
      <c r="S1139" s="8"/>
      <c r="T1139" s="7" t="s">
        <v>2395</v>
      </c>
      <c r="U1139" s="36" t="s">
        <v>35</v>
      </c>
      <c r="V1139" s="38" t="s">
        <v>2857</v>
      </c>
      <c r="W1139" s="36"/>
      <c r="X1139" s="36" t="s">
        <v>2858</v>
      </c>
      <c r="Y1139" s="46">
        <v>38991</v>
      </c>
      <c r="Z1139" s="41"/>
      <c r="AA1139" s="42" t="e">
        <f>_xlfn.XLOOKUP(C1139,#REF!,#REF!,"",0,1)</f>
        <v>#REF!</v>
      </c>
      <c r="AB1139" s="43">
        <f t="shared" si="49"/>
        <v>0</v>
      </c>
    </row>
    <row r="1140" spans="1:28" ht="156.5" thickBot="1" x14ac:dyDescent="0.3">
      <c r="A1140" s="36">
        <v>1139</v>
      </c>
      <c r="B1140" s="36" t="s">
        <v>983</v>
      </c>
      <c r="C1140" s="36" t="s">
        <v>263</v>
      </c>
      <c r="D1140" s="37">
        <v>44881</v>
      </c>
      <c r="E1140" s="36" t="s">
        <v>2840</v>
      </c>
      <c r="F1140" s="36" t="s">
        <v>2841</v>
      </c>
      <c r="G1140" s="36" t="s">
        <v>55</v>
      </c>
      <c r="H1140" s="36" t="s">
        <v>2859</v>
      </c>
      <c r="I1140" s="36" t="s">
        <v>276</v>
      </c>
      <c r="J1140" s="36" t="str">
        <f t="shared" si="47"/>
        <v>Tribal DevelopmentTribal Development Commissionerate EstablishmentCPrimary Teacher (Marathi Medium)S10 (29200 - 92300)</v>
      </c>
      <c r="K1140" s="36"/>
      <c r="L1140" s="36"/>
      <c r="M1140" s="38" t="s">
        <v>2860</v>
      </c>
      <c r="N1140" s="36" t="s">
        <v>986</v>
      </c>
      <c r="O1140" s="6" t="s">
        <v>33</v>
      </c>
      <c r="P1140" s="7">
        <v>1446</v>
      </c>
      <c r="Q1140" s="7" t="s">
        <v>34</v>
      </c>
      <c r="R1140" s="8"/>
      <c r="S1140" s="8"/>
      <c r="T1140" s="4" t="s">
        <v>3276</v>
      </c>
      <c r="U1140" s="36" t="s">
        <v>35</v>
      </c>
      <c r="V1140" s="38"/>
      <c r="W1140" s="36"/>
      <c r="X1140" s="36"/>
      <c r="Y1140" s="36"/>
      <c r="Z1140" s="41"/>
      <c r="AA1140" s="42" t="e">
        <f>_xlfn.XLOOKUP(C1140,#REF!,#REF!,"",0,1)</f>
        <v>#REF!</v>
      </c>
      <c r="AB1140" s="43">
        <f t="shared" si="49"/>
        <v>0</v>
      </c>
    </row>
    <row r="1141" spans="1:28" ht="130.5" thickBot="1" x14ac:dyDescent="0.3">
      <c r="A1141" s="36">
        <v>1140</v>
      </c>
      <c r="B1141" s="36" t="s">
        <v>983</v>
      </c>
      <c r="C1141" s="36" t="s">
        <v>263</v>
      </c>
      <c r="D1141" s="37">
        <v>44881</v>
      </c>
      <c r="E1141" s="36" t="s">
        <v>2840</v>
      </c>
      <c r="F1141" s="36" t="s">
        <v>2841</v>
      </c>
      <c r="G1141" s="36" t="s">
        <v>55</v>
      </c>
      <c r="H1141" s="36" t="s">
        <v>2861</v>
      </c>
      <c r="I1141" s="36" t="s">
        <v>276</v>
      </c>
      <c r="J1141" s="36" t="str">
        <f t="shared" si="47"/>
        <v>Tribal DevelopmentTribal Development Commissionerate EstablishmentCArts TeacherS10 (29200 - 92300)</v>
      </c>
      <c r="K1141" s="36"/>
      <c r="L1141" s="36"/>
      <c r="M1141" s="38" t="s">
        <v>2862</v>
      </c>
      <c r="N1141" s="36" t="s">
        <v>986</v>
      </c>
      <c r="O1141" s="6" t="s">
        <v>33</v>
      </c>
      <c r="P1141" s="7">
        <v>1</v>
      </c>
      <c r="Q1141" s="7" t="s">
        <v>34</v>
      </c>
      <c r="R1141" s="8"/>
      <c r="S1141" s="8"/>
      <c r="T1141" s="4" t="s">
        <v>3276</v>
      </c>
      <c r="U1141" s="36" t="s">
        <v>35</v>
      </c>
      <c r="V1141" s="38"/>
      <c r="W1141" s="36"/>
      <c r="X1141" s="36"/>
      <c r="Y1141" s="36"/>
      <c r="Z1141" s="41"/>
      <c r="AA1141" s="42" t="e">
        <f>_xlfn.XLOOKUP(C1141,#REF!,#REF!,"",0,1)</f>
        <v>#REF!</v>
      </c>
      <c r="AB1141" s="43">
        <f t="shared" si="49"/>
        <v>0</v>
      </c>
    </row>
    <row r="1142" spans="1:28" ht="143.5" thickBot="1" x14ac:dyDescent="0.3">
      <c r="A1142" s="36">
        <v>1141</v>
      </c>
      <c r="B1142" s="36" t="s">
        <v>24</v>
      </c>
      <c r="C1142" s="36" t="s">
        <v>263</v>
      </c>
      <c r="D1142" s="37">
        <v>44881</v>
      </c>
      <c r="E1142" s="36" t="s">
        <v>2840</v>
      </c>
      <c r="F1142" s="36" t="s">
        <v>2841</v>
      </c>
      <c r="G1142" s="36" t="s">
        <v>55</v>
      </c>
      <c r="H1142" s="36" t="s">
        <v>2863</v>
      </c>
      <c r="I1142" s="36" t="s">
        <v>668</v>
      </c>
      <c r="J1142" s="36" t="str">
        <f t="shared" si="47"/>
        <v>Tribal DevelopmentTribal Development Commissionerate EstablishmentCSuperintendent MaleS12 (32000 - 101600)</v>
      </c>
      <c r="K1142" s="36" t="s">
        <v>58</v>
      </c>
      <c r="L1142" s="36" t="s">
        <v>228</v>
      </c>
      <c r="M1142" s="38" t="s">
        <v>2864</v>
      </c>
      <c r="N1142" s="36" t="s">
        <v>199</v>
      </c>
      <c r="O1142" s="6" t="s">
        <v>33</v>
      </c>
      <c r="P1142" s="7">
        <v>19</v>
      </c>
      <c r="Q1142" s="7" t="s">
        <v>34</v>
      </c>
      <c r="R1142" s="8"/>
      <c r="S1142" s="8"/>
      <c r="T1142" s="7" t="s">
        <v>35</v>
      </c>
      <c r="U1142" s="36" t="s">
        <v>35</v>
      </c>
      <c r="V1142" s="38" t="s">
        <v>2865</v>
      </c>
      <c r="W1142" s="36"/>
      <c r="X1142" s="36" t="s">
        <v>2866</v>
      </c>
      <c r="Y1142" s="36" t="s">
        <v>2867</v>
      </c>
      <c r="Z1142" s="41"/>
      <c r="AA1142" s="42" t="e">
        <f>_xlfn.XLOOKUP(C1142,#REF!,#REF!,"",0,1)</f>
        <v>#REF!</v>
      </c>
      <c r="AB1142" s="43">
        <f t="shared" si="49"/>
        <v>0</v>
      </c>
    </row>
    <row r="1143" spans="1:28" ht="143.5" thickBot="1" x14ac:dyDescent="0.3">
      <c r="A1143" s="36">
        <v>1142</v>
      </c>
      <c r="B1143" s="36" t="s">
        <v>24</v>
      </c>
      <c r="C1143" s="36" t="s">
        <v>263</v>
      </c>
      <c r="D1143" s="37">
        <v>44881</v>
      </c>
      <c r="E1143" s="36" t="s">
        <v>2840</v>
      </c>
      <c r="F1143" s="36" t="s">
        <v>2841</v>
      </c>
      <c r="G1143" s="36" t="s">
        <v>55</v>
      </c>
      <c r="H1143" s="36" t="s">
        <v>2868</v>
      </c>
      <c r="I1143" s="36" t="s">
        <v>668</v>
      </c>
      <c r="J1143" s="36" t="str">
        <f t="shared" si="47"/>
        <v>Tribal DevelopmentTribal Development Commissionerate EstablishmentCSuperintendent (Female)S12 (32000 - 101600)</v>
      </c>
      <c r="K1143" s="36" t="s">
        <v>58</v>
      </c>
      <c r="L1143" s="36" t="s">
        <v>228</v>
      </c>
      <c r="M1143" s="38" t="s">
        <v>2864</v>
      </c>
      <c r="N1143" s="36" t="s">
        <v>199</v>
      </c>
      <c r="O1143" s="6" t="s">
        <v>33</v>
      </c>
      <c r="P1143" s="7">
        <v>26</v>
      </c>
      <c r="Q1143" s="7" t="s">
        <v>34</v>
      </c>
      <c r="R1143" s="8"/>
      <c r="S1143" s="8"/>
      <c r="T1143" s="7" t="s">
        <v>35</v>
      </c>
      <c r="U1143" s="36" t="s">
        <v>35</v>
      </c>
      <c r="V1143" s="38" t="s">
        <v>2869</v>
      </c>
      <c r="W1143" s="36"/>
      <c r="X1143" s="36" t="s">
        <v>2866</v>
      </c>
      <c r="Y1143" s="36" t="s">
        <v>2867</v>
      </c>
      <c r="Z1143" s="41"/>
      <c r="AA1143" s="42" t="e">
        <f>_xlfn.XLOOKUP(C1143,#REF!,#REF!,"",0,1)</f>
        <v>#REF!</v>
      </c>
      <c r="AB1143" s="43">
        <f t="shared" si="49"/>
        <v>0</v>
      </c>
    </row>
    <row r="1144" spans="1:28" ht="169.5" thickBot="1" x14ac:dyDescent="0.3">
      <c r="A1144" s="36">
        <v>1143</v>
      </c>
      <c r="B1144" s="36" t="s">
        <v>24</v>
      </c>
      <c r="C1144" s="36" t="s">
        <v>263</v>
      </c>
      <c r="D1144" s="37">
        <v>44881</v>
      </c>
      <c r="E1144" s="36" t="s">
        <v>2840</v>
      </c>
      <c r="F1144" s="36" t="s">
        <v>2841</v>
      </c>
      <c r="G1144" s="36" t="s">
        <v>55</v>
      </c>
      <c r="H1144" s="36" t="s">
        <v>2870</v>
      </c>
      <c r="I1144" s="36" t="s">
        <v>57</v>
      </c>
      <c r="J1144" s="36" t="str">
        <f t="shared" si="47"/>
        <v>Tribal DevelopmentTribal Development Commissionerate EstablishmentCJunior Education Extension OfficerS13 (35400 - 112400)</v>
      </c>
      <c r="K1144" s="36" t="s">
        <v>197</v>
      </c>
      <c r="L1144" s="36" t="s">
        <v>228</v>
      </c>
      <c r="M1144" s="38" t="s">
        <v>2871</v>
      </c>
      <c r="N1144" s="36" t="s">
        <v>41</v>
      </c>
      <c r="O1144" s="6" t="s">
        <v>33</v>
      </c>
      <c r="P1144" s="7">
        <v>67</v>
      </c>
      <c r="Q1144" s="7" t="s">
        <v>34</v>
      </c>
      <c r="R1144" s="8"/>
      <c r="S1144" s="8"/>
      <c r="T1144" s="7" t="s">
        <v>35</v>
      </c>
      <c r="U1144" s="36" t="s">
        <v>35</v>
      </c>
      <c r="V1144" s="38" t="s">
        <v>2872</v>
      </c>
      <c r="W1144" s="36"/>
      <c r="X1144" s="36" t="s">
        <v>2873</v>
      </c>
      <c r="Y1144" s="36" t="s">
        <v>2874</v>
      </c>
      <c r="Z1144" s="41"/>
      <c r="AA1144" s="42" t="e">
        <f>_xlfn.XLOOKUP(C1144,#REF!,#REF!,"",0,1)</f>
        <v>#REF!</v>
      </c>
      <c r="AB1144" s="43">
        <f t="shared" si="49"/>
        <v>0</v>
      </c>
    </row>
    <row r="1145" spans="1:28" ht="156.5" thickBot="1" x14ac:dyDescent="0.3">
      <c r="A1145" s="36">
        <v>1144</v>
      </c>
      <c r="B1145" s="36" t="s">
        <v>24</v>
      </c>
      <c r="C1145" s="36" t="s">
        <v>263</v>
      </c>
      <c r="D1145" s="37">
        <v>44881</v>
      </c>
      <c r="E1145" s="36" t="s">
        <v>2840</v>
      </c>
      <c r="F1145" s="36" t="s">
        <v>2841</v>
      </c>
      <c r="G1145" s="36" t="s">
        <v>55</v>
      </c>
      <c r="H1145" s="36" t="s">
        <v>2875</v>
      </c>
      <c r="I1145" s="36" t="s">
        <v>57</v>
      </c>
      <c r="J1145" s="36" t="str">
        <f t="shared" si="47"/>
        <v>Tribal DevelopmentTribal Development Commissionerate EstablishmentCDeputy Accountant / Head ClerkS13 (35400 - 112400)</v>
      </c>
      <c r="K1145" s="36" t="s">
        <v>75</v>
      </c>
      <c r="L1145" s="36" t="s">
        <v>228</v>
      </c>
      <c r="M1145" s="38" t="s">
        <v>2876</v>
      </c>
      <c r="N1145" s="36" t="s">
        <v>70</v>
      </c>
      <c r="O1145" s="6" t="s">
        <v>33</v>
      </c>
      <c r="P1145" s="7">
        <v>10</v>
      </c>
      <c r="Q1145" s="7" t="s">
        <v>34</v>
      </c>
      <c r="R1145" s="8"/>
      <c r="S1145" s="8"/>
      <c r="T1145" s="7" t="s">
        <v>35</v>
      </c>
      <c r="U1145" s="36" t="s">
        <v>35</v>
      </c>
      <c r="V1145" s="38" t="s">
        <v>2877</v>
      </c>
      <c r="W1145" s="36"/>
      <c r="X1145" s="36" t="s">
        <v>2878</v>
      </c>
      <c r="Y1145" s="36" t="s">
        <v>2879</v>
      </c>
      <c r="Z1145" s="41"/>
      <c r="AA1145" s="42" t="e">
        <f>_xlfn.XLOOKUP(C1145,#REF!,#REF!,"",0,1)</f>
        <v>#REF!</v>
      </c>
      <c r="AB1145" s="43">
        <f t="shared" si="49"/>
        <v>0</v>
      </c>
    </row>
    <row r="1146" spans="1:28" ht="156.5" thickBot="1" x14ac:dyDescent="0.3">
      <c r="A1146" s="36">
        <v>1145</v>
      </c>
      <c r="B1146" s="36" t="s">
        <v>24</v>
      </c>
      <c r="C1146" s="36" t="s">
        <v>263</v>
      </c>
      <c r="D1146" s="37">
        <v>44881</v>
      </c>
      <c r="E1146" s="36" t="s">
        <v>2840</v>
      </c>
      <c r="F1146" s="36" t="s">
        <v>2841</v>
      </c>
      <c r="G1146" s="36" t="s">
        <v>55</v>
      </c>
      <c r="H1146" s="36" t="s">
        <v>2880</v>
      </c>
      <c r="I1146" s="36" t="s">
        <v>57</v>
      </c>
      <c r="J1146" s="36" t="str">
        <f t="shared" si="47"/>
        <v>Tribal DevelopmentTribal Development Commissionerate EstablishmentCTribal Development InspectorS13 (35400 - 112400)</v>
      </c>
      <c r="K1146" s="36" t="s">
        <v>1496</v>
      </c>
      <c r="L1146" s="36" t="s">
        <v>228</v>
      </c>
      <c r="M1146" s="38" t="s">
        <v>2881</v>
      </c>
      <c r="N1146" s="36" t="s">
        <v>60</v>
      </c>
      <c r="O1146" s="6" t="s">
        <v>33</v>
      </c>
      <c r="P1146" s="7">
        <v>63</v>
      </c>
      <c r="Q1146" s="7" t="s">
        <v>34</v>
      </c>
      <c r="R1146" s="8"/>
      <c r="S1146" s="8"/>
      <c r="T1146" s="7" t="s">
        <v>35</v>
      </c>
      <c r="U1146" s="36" t="s">
        <v>35</v>
      </c>
      <c r="V1146" s="38" t="s">
        <v>2882</v>
      </c>
      <c r="W1146" s="36"/>
      <c r="X1146" s="36" t="s">
        <v>2883</v>
      </c>
      <c r="Y1146" s="36" t="s">
        <v>2879</v>
      </c>
      <c r="Z1146" s="41"/>
      <c r="AA1146" s="42" t="e">
        <f>_xlfn.XLOOKUP(C1146,#REF!,#REF!,"",0,1)</f>
        <v>#REF!</v>
      </c>
      <c r="AB1146" s="43">
        <f t="shared" si="49"/>
        <v>0</v>
      </c>
    </row>
    <row r="1147" spans="1:28" ht="156.5" thickBot="1" x14ac:dyDescent="0.3">
      <c r="A1147" s="36">
        <v>1146</v>
      </c>
      <c r="B1147" s="36" t="s">
        <v>24</v>
      </c>
      <c r="C1147" s="36" t="s">
        <v>263</v>
      </c>
      <c r="D1147" s="37">
        <v>44881</v>
      </c>
      <c r="E1147" s="36" t="s">
        <v>2840</v>
      </c>
      <c r="F1147" s="36" t="s">
        <v>2841</v>
      </c>
      <c r="G1147" s="36" t="s">
        <v>55</v>
      </c>
      <c r="H1147" s="36" t="s">
        <v>2884</v>
      </c>
      <c r="I1147" s="36" t="s">
        <v>67</v>
      </c>
      <c r="J1147" s="36" t="str">
        <f t="shared" si="47"/>
        <v>Tribal DevelopmentTribal Development Commissionerate EstablishmentCSenior Tribal Development InspectorS14 (38600 - 122800)</v>
      </c>
      <c r="K1147" s="36" t="s">
        <v>1496</v>
      </c>
      <c r="L1147" s="36" t="s">
        <v>228</v>
      </c>
      <c r="M1147" s="38" t="s">
        <v>2885</v>
      </c>
      <c r="N1147" s="36" t="s">
        <v>199</v>
      </c>
      <c r="O1147" s="6" t="s">
        <v>33</v>
      </c>
      <c r="P1147" s="7">
        <v>0</v>
      </c>
      <c r="Q1147" s="7" t="s">
        <v>34</v>
      </c>
      <c r="R1147" s="8"/>
      <c r="S1147" s="8"/>
      <c r="T1147" s="7" t="s">
        <v>2395</v>
      </c>
      <c r="U1147" s="36" t="s">
        <v>35</v>
      </c>
      <c r="V1147" s="38" t="s">
        <v>2886</v>
      </c>
      <c r="W1147" s="36"/>
      <c r="X1147" s="36" t="s">
        <v>2887</v>
      </c>
      <c r="Y1147" s="36" t="s">
        <v>2888</v>
      </c>
      <c r="Z1147" s="41"/>
      <c r="AA1147" s="42" t="e">
        <f>_xlfn.XLOOKUP(C1147,#REF!,#REF!,"",0,1)</f>
        <v>#REF!</v>
      </c>
      <c r="AB1147" s="43">
        <f t="shared" si="49"/>
        <v>0</v>
      </c>
    </row>
    <row r="1148" spans="1:28" ht="143.5" thickBot="1" x14ac:dyDescent="0.3">
      <c r="A1148" s="36">
        <v>1147</v>
      </c>
      <c r="B1148" s="36" t="s">
        <v>24</v>
      </c>
      <c r="C1148" s="36" t="s">
        <v>263</v>
      </c>
      <c r="D1148" s="37">
        <v>44881</v>
      </c>
      <c r="E1148" s="36" t="s">
        <v>2840</v>
      </c>
      <c r="F1148" s="36" t="s">
        <v>2841</v>
      </c>
      <c r="G1148" s="36" t="s">
        <v>55</v>
      </c>
      <c r="H1148" s="36" t="s">
        <v>2274</v>
      </c>
      <c r="I1148" s="36" t="s">
        <v>67</v>
      </c>
      <c r="J1148" s="36" t="str">
        <f t="shared" si="47"/>
        <v>Tribal DevelopmentTribal Development Commissionerate EstablishmentCResearch AssistantS14 (38600 - 122800)</v>
      </c>
      <c r="K1148" s="36" t="s">
        <v>115</v>
      </c>
      <c r="L1148" s="36" t="s">
        <v>225</v>
      </c>
      <c r="M1148" s="38" t="s">
        <v>2889</v>
      </c>
      <c r="N1148" s="36" t="s">
        <v>179</v>
      </c>
      <c r="O1148" s="6" t="s">
        <v>33</v>
      </c>
      <c r="P1148" s="7">
        <v>1</v>
      </c>
      <c r="Q1148" s="7" t="s">
        <v>34</v>
      </c>
      <c r="R1148" s="8"/>
      <c r="S1148" s="8"/>
      <c r="T1148" s="7" t="s">
        <v>2395</v>
      </c>
      <c r="U1148" s="36" t="s">
        <v>35</v>
      </c>
      <c r="V1148" s="38" t="s">
        <v>2890</v>
      </c>
      <c r="W1148" s="36"/>
      <c r="X1148" s="36" t="s">
        <v>2883</v>
      </c>
      <c r="Y1148" s="46">
        <v>38991</v>
      </c>
      <c r="Z1148" s="41"/>
      <c r="AA1148" s="42" t="e">
        <f>_xlfn.XLOOKUP(C1148,#REF!,#REF!,"",0,1)</f>
        <v>#REF!</v>
      </c>
      <c r="AB1148" s="43">
        <f t="shared" si="49"/>
        <v>0</v>
      </c>
    </row>
    <row r="1149" spans="1:28" ht="143.5" thickBot="1" x14ac:dyDescent="0.3">
      <c r="A1149" s="36">
        <v>1148</v>
      </c>
      <c r="B1149" s="36" t="s">
        <v>24</v>
      </c>
      <c r="C1149" s="36" t="s">
        <v>263</v>
      </c>
      <c r="D1149" s="37">
        <v>44881</v>
      </c>
      <c r="E1149" s="36" t="s">
        <v>2840</v>
      </c>
      <c r="F1149" s="36" t="s">
        <v>2841</v>
      </c>
      <c r="G1149" s="36" t="s">
        <v>55</v>
      </c>
      <c r="H1149" s="36" t="s">
        <v>2891</v>
      </c>
      <c r="I1149" s="36" t="s">
        <v>67</v>
      </c>
      <c r="J1149" s="36" t="str">
        <f t="shared" si="47"/>
        <v>Tribal DevelopmentTribal Development Commissionerate EstablishmentCWarden (Male)S14 (38600 - 122800)</v>
      </c>
      <c r="K1149" s="36" t="s">
        <v>1933</v>
      </c>
      <c r="L1149" s="36" t="s">
        <v>228</v>
      </c>
      <c r="M1149" s="38" t="s">
        <v>2892</v>
      </c>
      <c r="N1149" s="36" t="s">
        <v>199</v>
      </c>
      <c r="O1149" s="6" t="s">
        <v>33</v>
      </c>
      <c r="P1149" s="7">
        <v>9</v>
      </c>
      <c r="Q1149" s="7" t="s">
        <v>34</v>
      </c>
      <c r="R1149" s="8"/>
      <c r="S1149" s="8"/>
      <c r="T1149" s="7" t="s">
        <v>35</v>
      </c>
      <c r="U1149" s="36" t="s">
        <v>35</v>
      </c>
      <c r="V1149" s="38" t="s">
        <v>2893</v>
      </c>
      <c r="W1149" s="36"/>
      <c r="X1149" s="36" t="s">
        <v>2894</v>
      </c>
      <c r="Y1149" s="36" t="s">
        <v>2895</v>
      </c>
      <c r="Z1149" s="41"/>
      <c r="AA1149" s="42" t="e">
        <f>_xlfn.XLOOKUP(C1149,#REF!,#REF!,"",0,1)</f>
        <v>#REF!</v>
      </c>
      <c r="AB1149" s="43">
        <f t="shared" si="49"/>
        <v>0</v>
      </c>
    </row>
    <row r="1150" spans="1:28" ht="143.5" thickBot="1" x14ac:dyDescent="0.3">
      <c r="A1150" s="36">
        <v>1149</v>
      </c>
      <c r="B1150" s="36" t="s">
        <v>24</v>
      </c>
      <c r="C1150" s="36" t="s">
        <v>263</v>
      </c>
      <c r="D1150" s="37">
        <v>44881</v>
      </c>
      <c r="E1150" s="36" t="s">
        <v>2840</v>
      </c>
      <c r="F1150" s="36" t="s">
        <v>2841</v>
      </c>
      <c r="G1150" s="36" t="s">
        <v>55</v>
      </c>
      <c r="H1150" s="36" t="s">
        <v>2896</v>
      </c>
      <c r="I1150" s="36" t="s">
        <v>67</v>
      </c>
      <c r="J1150" s="36" t="str">
        <f t="shared" si="47"/>
        <v>Tribal DevelopmentTribal Development Commissionerate EstablishmentCWarden (Female)S14 (38600 - 122800)</v>
      </c>
      <c r="K1150" s="36" t="s">
        <v>1933</v>
      </c>
      <c r="L1150" s="36" t="s">
        <v>228</v>
      </c>
      <c r="M1150" s="38" t="s">
        <v>2892</v>
      </c>
      <c r="N1150" s="36" t="s">
        <v>199</v>
      </c>
      <c r="O1150" s="6" t="s">
        <v>33</v>
      </c>
      <c r="P1150" s="7">
        <v>10</v>
      </c>
      <c r="Q1150" s="7" t="s">
        <v>34</v>
      </c>
      <c r="R1150" s="8"/>
      <c r="S1150" s="8"/>
      <c r="T1150" s="7" t="s">
        <v>35</v>
      </c>
      <c r="U1150" s="36" t="s">
        <v>35</v>
      </c>
      <c r="V1150" s="38" t="s">
        <v>2897</v>
      </c>
      <c r="W1150" s="36"/>
      <c r="X1150" s="36" t="s">
        <v>2894</v>
      </c>
      <c r="Y1150" s="36" t="s">
        <v>2895</v>
      </c>
      <c r="Z1150" s="41"/>
      <c r="AA1150" s="42" t="e">
        <f>_xlfn.XLOOKUP(C1150,#REF!,#REF!,"",0,1)</f>
        <v>#REF!</v>
      </c>
      <c r="AB1150" s="43">
        <f t="shared" si="49"/>
        <v>0</v>
      </c>
    </row>
    <row r="1151" spans="1:28" ht="143.5" thickBot="1" x14ac:dyDescent="0.3">
      <c r="A1151" s="36">
        <v>1150</v>
      </c>
      <c r="B1151" s="36" t="s">
        <v>983</v>
      </c>
      <c r="C1151" s="36" t="s">
        <v>263</v>
      </c>
      <c r="D1151" s="37">
        <v>44881</v>
      </c>
      <c r="E1151" s="36" t="s">
        <v>2840</v>
      </c>
      <c r="F1151" s="36" t="s">
        <v>2841</v>
      </c>
      <c r="G1151" s="36" t="s">
        <v>55</v>
      </c>
      <c r="H1151" s="36" t="s">
        <v>2898</v>
      </c>
      <c r="I1151" s="36" t="s">
        <v>67</v>
      </c>
      <c r="J1151" s="36" t="str">
        <f t="shared" si="47"/>
        <v>Tribal DevelopmentTribal Development Commissionerate EstablishmentCSecondary TeacherS14 (38600 - 122800)</v>
      </c>
      <c r="K1151" s="36"/>
      <c r="L1151" s="36"/>
      <c r="M1151" s="38" t="s">
        <v>2899</v>
      </c>
      <c r="N1151" s="36" t="s">
        <v>986</v>
      </c>
      <c r="O1151" s="6" t="s">
        <v>33</v>
      </c>
      <c r="P1151" s="7">
        <v>542</v>
      </c>
      <c r="Q1151" s="7" t="s">
        <v>34</v>
      </c>
      <c r="R1151" s="8"/>
      <c r="S1151" s="8"/>
      <c r="T1151" s="4" t="s">
        <v>3276</v>
      </c>
      <c r="U1151" s="36" t="s">
        <v>35</v>
      </c>
      <c r="V1151" s="38"/>
      <c r="W1151" s="36"/>
      <c r="X1151" s="36"/>
      <c r="Y1151" s="36"/>
      <c r="Z1151" s="41"/>
      <c r="AA1151" s="42" t="e">
        <f>_xlfn.XLOOKUP(C1151,#REF!,#REF!,"",0,1)</f>
        <v>#REF!</v>
      </c>
      <c r="AB1151" s="43">
        <f t="shared" si="49"/>
        <v>0</v>
      </c>
    </row>
    <row r="1152" spans="1:28" ht="130.5" thickBot="1" x14ac:dyDescent="0.3">
      <c r="A1152" s="36">
        <v>1151</v>
      </c>
      <c r="B1152" s="36" t="s">
        <v>24</v>
      </c>
      <c r="C1152" s="36" t="s">
        <v>263</v>
      </c>
      <c r="D1152" s="37">
        <v>44881</v>
      </c>
      <c r="E1152" s="36" t="s">
        <v>2840</v>
      </c>
      <c r="F1152" s="36" t="s">
        <v>2841</v>
      </c>
      <c r="G1152" s="36" t="s">
        <v>55</v>
      </c>
      <c r="H1152" s="36" t="s">
        <v>2900</v>
      </c>
      <c r="I1152" s="36" t="s">
        <v>44</v>
      </c>
      <c r="J1152" s="36" t="str">
        <f t="shared" si="47"/>
        <v>Tribal DevelopmentTribal Development Commissionerate EstablishmentCStenografer(LG)S15 (41800 - 132300)</v>
      </c>
      <c r="K1152" s="36" t="s">
        <v>68</v>
      </c>
      <c r="L1152" s="36" t="s">
        <v>231</v>
      </c>
      <c r="M1152" s="38" t="s">
        <v>2901</v>
      </c>
      <c r="N1152" s="36" t="s">
        <v>70</v>
      </c>
      <c r="O1152" s="6" t="s">
        <v>33</v>
      </c>
      <c r="P1152" s="7">
        <v>0</v>
      </c>
      <c r="Q1152" s="7" t="s">
        <v>34</v>
      </c>
      <c r="R1152" s="8"/>
      <c r="S1152" s="8"/>
      <c r="T1152" s="4" t="s">
        <v>3276</v>
      </c>
      <c r="U1152" s="36" t="s">
        <v>35</v>
      </c>
      <c r="V1152" s="38"/>
      <c r="W1152" s="36"/>
      <c r="X1152" s="36"/>
      <c r="Y1152" s="36"/>
      <c r="Z1152" s="41"/>
      <c r="AA1152" s="42" t="e">
        <f>_xlfn.XLOOKUP(C1152,#REF!,#REF!,"",0,1)</f>
        <v>#REF!</v>
      </c>
      <c r="AB1152" s="43">
        <f t="shared" si="49"/>
        <v>0</v>
      </c>
    </row>
    <row r="1153" spans="1:28" ht="130.5" thickBot="1" x14ac:dyDescent="0.3">
      <c r="A1153" s="36">
        <v>1152</v>
      </c>
      <c r="B1153" s="36" t="s">
        <v>24</v>
      </c>
      <c r="C1153" s="36" t="s">
        <v>263</v>
      </c>
      <c r="D1153" s="37">
        <v>44881</v>
      </c>
      <c r="E1153" s="36" t="s">
        <v>2840</v>
      </c>
      <c r="F1153" s="36" t="s">
        <v>2841</v>
      </c>
      <c r="G1153" s="36" t="s">
        <v>55</v>
      </c>
      <c r="H1153" s="36" t="s">
        <v>2902</v>
      </c>
      <c r="I1153" s="36" t="s">
        <v>54</v>
      </c>
      <c r="J1153" s="36" t="str">
        <f t="shared" si="47"/>
        <v>Tribal DevelopmentTribal Development Commissionerate EstablishmentCStenografer(HG)S16 (44900 - 142400)</v>
      </c>
      <c r="K1153" s="36" t="s">
        <v>68</v>
      </c>
      <c r="L1153" s="36" t="s">
        <v>231</v>
      </c>
      <c r="M1153" s="38" t="s">
        <v>2903</v>
      </c>
      <c r="N1153" s="36" t="s">
        <v>70</v>
      </c>
      <c r="O1153" s="6" t="s">
        <v>33</v>
      </c>
      <c r="P1153" s="7">
        <v>1</v>
      </c>
      <c r="Q1153" s="7" t="s">
        <v>34</v>
      </c>
      <c r="R1153" s="8"/>
      <c r="S1153" s="8"/>
      <c r="T1153" s="4" t="s">
        <v>3276</v>
      </c>
      <c r="U1153" s="36" t="s">
        <v>35</v>
      </c>
      <c r="V1153" s="38"/>
      <c r="W1153" s="36"/>
      <c r="X1153" s="36"/>
      <c r="Y1153" s="36"/>
      <c r="Z1153" s="41"/>
      <c r="AA1153" s="42" t="e">
        <f>_xlfn.XLOOKUP(C1153,#REF!,#REF!,"",0,1)</f>
        <v>#REF!</v>
      </c>
      <c r="AB1153" s="43">
        <f t="shared" si="49"/>
        <v>0</v>
      </c>
    </row>
    <row r="1154" spans="1:28" ht="143.5" thickBot="1" x14ac:dyDescent="0.3">
      <c r="A1154" s="36">
        <v>1153</v>
      </c>
      <c r="B1154" s="36" t="s">
        <v>983</v>
      </c>
      <c r="C1154" s="36" t="s">
        <v>263</v>
      </c>
      <c r="D1154" s="37">
        <v>44881</v>
      </c>
      <c r="E1154" s="36" t="s">
        <v>2840</v>
      </c>
      <c r="F1154" s="36" t="s">
        <v>2841</v>
      </c>
      <c r="G1154" s="36" t="s">
        <v>55</v>
      </c>
      <c r="H1154" s="36" t="s">
        <v>2904</v>
      </c>
      <c r="I1154" s="36" t="s">
        <v>54</v>
      </c>
      <c r="J1154" s="36" t="str">
        <f t="shared" ref="J1154:J1217" si="50">_xlfn.CONCAT(E1154:I1154)</f>
        <v>Tribal DevelopmentTribal Development Commissionerate EstablishmentCJunior College TeacherS16 (44900 - 142400)</v>
      </c>
      <c r="K1154" s="36"/>
      <c r="L1154" s="36"/>
      <c r="M1154" s="38" t="s">
        <v>2905</v>
      </c>
      <c r="N1154" s="36" t="s">
        <v>986</v>
      </c>
      <c r="O1154" s="6" t="s">
        <v>33</v>
      </c>
      <c r="P1154" s="7">
        <v>313</v>
      </c>
      <c r="Q1154" s="7" t="s">
        <v>34</v>
      </c>
      <c r="R1154" s="8"/>
      <c r="S1154" s="8"/>
      <c r="T1154" s="4" t="s">
        <v>3276</v>
      </c>
      <c r="U1154" s="36" t="s">
        <v>35</v>
      </c>
      <c r="V1154" s="38"/>
      <c r="W1154" s="36"/>
      <c r="X1154" s="36"/>
      <c r="Y1154" s="36"/>
      <c r="Z1154" s="41"/>
      <c r="AA1154" s="42" t="e">
        <f>_xlfn.XLOOKUP(C1154,#REF!,#REF!,"",0,1)</f>
        <v>#REF!</v>
      </c>
      <c r="AB1154" s="43">
        <f t="shared" ref="AB1154:AB1217" si="51">IFERROR(FLOOR(P1154*AA1154,1),0)</f>
        <v>0</v>
      </c>
    </row>
    <row r="1155" spans="1:28" ht="130.5" thickBot="1" x14ac:dyDescent="0.3">
      <c r="A1155" s="36">
        <v>1154</v>
      </c>
      <c r="B1155" s="36" t="s">
        <v>24</v>
      </c>
      <c r="C1155" s="36" t="s">
        <v>263</v>
      </c>
      <c r="D1155" s="37">
        <v>44881</v>
      </c>
      <c r="E1155" s="36" t="s">
        <v>2840</v>
      </c>
      <c r="F1155" s="36" t="s">
        <v>2841</v>
      </c>
      <c r="G1155" s="36" t="s">
        <v>55</v>
      </c>
      <c r="H1155" s="36" t="s">
        <v>2906</v>
      </c>
      <c r="I1155" s="36" t="s">
        <v>74</v>
      </c>
      <c r="J1155" s="36" t="str">
        <f t="shared" si="50"/>
        <v>Tribal DevelopmentTribal Development Commissionerate EstablishmentCLaboratary AssistantS6 (19900 - 63200)</v>
      </c>
      <c r="K1155" s="36" t="s">
        <v>377</v>
      </c>
      <c r="L1155" s="36" t="s">
        <v>225</v>
      </c>
      <c r="M1155" s="38" t="s">
        <v>2907</v>
      </c>
      <c r="N1155" s="36" t="s">
        <v>379</v>
      </c>
      <c r="O1155" s="6" t="s">
        <v>33</v>
      </c>
      <c r="P1155" s="7">
        <v>2</v>
      </c>
      <c r="Q1155" s="7" t="s">
        <v>34</v>
      </c>
      <c r="R1155" s="8"/>
      <c r="S1155" s="8"/>
      <c r="T1155" s="7" t="s">
        <v>35</v>
      </c>
      <c r="U1155" s="36" t="s">
        <v>35</v>
      </c>
      <c r="V1155" s="38" t="s">
        <v>2908</v>
      </c>
      <c r="W1155" s="36"/>
      <c r="X1155" s="36" t="s">
        <v>2909</v>
      </c>
      <c r="Y1155" s="36" t="s">
        <v>2895</v>
      </c>
      <c r="Z1155" s="41"/>
      <c r="AA1155" s="42" t="e">
        <f>_xlfn.XLOOKUP(C1155,#REF!,#REF!,"",0,1)</f>
        <v>#REF!</v>
      </c>
      <c r="AB1155" s="43">
        <f t="shared" si="51"/>
        <v>0</v>
      </c>
    </row>
    <row r="1156" spans="1:28" ht="117.5" thickBot="1" x14ac:dyDescent="0.3">
      <c r="A1156" s="36">
        <v>1155</v>
      </c>
      <c r="B1156" s="36" t="s">
        <v>24</v>
      </c>
      <c r="C1156" s="36" t="s">
        <v>263</v>
      </c>
      <c r="D1156" s="37">
        <v>44881</v>
      </c>
      <c r="E1156" s="36" t="s">
        <v>2840</v>
      </c>
      <c r="F1156" s="36" t="s">
        <v>2841</v>
      </c>
      <c r="G1156" s="36" t="s">
        <v>55</v>
      </c>
      <c r="H1156" s="36" t="s">
        <v>123</v>
      </c>
      <c r="I1156" s="36" t="s">
        <v>74</v>
      </c>
      <c r="J1156" s="36" t="str">
        <f t="shared" si="50"/>
        <v>Tribal DevelopmentTribal Development Commissionerate EstablishmentCJunior ClerkS6 (19900 - 63200)</v>
      </c>
      <c r="K1156" s="36" t="s">
        <v>75</v>
      </c>
      <c r="L1156" s="36" t="s">
        <v>228</v>
      </c>
      <c r="M1156" s="38" t="s">
        <v>1623</v>
      </c>
      <c r="N1156" s="36" t="s">
        <v>70</v>
      </c>
      <c r="O1156" s="6" t="s">
        <v>33</v>
      </c>
      <c r="P1156" s="7">
        <v>147</v>
      </c>
      <c r="Q1156" s="7" t="s">
        <v>34</v>
      </c>
      <c r="R1156" s="8"/>
      <c r="S1156" s="8"/>
      <c r="T1156" s="7" t="s">
        <v>35</v>
      </c>
      <c r="U1156" s="36" t="s">
        <v>35</v>
      </c>
      <c r="V1156" s="38" t="s">
        <v>125</v>
      </c>
      <c r="W1156" s="36"/>
      <c r="X1156" s="36" t="s">
        <v>77</v>
      </c>
      <c r="Y1156" s="36" t="s">
        <v>78</v>
      </c>
      <c r="Z1156" s="41"/>
      <c r="AA1156" s="42" t="e">
        <f>_xlfn.XLOOKUP(C1156,#REF!,#REF!,"",0,1)</f>
        <v>#REF!</v>
      </c>
      <c r="AB1156" s="43">
        <f t="shared" si="51"/>
        <v>0</v>
      </c>
    </row>
    <row r="1157" spans="1:28" ht="130.5" thickBot="1" x14ac:dyDescent="0.3">
      <c r="A1157" s="36">
        <v>1156</v>
      </c>
      <c r="B1157" s="36" t="s">
        <v>24</v>
      </c>
      <c r="C1157" s="36" t="s">
        <v>263</v>
      </c>
      <c r="D1157" s="37">
        <v>44881</v>
      </c>
      <c r="E1157" s="36" t="s">
        <v>2840</v>
      </c>
      <c r="F1157" s="36" t="s">
        <v>2841</v>
      </c>
      <c r="G1157" s="36" t="s">
        <v>55</v>
      </c>
      <c r="H1157" s="36" t="s">
        <v>706</v>
      </c>
      <c r="I1157" s="36" t="s">
        <v>169</v>
      </c>
      <c r="J1157" s="36" t="str">
        <f t="shared" si="50"/>
        <v>Tribal DevelopmentTribal Development Commissionerate EstablishmentCAssistant LibrarianS7 (21700 - 69100)</v>
      </c>
      <c r="K1157" s="36" t="s">
        <v>170</v>
      </c>
      <c r="L1157" s="36" t="s">
        <v>228</v>
      </c>
      <c r="M1157" s="38" t="s">
        <v>2910</v>
      </c>
      <c r="N1157" s="36" t="s">
        <v>172</v>
      </c>
      <c r="O1157" s="6" t="s">
        <v>33</v>
      </c>
      <c r="P1157" s="7">
        <v>0</v>
      </c>
      <c r="Q1157" s="7" t="s">
        <v>34</v>
      </c>
      <c r="R1157" s="8"/>
      <c r="S1157" s="8"/>
      <c r="T1157" s="7" t="s">
        <v>2395</v>
      </c>
      <c r="U1157" s="36" t="s">
        <v>35</v>
      </c>
      <c r="V1157" s="38" t="s">
        <v>2911</v>
      </c>
      <c r="W1157" s="36"/>
      <c r="X1157" s="36" t="s">
        <v>2912</v>
      </c>
      <c r="Y1157" s="36" t="s">
        <v>2895</v>
      </c>
      <c r="Z1157" s="41"/>
      <c r="AA1157" s="42" t="e">
        <f>_xlfn.XLOOKUP(C1157,#REF!,#REF!,"",0,1)</f>
        <v>#REF!</v>
      </c>
      <c r="AB1157" s="43">
        <f t="shared" si="51"/>
        <v>0</v>
      </c>
    </row>
    <row r="1158" spans="1:28" ht="143.5" thickBot="1" x14ac:dyDescent="0.3">
      <c r="A1158" s="36">
        <v>1157</v>
      </c>
      <c r="B1158" s="36" t="s">
        <v>24</v>
      </c>
      <c r="C1158" s="36" t="s">
        <v>263</v>
      </c>
      <c r="D1158" s="37">
        <v>44881</v>
      </c>
      <c r="E1158" s="36" t="s">
        <v>2840</v>
      </c>
      <c r="F1158" s="36" t="s">
        <v>2841</v>
      </c>
      <c r="G1158" s="36" t="s">
        <v>55</v>
      </c>
      <c r="H1158" s="36" t="s">
        <v>2913</v>
      </c>
      <c r="I1158" s="36" t="s">
        <v>80</v>
      </c>
      <c r="J1158" s="36" t="str">
        <f t="shared" si="50"/>
        <v>Tribal DevelopmentTribal Development Commissionerate EstablishmentCSenior Clerk/ Statistic AssistantS8 (25500 - 81100)</v>
      </c>
      <c r="K1158" s="36" t="s">
        <v>75</v>
      </c>
      <c r="L1158" s="36" t="s">
        <v>228</v>
      </c>
      <c r="M1158" s="38" t="s">
        <v>2889</v>
      </c>
      <c r="N1158" s="36" t="s">
        <v>70</v>
      </c>
      <c r="O1158" s="6" t="s">
        <v>33</v>
      </c>
      <c r="P1158" s="7">
        <v>35</v>
      </c>
      <c r="Q1158" s="7" t="s">
        <v>34</v>
      </c>
      <c r="R1158" s="8"/>
      <c r="S1158" s="8"/>
      <c r="T1158" s="7" t="s">
        <v>35</v>
      </c>
      <c r="U1158" s="36" t="s">
        <v>35</v>
      </c>
      <c r="V1158" s="38" t="s">
        <v>2914</v>
      </c>
      <c r="W1158" s="36"/>
      <c r="X1158" s="36" t="s">
        <v>2915</v>
      </c>
      <c r="Y1158" s="36" t="s">
        <v>2895</v>
      </c>
      <c r="Z1158" s="41"/>
      <c r="AA1158" s="42" t="e">
        <f>_xlfn.XLOOKUP(C1158,#REF!,#REF!,"",0,1)</f>
        <v>#REF!</v>
      </c>
      <c r="AB1158" s="43">
        <f t="shared" si="51"/>
        <v>0</v>
      </c>
    </row>
    <row r="1159" spans="1:28" ht="117.5" thickBot="1" x14ac:dyDescent="0.3">
      <c r="A1159" s="36">
        <v>1158</v>
      </c>
      <c r="B1159" s="36" t="s">
        <v>24</v>
      </c>
      <c r="C1159" s="36" t="s">
        <v>263</v>
      </c>
      <c r="D1159" s="37">
        <v>44881</v>
      </c>
      <c r="E1159" s="36" t="s">
        <v>2840</v>
      </c>
      <c r="F1159" s="36" t="s">
        <v>2841</v>
      </c>
      <c r="G1159" s="36" t="s">
        <v>55</v>
      </c>
      <c r="H1159" s="36" t="s">
        <v>168</v>
      </c>
      <c r="I1159" s="36" t="s">
        <v>80</v>
      </c>
      <c r="J1159" s="36" t="str">
        <f t="shared" si="50"/>
        <v>Tribal DevelopmentTribal Development Commissionerate EstablishmentCLibrarianS8 (25500 - 81100)</v>
      </c>
      <c r="K1159" s="36" t="s">
        <v>170</v>
      </c>
      <c r="L1159" s="36" t="s">
        <v>228</v>
      </c>
      <c r="M1159" s="38" t="s">
        <v>2916</v>
      </c>
      <c r="N1159" s="36" t="s">
        <v>172</v>
      </c>
      <c r="O1159" s="6" t="s">
        <v>33</v>
      </c>
      <c r="P1159" s="7">
        <v>8</v>
      </c>
      <c r="Q1159" s="7" t="s">
        <v>34</v>
      </c>
      <c r="R1159" s="8"/>
      <c r="S1159" s="8"/>
      <c r="T1159" s="7" t="s">
        <v>35</v>
      </c>
      <c r="U1159" s="36" t="s">
        <v>35</v>
      </c>
      <c r="V1159" s="38" t="s">
        <v>2917</v>
      </c>
      <c r="W1159" s="36"/>
      <c r="X1159" s="36" t="s">
        <v>2912</v>
      </c>
      <c r="Y1159" s="36" t="s">
        <v>2895</v>
      </c>
      <c r="Z1159" s="41"/>
      <c r="AA1159" s="42" t="e">
        <f>_xlfn.XLOOKUP(C1159,#REF!,#REF!,"",0,1)</f>
        <v>#REF!</v>
      </c>
      <c r="AB1159" s="43">
        <f t="shared" si="51"/>
        <v>0</v>
      </c>
    </row>
    <row r="1160" spans="1:28" ht="117.5" thickBot="1" x14ac:dyDescent="0.3">
      <c r="A1160" s="36">
        <v>1159</v>
      </c>
      <c r="B1160" s="36" t="s">
        <v>24</v>
      </c>
      <c r="C1160" s="36" t="s">
        <v>263</v>
      </c>
      <c r="D1160" s="37">
        <v>44881</v>
      </c>
      <c r="E1160" s="36" t="s">
        <v>2840</v>
      </c>
      <c r="F1160" s="36" t="s">
        <v>2841</v>
      </c>
      <c r="G1160" s="36" t="s">
        <v>55</v>
      </c>
      <c r="H1160" s="36" t="s">
        <v>2918</v>
      </c>
      <c r="I1160" s="36" t="s">
        <v>80</v>
      </c>
      <c r="J1160" s="36" t="str">
        <f t="shared" si="50"/>
        <v>Tribal DevelopmentTribal Development Commissionerate EstablishmentCNurseS8 (25500 - 81100)</v>
      </c>
      <c r="K1160" s="36" t="s">
        <v>1738</v>
      </c>
      <c r="L1160" s="36" t="s">
        <v>225</v>
      </c>
      <c r="M1160" s="38" t="s">
        <v>2919</v>
      </c>
      <c r="N1160" s="36" t="s">
        <v>1740</v>
      </c>
      <c r="O1160" s="6" t="s">
        <v>33</v>
      </c>
      <c r="P1160" s="7">
        <v>2</v>
      </c>
      <c r="Q1160" s="7" t="s">
        <v>34</v>
      </c>
      <c r="R1160" s="8"/>
      <c r="S1160" s="8"/>
      <c r="T1160" s="7" t="s">
        <v>35</v>
      </c>
      <c r="U1160" s="36" t="s">
        <v>35</v>
      </c>
      <c r="V1160" s="38" t="s">
        <v>2919</v>
      </c>
      <c r="W1160" s="36"/>
      <c r="X1160" s="36" t="s">
        <v>150</v>
      </c>
      <c r="Y1160" s="36" t="s">
        <v>150</v>
      </c>
      <c r="Z1160" s="41"/>
      <c r="AA1160" s="42" t="e">
        <f>_xlfn.XLOOKUP(C1160,#REF!,#REF!,"",0,1)</f>
        <v>#REF!</v>
      </c>
      <c r="AB1160" s="43">
        <f t="shared" si="51"/>
        <v>0</v>
      </c>
    </row>
    <row r="1161" spans="1:28" ht="117.5" thickBot="1" x14ac:dyDescent="0.3">
      <c r="A1161" s="36">
        <v>1160</v>
      </c>
      <c r="B1161" s="36" t="s">
        <v>24</v>
      </c>
      <c r="C1161" s="36" t="s">
        <v>263</v>
      </c>
      <c r="D1161" s="37">
        <v>44881</v>
      </c>
      <c r="E1161" s="36" t="s">
        <v>2840</v>
      </c>
      <c r="F1161" s="36" t="s">
        <v>2841</v>
      </c>
      <c r="G1161" s="36" t="s">
        <v>55</v>
      </c>
      <c r="H1161" s="36" t="s">
        <v>364</v>
      </c>
      <c r="I1161" s="36" t="s">
        <v>80</v>
      </c>
      <c r="J1161" s="36" t="str">
        <f t="shared" si="50"/>
        <v>Tribal DevelopmentTribal Development Commissionerate EstablishmentCStenotypistS8 (25500 - 81100)</v>
      </c>
      <c r="K1161" s="36" t="s">
        <v>68</v>
      </c>
      <c r="L1161" s="36" t="s">
        <v>231</v>
      </c>
      <c r="M1161" s="38" t="s">
        <v>2920</v>
      </c>
      <c r="N1161" s="36" t="s">
        <v>70</v>
      </c>
      <c r="O1161" s="6" t="s">
        <v>33</v>
      </c>
      <c r="P1161" s="7">
        <v>13</v>
      </c>
      <c r="Q1161" s="7" t="s">
        <v>34</v>
      </c>
      <c r="R1161" s="8"/>
      <c r="S1161" s="8"/>
      <c r="T1161" s="4" t="s">
        <v>3276</v>
      </c>
      <c r="U1161" s="36" t="s">
        <v>35</v>
      </c>
      <c r="V1161" s="38"/>
      <c r="W1161" s="36"/>
      <c r="X1161" s="36"/>
      <c r="Y1161" s="36"/>
      <c r="Z1161" s="41"/>
      <c r="AA1161" s="42" t="e">
        <f>_xlfn.XLOOKUP(C1161,#REF!,#REF!,"",0,1)</f>
        <v>#REF!</v>
      </c>
      <c r="AB1161" s="43">
        <f t="shared" si="51"/>
        <v>0</v>
      </c>
    </row>
    <row r="1162" spans="1:28" ht="91.5" thickBot="1" x14ac:dyDescent="0.3">
      <c r="A1162" s="36">
        <v>1161</v>
      </c>
      <c r="B1162" s="36" t="s">
        <v>24</v>
      </c>
      <c r="C1162" s="36" t="s">
        <v>263</v>
      </c>
      <c r="D1162" s="37">
        <v>45026</v>
      </c>
      <c r="E1162" s="36" t="s">
        <v>2921</v>
      </c>
      <c r="F1162" s="36" t="s">
        <v>2922</v>
      </c>
      <c r="G1162" s="36" t="s">
        <v>28</v>
      </c>
      <c r="H1162" s="36" t="s">
        <v>1011</v>
      </c>
      <c r="I1162" s="36" t="s">
        <v>38</v>
      </c>
      <c r="J1162" s="36" t="str">
        <f t="shared" si="50"/>
        <v>Urban Development 1Town planning EstablishmentALaw OfficerS20 (56100 - 177500)</v>
      </c>
      <c r="K1162" s="36" t="s">
        <v>408</v>
      </c>
      <c r="L1162" s="36" t="s">
        <v>247</v>
      </c>
      <c r="M1162" s="38" t="s">
        <v>2923</v>
      </c>
      <c r="N1162" s="36" t="s">
        <v>410</v>
      </c>
      <c r="O1162" s="6" t="s">
        <v>33</v>
      </c>
      <c r="P1162" s="7">
        <v>0</v>
      </c>
      <c r="Q1162" s="7" t="s">
        <v>34</v>
      </c>
      <c r="R1162" s="8"/>
      <c r="S1162" s="8"/>
      <c r="T1162" s="7" t="s">
        <v>2395</v>
      </c>
      <c r="U1162" s="36" t="s">
        <v>61</v>
      </c>
      <c r="V1162" s="38"/>
      <c r="W1162" s="36"/>
      <c r="X1162" s="36"/>
      <c r="Y1162" s="36"/>
      <c r="Z1162" s="41"/>
      <c r="AA1162" s="42" t="e">
        <f>_xlfn.XLOOKUP(C1162,#REF!,#REF!,"",0,1)</f>
        <v>#REF!</v>
      </c>
      <c r="AB1162" s="43">
        <f t="shared" si="51"/>
        <v>0</v>
      </c>
    </row>
    <row r="1163" spans="1:28" ht="208.5" thickBot="1" x14ac:dyDescent="0.3">
      <c r="A1163" s="36">
        <v>1162</v>
      </c>
      <c r="B1163" s="36" t="s">
        <v>24</v>
      </c>
      <c r="C1163" s="36" t="s">
        <v>263</v>
      </c>
      <c r="D1163" s="37">
        <v>45026</v>
      </c>
      <c r="E1163" s="36" t="s">
        <v>2921</v>
      </c>
      <c r="F1163" s="36" t="s">
        <v>2922</v>
      </c>
      <c r="G1163" s="36" t="s">
        <v>28</v>
      </c>
      <c r="H1163" s="36" t="s">
        <v>2924</v>
      </c>
      <c r="I1163" s="36" t="s">
        <v>38</v>
      </c>
      <c r="J1163" s="36" t="str">
        <f t="shared" si="50"/>
        <v>Urban Development 1Town planning EstablishmentATown PlannerS20 (56100 - 177500)</v>
      </c>
      <c r="K1163" s="36" t="s">
        <v>2925</v>
      </c>
      <c r="L1163" s="36" t="s">
        <v>247</v>
      </c>
      <c r="M1163" s="38" t="s">
        <v>2926</v>
      </c>
      <c r="N1163" s="36" t="s">
        <v>41</v>
      </c>
      <c r="O1163" s="6" t="s">
        <v>83</v>
      </c>
      <c r="P1163" s="7">
        <v>17</v>
      </c>
      <c r="Q1163" s="7" t="s">
        <v>34</v>
      </c>
      <c r="R1163" s="8"/>
      <c r="S1163" s="8"/>
      <c r="T1163" s="7" t="s">
        <v>35</v>
      </c>
      <c r="U1163" s="36" t="s">
        <v>61</v>
      </c>
      <c r="V1163" s="38"/>
      <c r="W1163" s="36"/>
      <c r="X1163" s="36"/>
      <c r="Y1163" s="36"/>
      <c r="Z1163" s="41"/>
      <c r="AA1163" s="42" t="e">
        <f>_xlfn.XLOOKUP(C1163,#REF!,#REF!,"",0,1)</f>
        <v>#REF!</v>
      </c>
      <c r="AB1163" s="43">
        <f t="shared" si="51"/>
        <v>0</v>
      </c>
    </row>
    <row r="1164" spans="1:28" ht="130.5" thickBot="1" x14ac:dyDescent="0.3">
      <c r="A1164" s="36">
        <v>1163</v>
      </c>
      <c r="B1164" s="36" t="s">
        <v>24</v>
      </c>
      <c r="C1164" s="36" t="s">
        <v>263</v>
      </c>
      <c r="D1164" s="37">
        <v>45026</v>
      </c>
      <c r="E1164" s="36" t="s">
        <v>2921</v>
      </c>
      <c r="F1164" s="36" t="s">
        <v>2922</v>
      </c>
      <c r="G1164" s="36" t="s">
        <v>42</v>
      </c>
      <c r="H1164" s="36" t="s">
        <v>2927</v>
      </c>
      <c r="I1164" s="36" t="s">
        <v>54</v>
      </c>
      <c r="J1164" s="36" t="str">
        <f t="shared" si="50"/>
        <v>Urban Development 1Town planning EstablishmentB (Gazetted)Assistant Town PlannerS16 (44900 - 142400)</v>
      </c>
      <c r="K1164" s="36" t="s">
        <v>2925</v>
      </c>
      <c r="L1164" s="36" t="s">
        <v>247</v>
      </c>
      <c r="M1164" s="38" t="s">
        <v>2928</v>
      </c>
      <c r="N1164" s="36" t="s">
        <v>41</v>
      </c>
      <c r="O1164" s="6" t="s">
        <v>83</v>
      </c>
      <c r="P1164" s="7">
        <v>63</v>
      </c>
      <c r="Q1164" s="7" t="s">
        <v>34</v>
      </c>
      <c r="R1164" s="8"/>
      <c r="S1164" s="8"/>
      <c r="T1164" s="7" t="s">
        <v>35</v>
      </c>
      <c r="U1164" s="36" t="s">
        <v>61</v>
      </c>
      <c r="V1164" s="38"/>
      <c r="W1164" s="36"/>
      <c r="X1164" s="36"/>
      <c r="Y1164" s="36"/>
      <c r="Z1164" s="41"/>
      <c r="AA1164" s="42" t="e">
        <f>_xlfn.XLOOKUP(C1164,#REF!,#REF!,"",0,1)</f>
        <v>#REF!</v>
      </c>
      <c r="AB1164" s="43">
        <f t="shared" si="51"/>
        <v>0</v>
      </c>
    </row>
    <row r="1165" spans="1:28" ht="208.5" thickBot="1" x14ac:dyDescent="0.3">
      <c r="A1165" s="36">
        <v>1164</v>
      </c>
      <c r="B1165" s="36" t="s">
        <v>24</v>
      </c>
      <c r="C1165" s="36" t="s">
        <v>263</v>
      </c>
      <c r="D1165" s="37">
        <v>45026</v>
      </c>
      <c r="E1165" s="36" t="s">
        <v>2921</v>
      </c>
      <c r="F1165" s="36" t="s">
        <v>2922</v>
      </c>
      <c r="G1165" s="36" t="s">
        <v>65</v>
      </c>
      <c r="H1165" s="36" t="s">
        <v>2929</v>
      </c>
      <c r="I1165" s="36" t="s">
        <v>44</v>
      </c>
      <c r="J1165" s="36" t="str">
        <f t="shared" si="50"/>
        <v>Urban Development 1Town planning EstablishmentB (Non Gazetted)Planning AssistantS15 (41800 - 132300)</v>
      </c>
      <c r="K1165" s="36" t="s">
        <v>2930</v>
      </c>
      <c r="L1165" s="36" t="s">
        <v>225</v>
      </c>
      <c r="M1165" s="38" t="s">
        <v>2931</v>
      </c>
      <c r="N1165" s="36" t="s">
        <v>41</v>
      </c>
      <c r="O1165" s="6" t="s">
        <v>83</v>
      </c>
      <c r="P1165" s="7">
        <v>47</v>
      </c>
      <c r="Q1165" s="7" t="s">
        <v>34</v>
      </c>
      <c r="R1165" s="8"/>
      <c r="S1165" s="8"/>
      <c r="T1165" s="7" t="s">
        <v>35</v>
      </c>
      <c r="U1165" s="36" t="s">
        <v>61</v>
      </c>
      <c r="V1165" s="38" t="s">
        <v>2932</v>
      </c>
      <c r="W1165" s="36"/>
      <c r="X1165" s="36" t="s">
        <v>2933</v>
      </c>
      <c r="Y1165" s="36" t="s">
        <v>2934</v>
      </c>
      <c r="Z1165" s="41"/>
      <c r="AA1165" s="42" t="e">
        <f>_xlfn.XLOOKUP(C1165,#REF!,#REF!,"",0,1)</f>
        <v>#REF!</v>
      </c>
      <c r="AB1165" s="43">
        <f t="shared" si="51"/>
        <v>0</v>
      </c>
    </row>
    <row r="1166" spans="1:28" ht="130.5" thickBot="1" x14ac:dyDescent="0.3">
      <c r="A1166" s="36">
        <v>1165</v>
      </c>
      <c r="B1166" s="36" t="s">
        <v>24</v>
      </c>
      <c r="C1166" s="36" t="s">
        <v>263</v>
      </c>
      <c r="D1166" s="37">
        <v>45026</v>
      </c>
      <c r="E1166" s="36" t="s">
        <v>2921</v>
      </c>
      <c r="F1166" s="36" t="s">
        <v>2922</v>
      </c>
      <c r="G1166" s="36" t="s">
        <v>65</v>
      </c>
      <c r="H1166" s="36" t="s">
        <v>212</v>
      </c>
      <c r="I1166" s="36" t="s">
        <v>44</v>
      </c>
      <c r="J1166" s="36" t="str">
        <f t="shared" si="50"/>
        <v>Urban Development 1Town planning EstablishmentB (Non Gazetted)Lower Grade StenographerS15 (41800 - 132300)</v>
      </c>
      <c r="K1166" s="36" t="s">
        <v>68</v>
      </c>
      <c r="L1166" s="36" t="s">
        <v>231</v>
      </c>
      <c r="M1166" s="38" t="s">
        <v>2935</v>
      </c>
      <c r="N1166" s="36" t="s">
        <v>70</v>
      </c>
      <c r="O1166" s="6" t="s">
        <v>33</v>
      </c>
      <c r="P1166" s="7">
        <v>19</v>
      </c>
      <c r="Q1166" s="7" t="s">
        <v>34</v>
      </c>
      <c r="R1166" s="8"/>
      <c r="S1166" s="8"/>
      <c r="T1166" s="4" t="s">
        <v>3276</v>
      </c>
      <c r="U1166" s="36" t="s">
        <v>61</v>
      </c>
      <c r="V1166" s="38"/>
      <c r="W1166" s="36"/>
      <c r="X1166" s="36"/>
      <c r="Y1166" s="36"/>
      <c r="Z1166" s="41"/>
      <c r="AA1166" s="42" t="e">
        <f>_xlfn.XLOOKUP(C1166,#REF!,#REF!,"",0,1)</f>
        <v>#REF!</v>
      </c>
      <c r="AB1166" s="43">
        <f t="shared" si="51"/>
        <v>0</v>
      </c>
    </row>
    <row r="1167" spans="1:28" ht="130.5" thickBot="1" x14ac:dyDescent="0.3">
      <c r="A1167" s="36">
        <v>1166</v>
      </c>
      <c r="B1167" s="36" t="s">
        <v>24</v>
      </c>
      <c r="C1167" s="36" t="s">
        <v>263</v>
      </c>
      <c r="D1167" s="37">
        <v>45026</v>
      </c>
      <c r="E1167" s="36" t="s">
        <v>2921</v>
      </c>
      <c r="F1167" s="36" t="s">
        <v>2922</v>
      </c>
      <c r="G1167" s="36" t="s">
        <v>65</v>
      </c>
      <c r="H1167" s="36" t="s">
        <v>214</v>
      </c>
      <c r="I1167" s="36" t="s">
        <v>54</v>
      </c>
      <c r="J1167" s="36" t="str">
        <f t="shared" si="50"/>
        <v>Urban Development 1Town planning EstablishmentB (Non Gazetted)Higher Grade StenographerS16 (44900 - 142400)</v>
      </c>
      <c r="K1167" s="36" t="s">
        <v>68</v>
      </c>
      <c r="L1167" s="36" t="s">
        <v>231</v>
      </c>
      <c r="M1167" s="38" t="s">
        <v>2936</v>
      </c>
      <c r="N1167" s="36" t="s">
        <v>70</v>
      </c>
      <c r="O1167" s="6" t="s">
        <v>33</v>
      </c>
      <c r="P1167" s="7">
        <v>0</v>
      </c>
      <c r="Q1167" s="7" t="s">
        <v>34</v>
      </c>
      <c r="R1167" s="8"/>
      <c r="S1167" s="8"/>
      <c r="T1167" s="4" t="s">
        <v>3276</v>
      </c>
      <c r="U1167" s="36" t="s">
        <v>61</v>
      </c>
      <c r="V1167" s="38"/>
      <c r="W1167" s="36"/>
      <c r="X1167" s="36"/>
      <c r="Y1167" s="36"/>
      <c r="Z1167" s="41"/>
      <c r="AA1167" s="42" t="e">
        <f>_xlfn.XLOOKUP(C1167,#REF!,#REF!,"",0,1)</f>
        <v>#REF!</v>
      </c>
      <c r="AB1167" s="43">
        <f t="shared" si="51"/>
        <v>0</v>
      </c>
    </row>
    <row r="1168" spans="1:28" ht="91.5" thickBot="1" x14ac:dyDescent="0.3">
      <c r="A1168" s="36">
        <v>1167</v>
      </c>
      <c r="B1168" s="36" t="s">
        <v>24</v>
      </c>
      <c r="C1168" s="36" t="s">
        <v>263</v>
      </c>
      <c r="D1168" s="37">
        <v>45026</v>
      </c>
      <c r="E1168" s="36" t="s">
        <v>2921</v>
      </c>
      <c r="F1168" s="36" t="s">
        <v>2922</v>
      </c>
      <c r="G1168" s="36" t="s">
        <v>55</v>
      </c>
      <c r="H1168" s="36" t="s">
        <v>123</v>
      </c>
      <c r="I1168" s="36" t="s">
        <v>74</v>
      </c>
      <c r="J1168" s="36" t="str">
        <f t="shared" si="50"/>
        <v>Urban Development 1Town planning EstablishmentCJunior ClerkS6 (19900 - 63200)</v>
      </c>
      <c r="K1168" s="36" t="s">
        <v>75</v>
      </c>
      <c r="L1168" s="36" t="s">
        <v>228</v>
      </c>
      <c r="M1168" s="38" t="s">
        <v>2937</v>
      </c>
      <c r="N1168" s="36" t="s">
        <v>70</v>
      </c>
      <c r="O1168" s="6" t="s">
        <v>33</v>
      </c>
      <c r="P1168" s="7">
        <v>16</v>
      </c>
      <c r="Q1168" s="7" t="s">
        <v>34</v>
      </c>
      <c r="R1168" s="8"/>
      <c r="S1168" s="8"/>
      <c r="T1168" s="7" t="s">
        <v>61</v>
      </c>
      <c r="U1168" s="36" t="s">
        <v>61</v>
      </c>
      <c r="V1168" s="38" t="s">
        <v>125</v>
      </c>
      <c r="W1168" s="36"/>
      <c r="X1168" s="36" t="s">
        <v>77</v>
      </c>
      <c r="Y1168" s="36" t="s">
        <v>78</v>
      </c>
      <c r="Z1168" s="41"/>
      <c r="AA1168" s="42" t="e">
        <f>_xlfn.XLOOKUP(C1168,#REF!,#REF!,"",0,1)</f>
        <v>#REF!</v>
      </c>
      <c r="AB1168" s="43">
        <f t="shared" si="51"/>
        <v>0</v>
      </c>
    </row>
    <row r="1169" spans="1:28" ht="104.5" thickBot="1" x14ac:dyDescent="0.3">
      <c r="A1169" s="36">
        <v>1168</v>
      </c>
      <c r="B1169" s="36" t="s">
        <v>24</v>
      </c>
      <c r="C1169" s="36" t="s">
        <v>263</v>
      </c>
      <c r="D1169" s="37">
        <v>45026</v>
      </c>
      <c r="E1169" s="36" t="s">
        <v>2921</v>
      </c>
      <c r="F1169" s="36" t="s">
        <v>2922</v>
      </c>
      <c r="G1169" s="36" t="s">
        <v>55</v>
      </c>
      <c r="H1169" s="36" t="s">
        <v>1384</v>
      </c>
      <c r="I1169" s="36" t="s">
        <v>169</v>
      </c>
      <c r="J1169" s="36" t="str">
        <f t="shared" si="50"/>
        <v>Urban Development 1Town planning EstablishmentCTracerS7 (21700 - 69100)</v>
      </c>
      <c r="K1169" s="36" t="s">
        <v>1385</v>
      </c>
      <c r="L1169" s="36" t="s">
        <v>225</v>
      </c>
      <c r="M1169" s="38" t="s">
        <v>2938</v>
      </c>
      <c r="N1169" s="36" t="s">
        <v>2939</v>
      </c>
      <c r="O1169" s="6" t="s">
        <v>83</v>
      </c>
      <c r="P1169" s="7">
        <v>7</v>
      </c>
      <c r="Q1169" s="7" t="s">
        <v>34</v>
      </c>
      <c r="R1169" s="8"/>
      <c r="S1169" s="8"/>
      <c r="T1169" s="7" t="s">
        <v>61</v>
      </c>
      <c r="U1169" s="36" t="s">
        <v>61</v>
      </c>
      <c r="V1169" s="38" t="s">
        <v>2940</v>
      </c>
      <c r="W1169" s="36"/>
      <c r="X1169" s="36" t="s">
        <v>2941</v>
      </c>
      <c r="Y1169" s="36" t="s">
        <v>2942</v>
      </c>
      <c r="Z1169" s="41"/>
      <c r="AA1169" s="42" t="e">
        <f>_xlfn.XLOOKUP(C1169,#REF!,#REF!,"",0,1)</f>
        <v>#REF!</v>
      </c>
      <c r="AB1169" s="43">
        <f t="shared" si="51"/>
        <v>0</v>
      </c>
    </row>
    <row r="1170" spans="1:28" ht="104.5" thickBot="1" x14ac:dyDescent="0.3">
      <c r="A1170" s="36">
        <v>1169</v>
      </c>
      <c r="B1170" s="36" t="s">
        <v>24</v>
      </c>
      <c r="C1170" s="36" t="s">
        <v>263</v>
      </c>
      <c r="D1170" s="37">
        <v>45026</v>
      </c>
      <c r="E1170" s="36" t="s">
        <v>2921</v>
      </c>
      <c r="F1170" s="36" t="s">
        <v>2922</v>
      </c>
      <c r="G1170" s="36" t="s">
        <v>55</v>
      </c>
      <c r="H1170" s="36" t="s">
        <v>1564</v>
      </c>
      <c r="I1170" s="36" t="s">
        <v>80</v>
      </c>
      <c r="J1170" s="36" t="str">
        <f t="shared" si="50"/>
        <v>Urban Development 1Town planning EstablishmentCJunior DraftsmanS8 (25500 - 81100)</v>
      </c>
      <c r="K1170" s="36" t="s">
        <v>1385</v>
      </c>
      <c r="L1170" s="36" t="s">
        <v>225</v>
      </c>
      <c r="M1170" s="38" t="s">
        <v>2943</v>
      </c>
      <c r="N1170" s="36" t="s">
        <v>2939</v>
      </c>
      <c r="O1170" s="6" t="s">
        <v>83</v>
      </c>
      <c r="P1170" s="7">
        <v>30</v>
      </c>
      <c r="Q1170" s="7" t="s">
        <v>34</v>
      </c>
      <c r="R1170" s="8"/>
      <c r="S1170" s="8"/>
      <c r="T1170" s="7" t="s">
        <v>61</v>
      </c>
      <c r="U1170" s="36" t="s">
        <v>61</v>
      </c>
      <c r="V1170" s="38" t="s">
        <v>2940</v>
      </c>
      <c r="W1170" s="36"/>
      <c r="X1170" s="36" t="s">
        <v>2941</v>
      </c>
      <c r="Y1170" s="36" t="s">
        <v>2942</v>
      </c>
      <c r="Z1170" s="41"/>
      <c r="AA1170" s="42" t="e">
        <f>_xlfn.XLOOKUP(C1170,#REF!,#REF!,"",0,1)</f>
        <v>#REF!</v>
      </c>
      <c r="AB1170" s="43">
        <f t="shared" si="51"/>
        <v>0</v>
      </c>
    </row>
    <row r="1171" spans="1:28" ht="130.5" thickBot="1" x14ac:dyDescent="0.3">
      <c r="A1171" s="36">
        <v>1170</v>
      </c>
      <c r="B1171" s="36" t="s">
        <v>24</v>
      </c>
      <c r="C1171" s="36" t="s">
        <v>263</v>
      </c>
      <c r="D1171" s="37">
        <v>44048</v>
      </c>
      <c r="E1171" s="36" t="s">
        <v>2944</v>
      </c>
      <c r="F1171" s="36" t="s">
        <v>2945</v>
      </c>
      <c r="G1171" s="36" t="s">
        <v>28</v>
      </c>
      <c r="H1171" s="36" t="s">
        <v>2946</v>
      </c>
      <c r="I1171" s="36" t="s">
        <v>38</v>
      </c>
      <c r="J1171" s="36" t="str">
        <f t="shared" si="50"/>
        <v>Urban Development 2CO EstablishmentAAssistant Commissioner ClassA/Chief OfficerS20 (56100 - 177500)</v>
      </c>
      <c r="K1171" s="36" t="s">
        <v>45</v>
      </c>
      <c r="L1171" s="36" t="s">
        <v>247</v>
      </c>
      <c r="M1171" s="38" t="s">
        <v>728</v>
      </c>
      <c r="N1171" s="36" t="s">
        <v>41</v>
      </c>
      <c r="O1171" s="6" t="s">
        <v>33</v>
      </c>
      <c r="P1171" s="7">
        <v>6</v>
      </c>
      <c r="Q1171" s="7" t="s">
        <v>34</v>
      </c>
      <c r="R1171" s="8"/>
      <c r="S1171" s="8"/>
      <c r="T1171" s="7" t="s">
        <v>61</v>
      </c>
      <c r="U1171" s="36" t="s">
        <v>61</v>
      </c>
      <c r="V1171" s="38"/>
      <c r="W1171" s="36"/>
      <c r="X1171" s="36"/>
      <c r="Y1171" s="36"/>
      <c r="Z1171" s="41"/>
      <c r="AA1171" s="42" t="e">
        <f>_xlfn.XLOOKUP(C1171,#REF!,#REF!,"",0,1)</f>
        <v>#REF!</v>
      </c>
      <c r="AB1171" s="43">
        <f t="shared" si="51"/>
        <v>0</v>
      </c>
    </row>
    <row r="1172" spans="1:28" ht="156.5" thickBot="1" x14ac:dyDescent="0.3">
      <c r="A1172" s="36">
        <v>1171</v>
      </c>
      <c r="B1172" s="36" t="s">
        <v>24</v>
      </c>
      <c r="C1172" s="36" t="s">
        <v>263</v>
      </c>
      <c r="D1172" s="37">
        <v>44048</v>
      </c>
      <c r="E1172" s="36" t="s">
        <v>2944</v>
      </c>
      <c r="F1172" s="36" t="s">
        <v>2945</v>
      </c>
      <c r="G1172" s="36" t="s">
        <v>42</v>
      </c>
      <c r="H1172" s="36" t="s">
        <v>2947</v>
      </c>
      <c r="I1172" s="36" t="s">
        <v>44</v>
      </c>
      <c r="J1172" s="36" t="str">
        <f t="shared" si="50"/>
        <v>Urban Development 2CO EstablishmentB (Gazetted)Assistant Commissioner ClassB/Chief OfficerS15 (41800 - 132300)</v>
      </c>
      <c r="K1172" s="36" t="s">
        <v>45</v>
      </c>
      <c r="L1172" s="36" t="s">
        <v>247</v>
      </c>
      <c r="M1172" s="38" t="s">
        <v>728</v>
      </c>
      <c r="N1172" s="36" t="s">
        <v>41</v>
      </c>
      <c r="O1172" s="6" t="s">
        <v>33</v>
      </c>
      <c r="P1172" s="7">
        <v>9</v>
      </c>
      <c r="Q1172" s="7" t="s">
        <v>34</v>
      </c>
      <c r="R1172" s="8"/>
      <c r="S1172" s="8"/>
      <c r="T1172" s="7" t="s">
        <v>61</v>
      </c>
      <c r="U1172" s="36" t="s">
        <v>36</v>
      </c>
      <c r="V1172" s="38"/>
      <c r="W1172" s="36"/>
      <c r="X1172" s="36"/>
      <c r="Y1172" s="36"/>
      <c r="Z1172" s="41"/>
      <c r="AA1172" s="42" t="e">
        <f>_xlfn.XLOOKUP(C1172,#REF!,#REF!,"",0,1)</f>
        <v>#REF!</v>
      </c>
      <c r="AB1172" s="43">
        <f t="shared" si="51"/>
        <v>0</v>
      </c>
    </row>
    <row r="1173" spans="1:28" ht="143.5" thickBot="1" x14ac:dyDescent="0.3">
      <c r="A1173" s="36">
        <v>1172</v>
      </c>
      <c r="B1173" s="36" t="s">
        <v>24</v>
      </c>
      <c r="C1173" s="36" t="s">
        <v>263</v>
      </c>
      <c r="D1173" s="37">
        <v>44048</v>
      </c>
      <c r="E1173" s="36" t="s">
        <v>2944</v>
      </c>
      <c r="F1173" s="36" t="s">
        <v>2948</v>
      </c>
      <c r="G1173" s="36" t="s">
        <v>65</v>
      </c>
      <c r="H1173" s="36" t="s">
        <v>2949</v>
      </c>
      <c r="I1173" s="36" t="s">
        <v>67</v>
      </c>
      <c r="J1173" s="36" t="str">
        <f t="shared" si="50"/>
        <v>Urban Development 2Directorate of Municipal Administration EstablishmentB (Non Gazetted)superintendentS14 (38600 - 122800)</v>
      </c>
      <c r="K1173" s="36" t="s">
        <v>58</v>
      </c>
      <c r="L1173" s="36" t="s">
        <v>228</v>
      </c>
      <c r="M1173" s="38" t="s">
        <v>2167</v>
      </c>
      <c r="N1173" s="36" t="s">
        <v>41</v>
      </c>
      <c r="O1173" s="6" t="s">
        <v>33</v>
      </c>
      <c r="P1173" s="7">
        <v>14</v>
      </c>
      <c r="Q1173" s="7" t="s">
        <v>34</v>
      </c>
      <c r="R1173" s="8"/>
      <c r="S1173" s="8"/>
      <c r="T1173" s="7" t="s">
        <v>35</v>
      </c>
      <c r="U1173" s="36" t="s">
        <v>36</v>
      </c>
      <c r="V1173" s="38" t="s">
        <v>2950</v>
      </c>
      <c r="W1173" s="36"/>
      <c r="X1173" s="36" t="s">
        <v>2951</v>
      </c>
      <c r="Y1173" s="46">
        <v>38200</v>
      </c>
      <c r="Z1173" s="41"/>
      <c r="AA1173" s="42" t="e">
        <f>_xlfn.XLOOKUP(C1173,#REF!,#REF!,"",0,1)</f>
        <v>#REF!</v>
      </c>
      <c r="AB1173" s="43">
        <f t="shared" si="51"/>
        <v>0</v>
      </c>
    </row>
    <row r="1174" spans="1:28" ht="156.5" thickBot="1" x14ac:dyDescent="0.3">
      <c r="A1174" s="36">
        <v>1173</v>
      </c>
      <c r="B1174" s="36" t="s">
        <v>24</v>
      </c>
      <c r="C1174" s="36" t="s">
        <v>263</v>
      </c>
      <c r="D1174" s="37">
        <v>44048</v>
      </c>
      <c r="E1174" s="36" t="s">
        <v>2944</v>
      </c>
      <c r="F1174" s="36" t="s">
        <v>2948</v>
      </c>
      <c r="G1174" s="36" t="s">
        <v>65</v>
      </c>
      <c r="H1174" s="36" t="s">
        <v>66</v>
      </c>
      <c r="I1174" s="36" t="s">
        <v>44</v>
      </c>
      <c r="J1174" s="36" t="str">
        <f t="shared" si="50"/>
        <v>Urban Development 2Directorate of Municipal Administration EstablishmentB (Non Gazetted)Stenographer (Lower Grade)S15 (41800 - 132300)</v>
      </c>
      <c r="K1174" s="36" t="s">
        <v>68</v>
      </c>
      <c r="L1174" s="36" t="s">
        <v>231</v>
      </c>
      <c r="M1174" s="38" t="s">
        <v>2952</v>
      </c>
      <c r="N1174" s="36" t="s">
        <v>70</v>
      </c>
      <c r="O1174" s="6" t="s">
        <v>33</v>
      </c>
      <c r="P1174" s="7">
        <v>1</v>
      </c>
      <c r="Q1174" s="7" t="s">
        <v>34</v>
      </c>
      <c r="R1174" s="8"/>
      <c r="S1174" s="8"/>
      <c r="T1174" s="4" t="s">
        <v>3276</v>
      </c>
      <c r="U1174" s="36" t="s">
        <v>36</v>
      </c>
      <c r="V1174" s="38"/>
      <c r="W1174" s="36"/>
      <c r="X1174" s="36"/>
      <c r="Y1174" s="36"/>
      <c r="Z1174" s="41"/>
      <c r="AA1174" s="42" t="e">
        <f>_xlfn.XLOOKUP(C1174,#REF!,#REF!,"",0,1)</f>
        <v>#REF!</v>
      </c>
      <c r="AB1174" s="43">
        <f t="shared" si="51"/>
        <v>0</v>
      </c>
    </row>
    <row r="1175" spans="1:28" ht="104.5" thickBot="1" x14ac:dyDescent="0.3">
      <c r="A1175" s="36">
        <v>1174</v>
      </c>
      <c r="B1175" s="36" t="s">
        <v>24</v>
      </c>
      <c r="C1175" s="36" t="s">
        <v>263</v>
      </c>
      <c r="D1175" s="37">
        <v>44048</v>
      </c>
      <c r="E1175" s="36" t="s">
        <v>2944</v>
      </c>
      <c r="F1175" s="36" t="s">
        <v>2948</v>
      </c>
      <c r="G1175" s="36" t="s">
        <v>55</v>
      </c>
      <c r="H1175" s="36" t="s">
        <v>2953</v>
      </c>
      <c r="I1175" s="36" t="s">
        <v>80</v>
      </c>
      <c r="J1175" s="36" t="str">
        <f t="shared" si="50"/>
        <v>Urban Development 2Directorate of Municipal Administration EstablishmentCassistantS8 (25500 - 81100)</v>
      </c>
      <c r="K1175" s="36" t="s">
        <v>221</v>
      </c>
      <c r="L1175" s="36" t="s">
        <v>228</v>
      </c>
      <c r="M1175" s="38" t="s">
        <v>2167</v>
      </c>
      <c r="N1175" s="36" t="s">
        <v>41</v>
      </c>
      <c r="O1175" s="6" t="s">
        <v>33</v>
      </c>
      <c r="P1175" s="7">
        <v>29</v>
      </c>
      <c r="Q1175" s="7" t="s">
        <v>34</v>
      </c>
      <c r="R1175" s="8"/>
      <c r="S1175" s="8"/>
      <c r="T1175" s="7" t="s">
        <v>61</v>
      </c>
      <c r="U1175" s="36" t="s">
        <v>36</v>
      </c>
      <c r="V1175" s="38" t="s">
        <v>2954</v>
      </c>
      <c r="W1175" s="36"/>
      <c r="X1175" s="36" t="s">
        <v>2955</v>
      </c>
      <c r="Y1175" s="46">
        <v>38200</v>
      </c>
      <c r="Z1175" s="41"/>
      <c r="AA1175" s="42" t="e">
        <f>_xlfn.XLOOKUP(C1175,#REF!,#REF!,"",0,1)</f>
        <v>#REF!</v>
      </c>
      <c r="AB1175" s="43">
        <f t="shared" si="51"/>
        <v>0</v>
      </c>
    </row>
    <row r="1176" spans="1:28" ht="104.5" thickBot="1" x14ac:dyDescent="0.3">
      <c r="A1176" s="36">
        <v>1175</v>
      </c>
      <c r="B1176" s="36" t="s">
        <v>24</v>
      </c>
      <c r="C1176" s="36" t="s">
        <v>263</v>
      </c>
      <c r="D1176" s="37">
        <v>44048</v>
      </c>
      <c r="E1176" s="36" t="s">
        <v>2944</v>
      </c>
      <c r="F1176" s="36" t="s">
        <v>2948</v>
      </c>
      <c r="G1176" s="36" t="s">
        <v>55</v>
      </c>
      <c r="H1176" s="36" t="s">
        <v>92</v>
      </c>
      <c r="I1176" s="36" t="s">
        <v>80</v>
      </c>
      <c r="J1176" s="36" t="str">
        <f t="shared" si="50"/>
        <v>Urban Development 2Directorate of Municipal Administration EstablishmentCSteno TypistS8 (25500 - 81100)</v>
      </c>
      <c r="K1176" s="36" t="s">
        <v>68</v>
      </c>
      <c r="L1176" s="36" t="s">
        <v>231</v>
      </c>
      <c r="M1176" s="38" t="s">
        <v>2956</v>
      </c>
      <c r="N1176" s="36" t="s">
        <v>70</v>
      </c>
      <c r="O1176" s="6" t="s">
        <v>33</v>
      </c>
      <c r="P1176" s="7">
        <v>1</v>
      </c>
      <c r="Q1176" s="7" t="s">
        <v>34</v>
      </c>
      <c r="R1176" s="8"/>
      <c r="S1176" s="8"/>
      <c r="T1176" s="4" t="s">
        <v>3276</v>
      </c>
      <c r="U1176" s="36" t="s">
        <v>36</v>
      </c>
      <c r="V1176" s="38"/>
      <c r="W1176" s="36"/>
      <c r="X1176" s="36"/>
      <c r="Y1176" s="36"/>
      <c r="Z1176" s="41"/>
      <c r="AA1176" s="42" t="e">
        <f>_xlfn.XLOOKUP(C1176,#REF!,#REF!,"",0,1)</f>
        <v>#REF!</v>
      </c>
      <c r="AB1176" s="43">
        <f t="shared" si="51"/>
        <v>0</v>
      </c>
    </row>
    <row r="1177" spans="1:28" ht="143.5" thickBot="1" x14ac:dyDescent="0.3">
      <c r="A1177" s="36">
        <v>1176</v>
      </c>
      <c r="B1177" s="36" t="s">
        <v>983</v>
      </c>
      <c r="C1177" s="36" t="s">
        <v>263</v>
      </c>
      <c r="D1177" s="37">
        <v>44048</v>
      </c>
      <c r="E1177" s="36" t="s">
        <v>2944</v>
      </c>
      <c r="F1177" s="36" t="s">
        <v>2957</v>
      </c>
      <c r="G1177" s="36" t="s">
        <v>55</v>
      </c>
      <c r="H1177" s="36" t="s">
        <v>2958</v>
      </c>
      <c r="I1177" s="36" t="s">
        <v>276</v>
      </c>
      <c r="J1177" s="36" t="str">
        <f t="shared" si="50"/>
        <v>Urban Development 2State Cadre EstablishmentCTax Assessment and Administrative officer (Grade C)S10 (29200 - 92300)</v>
      </c>
      <c r="K1177" s="36"/>
      <c r="L1177" s="36"/>
      <c r="M1177" s="38" t="s">
        <v>2959</v>
      </c>
      <c r="N1177" s="36" t="s">
        <v>41</v>
      </c>
      <c r="O1177" s="6" t="s">
        <v>33</v>
      </c>
      <c r="P1177" s="8"/>
      <c r="Q1177" s="7" t="s">
        <v>34</v>
      </c>
      <c r="R1177" s="8"/>
      <c r="S1177" s="8"/>
      <c r="T1177" s="4" t="s">
        <v>3276</v>
      </c>
      <c r="U1177" s="36" t="s">
        <v>36</v>
      </c>
      <c r="V1177" s="38"/>
      <c r="W1177" s="36"/>
      <c r="X1177" s="36"/>
      <c r="Y1177" s="36"/>
      <c r="Z1177" s="41"/>
      <c r="AA1177" s="42" t="e">
        <f>_xlfn.XLOOKUP(C1177,#REF!,#REF!,"",0,1)</f>
        <v>#REF!</v>
      </c>
      <c r="AB1177" s="43">
        <f t="shared" si="51"/>
        <v>0</v>
      </c>
    </row>
    <row r="1178" spans="1:28" ht="104.5" thickBot="1" x14ac:dyDescent="0.3">
      <c r="A1178" s="36">
        <v>1177</v>
      </c>
      <c r="B1178" s="36" t="s">
        <v>983</v>
      </c>
      <c r="C1178" s="36" t="s">
        <v>263</v>
      </c>
      <c r="D1178" s="37">
        <v>44048</v>
      </c>
      <c r="E1178" s="36" t="s">
        <v>2944</v>
      </c>
      <c r="F1178" s="36" t="s">
        <v>2957</v>
      </c>
      <c r="G1178" s="36" t="s">
        <v>55</v>
      </c>
      <c r="H1178" s="36" t="s">
        <v>2960</v>
      </c>
      <c r="I1178" s="36" t="s">
        <v>276</v>
      </c>
      <c r="J1178" s="36" t="str">
        <f t="shared" si="50"/>
        <v>Urban Development 2State Cadre EstablishmentCFire service Officer (Grade C)S10 (29200 - 92300)</v>
      </c>
      <c r="K1178" s="36"/>
      <c r="L1178" s="36"/>
      <c r="M1178" s="38" t="s">
        <v>2961</v>
      </c>
      <c r="N1178" s="36" t="s">
        <v>2962</v>
      </c>
      <c r="O1178" s="6" t="s">
        <v>83</v>
      </c>
      <c r="P1178" s="8"/>
      <c r="Q1178" s="7" t="s">
        <v>34</v>
      </c>
      <c r="R1178" s="8"/>
      <c r="S1178" s="8"/>
      <c r="T1178" s="4" t="s">
        <v>3276</v>
      </c>
      <c r="U1178" s="36" t="s">
        <v>36</v>
      </c>
      <c r="V1178" s="38"/>
      <c r="W1178" s="36"/>
      <c r="X1178" s="36"/>
      <c r="Y1178" s="36"/>
      <c r="Z1178" s="41"/>
      <c r="AA1178" s="42" t="e">
        <f>_xlfn.XLOOKUP(C1178,#REF!,#REF!,"",0,1)</f>
        <v>#REF!</v>
      </c>
      <c r="AB1178" s="43">
        <f t="shared" si="51"/>
        <v>0</v>
      </c>
    </row>
    <row r="1179" spans="1:28" ht="104.5" thickBot="1" x14ac:dyDescent="0.3">
      <c r="A1179" s="36">
        <v>1178</v>
      </c>
      <c r="B1179" s="36" t="s">
        <v>983</v>
      </c>
      <c r="C1179" s="36" t="s">
        <v>263</v>
      </c>
      <c r="D1179" s="37">
        <v>44048</v>
      </c>
      <c r="E1179" s="36" t="s">
        <v>2944</v>
      </c>
      <c r="F1179" s="36" t="s">
        <v>2957</v>
      </c>
      <c r="G1179" s="36" t="s">
        <v>55</v>
      </c>
      <c r="H1179" s="36" t="s">
        <v>2963</v>
      </c>
      <c r="I1179" s="36" t="s">
        <v>276</v>
      </c>
      <c r="J1179" s="36" t="str">
        <f t="shared" si="50"/>
        <v>Urban Development 2State Cadre EstablishmentCSanitation Inspector (Grade C)S10 (29200 - 92300)</v>
      </c>
      <c r="K1179" s="36"/>
      <c r="L1179" s="36"/>
      <c r="M1179" s="38" t="s">
        <v>2964</v>
      </c>
      <c r="N1179" s="36" t="s">
        <v>60</v>
      </c>
      <c r="O1179" s="6" t="s">
        <v>33</v>
      </c>
      <c r="P1179" s="8"/>
      <c r="Q1179" s="7" t="s">
        <v>34</v>
      </c>
      <c r="R1179" s="8"/>
      <c r="S1179" s="8"/>
      <c r="T1179" s="4" t="s">
        <v>3276</v>
      </c>
      <c r="U1179" s="36" t="s">
        <v>36</v>
      </c>
      <c r="V1179" s="38"/>
      <c r="W1179" s="36"/>
      <c r="X1179" s="36"/>
      <c r="Y1179" s="36"/>
      <c r="Z1179" s="41"/>
      <c r="AA1179" s="42" t="e">
        <f>_xlfn.XLOOKUP(C1179,#REF!,#REF!,"",0,1)</f>
        <v>#REF!</v>
      </c>
      <c r="AB1179" s="43">
        <f t="shared" si="51"/>
        <v>0</v>
      </c>
    </row>
    <row r="1180" spans="1:28" ht="117.5" thickBot="1" x14ac:dyDescent="0.3">
      <c r="A1180" s="36">
        <v>1179</v>
      </c>
      <c r="B1180" s="36" t="s">
        <v>983</v>
      </c>
      <c r="C1180" s="36" t="s">
        <v>263</v>
      </c>
      <c r="D1180" s="37">
        <v>44048</v>
      </c>
      <c r="E1180" s="36" t="s">
        <v>2944</v>
      </c>
      <c r="F1180" s="36" t="s">
        <v>2957</v>
      </c>
      <c r="G1180" s="36" t="s">
        <v>55</v>
      </c>
      <c r="H1180" s="36" t="s">
        <v>2965</v>
      </c>
      <c r="I1180" s="36" t="s">
        <v>57</v>
      </c>
      <c r="J1180" s="36" t="str">
        <f t="shared" si="50"/>
        <v>Urban Development 2State Cadre EstablishmentCAudit and accounts officer (Grade C)S13 (35400 - 112400)</v>
      </c>
      <c r="K1180" s="36"/>
      <c r="L1180" s="36"/>
      <c r="M1180" s="38" t="s">
        <v>2966</v>
      </c>
      <c r="N1180" s="36" t="s">
        <v>2967</v>
      </c>
      <c r="O1180" s="6" t="s">
        <v>83</v>
      </c>
      <c r="P1180" s="8"/>
      <c r="Q1180" s="7" t="s">
        <v>34</v>
      </c>
      <c r="R1180" s="8"/>
      <c r="S1180" s="8"/>
      <c r="T1180" s="4" t="s">
        <v>3276</v>
      </c>
      <c r="U1180" s="36" t="s">
        <v>36</v>
      </c>
      <c r="V1180" s="38"/>
      <c r="W1180" s="36"/>
      <c r="X1180" s="36"/>
      <c r="Y1180" s="36"/>
      <c r="Z1180" s="41"/>
      <c r="AA1180" s="42" t="e">
        <f>_xlfn.XLOOKUP(C1180,#REF!,#REF!,"",0,1)</f>
        <v>#REF!</v>
      </c>
      <c r="AB1180" s="43">
        <f t="shared" si="51"/>
        <v>0</v>
      </c>
    </row>
    <row r="1181" spans="1:28" ht="104.5" thickBot="1" x14ac:dyDescent="0.3">
      <c r="A1181" s="36">
        <v>1180</v>
      </c>
      <c r="B1181" s="36" t="s">
        <v>983</v>
      </c>
      <c r="C1181" s="36" t="s">
        <v>263</v>
      </c>
      <c r="D1181" s="37">
        <v>44048</v>
      </c>
      <c r="E1181" s="36" t="s">
        <v>2944</v>
      </c>
      <c r="F1181" s="36" t="s">
        <v>2957</v>
      </c>
      <c r="G1181" s="36" t="s">
        <v>55</v>
      </c>
      <c r="H1181" s="36" t="s">
        <v>2968</v>
      </c>
      <c r="I1181" s="36" t="s">
        <v>57</v>
      </c>
      <c r="J1181" s="36" t="str">
        <f t="shared" si="50"/>
        <v>Urban Development 2State Cadre EstablishmentCCivil engineer (Grade C)S13 (35400 - 112400)</v>
      </c>
      <c r="K1181" s="36"/>
      <c r="L1181" s="36"/>
      <c r="M1181" s="38" t="s">
        <v>2969</v>
      </c>
      <c r="N1181" s="36" t="s">
        <v>1236</v>
      </c>
      <c r="O1181" s="6" t="s">
        <v>33</v>
      </c>
      <c r="P1181" s="8"/>
      <c r="Q1181" s="7" t="s">
        <v>34</v>
      </c>
      <c r="R1181" s="8"/>
      <c r="S1181" s="8"/>
      <c r="T1181" s="4" t="s">
        <v>3276</v>
      </c>
      <c r="U1181" s="36" t="s">
        <v>36</v>
      </c>
      <c r="V1181" s="38"/>
      <c r="W1181" s="36"/>
      <c r="X1181" s="36"/>
      <c r="Y1181" s="36"/>
      <c r="Z1181" s="41"/>
      <c r="AA1181" s="42" t="e">
        <f>_xlfn.XLOOKUP(C1181,#REF!,#REF!,"",0,1)</f>
        <v>#REF!</v>
      </c>
      <c r="AB1181" s="43">
        <f t="shared" si="51"/>
        <v>0</v>
      </c>
    </row>
    <row r="1182" spans="1:28" ht="117.5" thickBot="1" x14ac:dyDescent="0.3">
      <c r="A1182" s="36">
        <v>1181</v>
      </c>
      <c r="B1182" s="36" t="s">
        <v>983</v>
      </c>
      <c r="C1182" s="36" t="s">
        <v>263</v>
      </c>
      <c r="D1182" s="37">
        <v>44048</v>
      </c>
      <c r="E1182" s="36" t="s">
        <v>2944</v>
      </c>
      <c r="F1182" s="36" t="s">
        <v>2957</v>
      </c>
      <c r="G1182" s="36" t="s">
        <v>55</v>
      </c>
      <c r="H1182" s="36" t="s">
        <v>2970</v>
      </c>
      <c r="I1182" s="36" t="s">
        <v>57</v>
      </c>
      <c r="J1182" s="36" t="str">
        <f t="shared" si="50"/>
        <v>Urban Development 2State Cadre EstablishmentCElectrical engineer (Grade C)S13 (35400 - 112400)</v>
      </c>
      <c r="K1182" s="36"/>
      <c r="L1182" s="36"/>
      <c r="M1182" s="38" t="s">
        <v>2971</v>
      </c>
      <c r="N1182" s="36" t="s">
        <v>1236</v>
      </c>
      <c r="O1182" s="6" t="s">
        <v>33</v>
      </c>
      <c r="P1182" s="8"/>
      <c r="Q1182" s="7" t="s">
        <v>34</v>
      </c>
      <c r="R1182" s="8"/>
      <c r="S1182" s="8"/>
      <c r="T1182" s="4" t="s">
        <v>3276</v>
      </c>
      <c r="U1182" s="36" t="s">
        <v>36</v>
      </c>
      <c r="V1182" s="38"/>
      <c r="W1182" s="36"/>
      <c r="X1182" s="36"/>
      <c r="Y1182" s="36"/>
      <c r="Z1182" s="41"/>
      <c r="AA1182" s="42" t="e">
        <f>_xlfn.XLOOKUP(C1182,#REF!,#REF!,"",0,1)</f>
        <v>#REF!</v>
      </c>
      <c r="AB1182" s="43">
        <f t="shared" si="51"/>
        <v>0</v>
      </c>
    </row>
    <row r="1183" spans="1:28" ht="117.5" thickBot="1" x14ac:dyDescent="0.3">
      <c r="A1183" s="36">
        <v>1182</v>
      </c>
      <c r="B1183" s="36" t="s">
        <v>983</v>
      </c>
      <c r="C1183" s="36" t="s">
        <v>263</v>
      </c>
      <c r="D1183" s="37">
        <v>44048</v>
      </c>
      <c r="E1183" s="36" t="s">
        <v>2944</v>
      </c>
      <c r="F1183" s="36" t="s">
        <v>2957</v>
      </c>
      <c r="G1183" s="36" t="s">
        <v>55</v>
      </c>
      <c r="H1183" s="36" t="s">
        <v>2972</v>
      </c>
      <c r="I1183" s="36" t="s">
        <v>57</v>
      </c>
      <c r="J1183" s="36" t="str">
        <f t="shared" si="50"/>
        <v>Urban Development 2State Cadre EstablishmentCComputer engineer (Grade C)S13 (35400 - 112400)</v>
      </c>
      <c r="K1183" s="36"/>
      <c r="L1183" s="36"/>
      <c r="M1183" s="38" t="s">
        <v>2973</v>
      </c>
      <c r="N1183" s="36" t="s">
        <v>1236</v>
      </c>
      <c r="O1183" s="6" t="s">
        <v>33</v>
      </c>
      <c r="P1183" s="8"/>
      <c r="Q1183" s="7" t="s">
        <v>34</v>
      </c>
      <c r="R1183" s="8"/>
      <c r="S1183" s="8"/>
      <c r="T1183" s="4" t="s">
        <v>3276</v>
      </c>
      <c r="U1183" s="36" t="s">
        <v>36</v>
      </c>
      <c r="V1183" s="38"/>
      <c r="W1183" s="36"/>
      <c r="X1183" s="36"/>
      <c r="Y1183" s="36"/>
      <c r="Z1183" s="41"/>
      <c r="AA1183" s="42" t="e">
        <f>_xlfn.XLOOKUP(C1183,#REF!,#REF!,"",0,1)</f>
        <v>#REF!</v>
      </c>
      <c r="AB1183" s="43">
        <f t="shared" si="51"/>
        <v>0</v>
      </c>
    </row>
    <row r="1184" spans="1:28" ht="117.5" thickBot="1" x14ac:dyDescent="0.3">
      <c r="A1184" s="36">
        <v>1183</v>
      </c>
      <c r="B1184" s="36" t="s">
        <v>983</v>
      </c>
      <c r="C1184" s="36" t="s">
        <v>263</v>
      </c>
      <c r="D1184" s="37">
        <v>44048</v>
      </c>
      <c r="E1184" s="36" t="s">
        <v>2944</v>
      </c>
      <c r="F1184" s="36" t="s">
        <v>2957</v>
      </c>
      <c r="G1184" s="36" t="s">
        <v>55</v>
      </c>
      <c r="H1184" s="36" t="s">
        <v>2974</v>
      </c>
      <c r="I1184" s="36" t="s">
        <v>57</v>
      </c>
      <c r="J1184" s="36" t="str">
        <f t="shared" si="50"/>
        <v>Urban Development 2State Cadre EstablishmentCWater supply Engineer (Grade C)S13 (35400 - 112400)</v>
      </c>
      <c r="K1184" s="36"/>
      <c r="L1184" s="36"/>
      <c r="M1184" s="38" t="s">
        <v>2975</v>
      </c>
      <c r="N1184" s="36" t="s">
        <v>1236</v>
      </c>
      <c r="O1184" s="6" t="s">
        <v>33</v>
      </c>
      <c r="P1184" s="8"/>
      <c r="Q1184" s="7" t="s">
        <v>34</v>
      </c>
      <c r="R1184" s="8"/>
      <c r="S1184" s="8"/>
      <c r="T1184" s="4" t="s">
        <v>3276</v>
      </c>
      <c r="U1184" s="36" t="s">
        <v>36</v>
      </c>
      <c r="V1184" s="38"/>
      <c r="W1184" s="36"/>
      <c r="X1184" s="36"/>
      <c r="Y1184" s="36"/>
      <c r="Z1184" s="41"/>
      <c r="AA1184" s="42" t="e">
        <f>_xlfn.XLOOKUP(C1184,#REF!,#REF!,"",0,1)</f>
        <v>#REF!</v>
      </c>
      <c r="AB1184" s="43">
        <f t="shared" si="51"/>
        <v>0</v>
      </c>
    </row>
    <row r="1185" spans="1:28" ht="143.5" thickBot="1" x14ac:dyDescent="0.3">
      <c r="A1185" s="36">
        <v>1184</v>
      </c>
      <c r="B1185" s="36" t="s">
        <v>983</v>
      </c>
      <c r="C1185" s="36" t="s">
        <v>263</v>
      </c>
      <c r="D1185" s="37">
        <v>44048</v>
      </c>
      <c r="E1185" s="36" t="s">
        <v>2944</v>
      </c>
      <c r="F1185" s="36" t="s">
        <v>2957</v>
      </c>
      <c r="G1185" s="36" t="s">
        <v>55</v>
      </c>
      <c r="H1185" s="36" t="s">
        <v>2976</v>
      </c>
      <c r="I1185" s="36" t="s">
        <v>67</v>
      </c>
      <c r="J1185" s="36" t="str">
        <f t="shared" si="50"/>
        <v>Urban Development 2State Cadre EstablishmentCTax Assessment and Administrative officer (Grade B)S14 (38600 - 122800)</v>
      </c>
      <c r="K1185" s="36"/>
      <c r="L1185" s="36"/>
      <c r="M1185" s="38" t="s">
        <v>2977</v>
      </c>
      <c r="N1185" s="36" t="s">
        <v>41</v>
      </c>
      <c r="O1185" s="6" t="s">
        <v>33</v>
      </c>
      <c r="P1185" s="8"/>
      <c r="Q1185" s="7" t="s">
        <v>34</v>
      </c>
      <c r="R1185" s="8"/>
      <c r="S1185" s="8"/>
      <c r="T1185" s="4" t="s">
        <v>3276</v>
      </c>
      <c r="U1185" s="36" t="s">
        <v>36</v>
      </c>
      <c r="V1185" s="38"/>
      <c r="W1185" s="36"/>
      <c r="X1185" s="36"/>
      <c r="Y1185" s="36"/>
      <c r="Z1185" s="41"/>
      <c r="AA1185" s="42" t="e">
        <f>_xlfn.XLOOKUP(C1185,#REF!,#REF!,"",0,1)</f>
        <v>#REF!</v>
      </c>
      <c r="AB1185" s="43">
        <f t="shared" si="51"/>
        <v>0</v>
      </c>
    </row>
    <row r="1186" spans="1:28" ht="117.5" thickBot="1" x14ac:dyDescent="0.3">
      <c r="A1186" s="36">
        <v>1185</v>
      </c>
      <c r="B1186" s="36" t="s">
        <v>983</v>
      </c>
      <c r="C1186" s="36" t="s">
        <v>263</v>
      </c>
      <c r="D1186" s="37">
        <v>44048</v>
      </c>
      <c r="E1186" s="36" t="s">
        <v>2944</v>
      </c>
      <c r="F1186" s="36" t="s">
        <v>2957</v>
      </c>
      <c r="G1186" s="36" t="s">
        <v>55</v>
      </c>
      <c r="H1186" s="36" t="s">
        <v>2978</v>
      </c>
      <c r="I1186" s="36" t="s">
        <v>67</v>
      </c>
      <c r="J1186" s="36" t="str">
        <f t="shared" si="50"/>
        <v>Urban Development 2State Cadre EstablishmentCAudit and accounts officer (Grade B)S14 (38600 - 122800)</v>
      </c>
      <c r="K1186" s="36"/>
      <c r="L1186" s="36"/>
      <c r="M1186" s="38" t="s">
        <v>2966</v>
      </c>
      <c r="N1186" s="36" t="s">
        <v>2967</v>
      </c>
      <c r="O1186" s="6" t="s">
        <v>83</v>
      </c>
      <c r="P1186" s="8"/>
      <c r="Q1186" s="7" t="s">
        <v>34</v>
      </c>
      <c r="R1186" s="8"/>
      <c r="S1186" s="8"/>
      <c r="T1186" s="4" t="s">
        <v>3276</v>
      </c>
      <c r="U1186" s="36" t="s">
        <v>36</v>
      </c>
      <c r="V1186" s="38"/>
      <c r="W1186" s="36"/>
      <c r="X1186" s="36"/>
      <c r="Y1186" s="36"/>
      <c r="Z1186" s="41"/>
      <c r="AA1186" s="42" t="e">
        <f>_xlfn.XLOOKUP(C1186,#REF!,#REF!,"",0,1)</f>
        <v>#REF!</v>
      </c>
      <c r="AB1186" s="43">
        <f t="shared" si="51"/>
        <v>0</v>
      </c>
    </row>
    <row r="1187" spans="1:28" ht="104.5" thickBot="1" x14ac:dyDescent="0.3">
      <c r="A1187" s="36">
        <v>1186</v>
      </c>
      <c r="B1187" s="36" t="s">
        <v>983</v>
      </c>
      <c r="C1187" s="36" t="s">
        <v>263</v>
      </c>
      <c r="D1187" s="37">
        <v>44048</v>
      </c>
      <c r="E1187" s="36" t="s">
        <v>2944</v>
      </c>
      <c r="F1187" s="36" t="s">
        <v>2957</v>
      </c>
      <c r="G1187" s="36" t="s">
        <v>55</v>
      </c>
      <c r="H1187" s="36" t="s">
        <v>2979</v>
      </c>
      <c r="I1187" s="36" t="s">
        <v>67</v>
      </c>
      <c r="J1187" s="36" t="str">
        <f t="shared" si="50"/>
        <v>Urban Development 2State Cadre EstablishmentCFire service Officer (Grade B)S14 (38600 - 122800)</v>
      </c>
      <c r="K1187" s="36"/>
      <c r="L1187" s="36"/>
      <c r="M1187" s="38" t="s">
        <v>2980</v>
      </c>
      <c r="N1187" s="36" t="s">
        <v>2962</v>
      </c>
      <c r="O1187" s="6" t="s">
        <v>83</v>
      </c>
      <c r="P1187" s="8"/>
      <c r="Q1187" s="7" t="s">
        <v>34</v>
      </c>
      <c r="R1187" s="8"/>
      <c r="S1187" s="8"/>
      <c r="T1187" s="4" t="s">
        <v>3276</v>
      </c>
      <c r="U1187" s="36" t="s">
        <v>36</v>
      </c>
      <c r="V1187" s="38"/>
      <c r="W1187" s="36"/>
      <c r="X1187" s="36"/>
      <c r="Y1187" s="36"/>
      <c r="Z1187" s="41"/>
      <c r="AA1187" s="42" t="e">
        <f>_xlfn.XLOOKUP(C1187,#REF!,#REF!,"",0,1)</f>
        <v>#REF!</v>
      </c>
      <c r="AB1187" s="43">
        <f t="shared" si="51"/>
        <v>0</v>
      </c>
    </row>
    <row r="1188" spans="1:28" ht="104.5" thickBot="1" x14ac:dyDescent="0.3">
      <c r="A1188" s="36">
        <v>1187</v>
      </c>
      <c r="B1188" s="36" t="s">
        <v>983</v>
      </c>
      <c r="C1188" s="36" t="s">
        <v>263</v>
      </c>
      <c r="D1188" s="37">
        <v>44048</v>
      </c>
      <c r="E1188" s="36" t="s">
        <v>2944</v>
      </c>
      <c r="F1188" s="36" t="s">
        <v>2957</v>
      </c>
      <c r="G1188" s="36" t="s">
        <v>55</v>
      </c>
      <c r="H1188" s="36" t="s">
        <v>2981</v>
      </c>
      <c r="I1188" s="36" t="s">
        <v>67</v>
      </c>
      <c r="J1188" s="36" t="str">
        <f t="shared" si="50"/>
        <v>Urban Development 2State Cadre EstablishmentCCivil engineer (Grade B)S14 (38600 - 122800)</v>
      </c>
      <c r="K1188" s="36"/>
      <c r="L1188" s="36"/>
      <c r="M1188" s="38" t="s">
        <v>2982</v>
      </c>
      <c r="N1188" s="36" t="s">
        <v>1236</v>
      </c>
      <c r="O1188" s="6" t="s">
        <v>33</v>
      </c>
      <c r="P1188" s="8"/>
      <c r="Q1188" s="7" t="s">
        <v>34</v>
      </c>
      <c r="R1188" s="8"/>
      <c r="S1188" s="8"/>
      <c r="T1188" s="4" t="s">
        <v>3276</v>
      </c>
      <c r="U1188" s="36" t="s">
        <v>36</v>
      </c>
      <c r="V1188" s="38"/>
      <c r="W1188" s="36"/>
      <c r="X1188" s="36"/>
      <c r="Y1188" s="36"/>
      <c r="Z1188" s="41"/>
      <c r="AA1188" s="42" t="e">
        <f>_xlfn.XLOOKUP(C1188,#REF!,#REF!,"",0,1)</f>
        <v>#REF!</v>
      </c>
      <c r="AB1188" s="43">
        <f t="shared" si="51"/>
        <v>0</v>
      </c>
    </row>
    <row r="1189" spans="1:28" ht="117.5" thickBot="1" x14ac:dyDescent="0.3">
      <c r="A1189" s="36">
        <v>1188</v>
      </c>
      <c r="B1189" s="36" t="s">
        <v>983</v>
      </c>
      <c r="C1189" s="36" t="s">
        <v>263</v>
      </c>
      <c r="D1189" s="37">
        <v>44048</v>
      </c>
      <c r="E1189" s="36" t="s">
        <v>2944</v>
      </c>
      <c r="F1189" s="36" t="s">
        <v>2957</v>
      </c>
      <c r="G1189" s="36" t="s">
        <v>55</v>
      </c>
      <c r="H1189" s="36" t="s">
        <v>2983</v>
      </c>
      <c r="I1189" s="36" t="s">
        <v>67</v>
      </c>
      <c r="J1189" s="36" t="str">
        <f t="shared" si="50"/>
        <v>Urban Development 2State Cadre EstablishmentCElectrical engineer (Grade B)S14 (38600 - 122800)</v>
      </c>
      <c r="K1189" s="36"/>
      <c r="L1189" s="36"/>
      <c r="M1189" s="38" t="s">
        <v>2984</v>
      </c>
      <c r="N1189" s="36" t="s">
        <v>1236</v>
      </c>
      <c r="O1189" s="6" t="s">
        <v>33</v>
      </c>
      <c r="P1189" s="8"/>
      <c r="Q1189" s="7" t="s">
        <v>34</v>
      </c>
      <c r="R1189" s="8"/>
      <c r="S1189" s="8"/>
      <c r="T1189" s="4" t="s">
        <v>3276</v>
      </c>
      <c r="U1189" s="36" t="s">
        <v>36</v>
      </c>
      <c r="V1189" s="38"/>
      <c r="W1189" s="36"/>
      <c r="X1189" s="36"/>
      <c r="Y1189" s="36"/>
      <c r="Z1189" s="41"/>
      <c r="AA1189" s="42" t="e">
        <f>_xlfn.XLOOKUP(C1189,#REF!,#REF!,"",0,1)</f>
        <v>#REF!</v>
      </c>
      <c r="AB1189" s="43">
        <f t="shared" si="51"/>
        <v>0</v>
      </c>
    </row>
    <row r="1190" spans="1:28" ht="117.5" thickBot="1" x14ac:dyDescent="0.3">
      <c r="A1190" s="36">
        <v>1189</v>
      </c>
      <c r="B1190" s="36" t="s">
        <v>983</v>
      </c>
      <c r="C1190" s="36" t="s">
        <v>263</v>
      </c>
      <c r="D1190" s="37">
        <v>44048</v>
      </c>
      <c r="E1190" s="36" t="s">
        <v>2944</v>
      </c>
      <c r="F1190" s="36" t="s">
        <v>2957</v>
      </c>
      <c r="G1190" s="36" t="s">
        <v>55</v>
      </c>
      <c r="H1190" s="36" t="s">
        <v>2985</v>
      </c>
      <c r="I1190" s="36" t="s">
        <v>67</v>
      </c>
      <c r="J1190" s="36" t="str">
        <f t="shared" si="50"/>
        <v>Urban Development 2State Cadre EstablishmentCComputer engineer (Grade B)S14 (38600 - 122800)</v>
      </c>
      <c r="K1190" s="36"/>
      <c r="L1190" s="36"/>
      <c r="M1190" s="38" t="s">
        <v>2986</v>
      </c>
      <c r="N1190" s="36" t="s">
        <v>1236</v>
      </c>
      <c r="O1190" s="6" t="s">
        <v>33</v>
      </c>
      <c r="P1190" s="8"/>
      <c r="Q1190" s="7" t="s">
        <v>34</v>
      </c>
      <c r="R1190" s="8"/>
      <c r="S1190" s="8"/>
      <c r="T1190" s="4" t="s">
        <v>3276</v>
      </c>
      <c r="U1190" s="36" t="s">
        <v>36</v>
      </c>
      <c r="V1190" s="38"/>
      <c r="W1190" s="36"/>
      <c r="X1190" s="36"/>
      <c r="Y1190" s="36"/>
      <c r="Z1190" s="41"/>
      <c r="AA1190" s="42" t="e">
        <f>_xlfn.XLOOKUP(C1190,#REF!,#REF!,"",0,1)</f>
        <v>#REF!</v>
      </c>
      <c r="AB1190" s="43">
        <f t="shared" si="51"/>
        <v>0</v>
      </c>
    </row>
    <row r="1191" spans="1:28" ht="117.5" thickBot="1" x14ac:dyDescent="0.3">
      <c r="A1191" s="36">
        <v>1190</v>
      </c>
      <c r="B1191" s="36" t="s">
        <v>983</v>
      </c>
      <c r="C1191" s="36" t="s">
        <v>263</v>
      </c>
      <c r="D1191" s="37">
        <v>44048</v>
      </c>
      <c r="E1191" s="36" t="s">
        <v>2944</v>
      </c>
      <c r="F1191" s="36" t="s">
        <v>2957</v>
      </c>
      <c r="G1191" s="36" t="s">
        <v>55</v>
      </c>
      <c r="H1191" s="36" t="s">
        <v>2987</v>
      </c>
      <c r="I1191" s="36" t="s">
        <v>67</v>
      </c>
      <c r="J1191" s="36" t="str">
        <f t="shared" si="50"/>
        <v>Urban Development 2State Cadre EstablishmentCWater supply Engineer (Grade B)S14 (38600 - 122800)</v>
      </c>
      <c r="K1191" s="36"/>
      <c r="L1191" s="36"/>
      <c r="M1191" s="38" t="s">
        <v>2975</v>
      </c>
      <c r="N1191" s="36" t="s">
        <v>1236</v>
      </c>
      <c r="O1191" s="6" t="s">
        <v>33</v>
      </c>
      <c r="P1191" s="8"/>
      <c r="Q1191" s="7" t="s">
        <v>34</v>
      </c>
      <c r="R1191" s="8"/>
      <c r="S1191" s="8"/>
      <c r="T1191" s="4" t="s">
        <v>3276</v>
      </c>
      <c r="U1191" s="36" t="s">
        <v>36</v>
      </c>
      <c r="V1191" s="38"/>
      <c r="W1191" s="36"/>
      <c r="X1191" s="36"/>
      <c r="Y1191" s="36"/>
      <c r="Z1191" s="41"/>
      <c r="AA1191" s="42" t="e">
        <f>_xlfn.XLOOKUP(C1191,#REF!,#REF!,"",0,1)</f>
        <v>#REF!</v>
      </c>
      <c r="AB1191" s="43">
        <f t="shared" si="51"/>
        <v>0</v>
      </c>
    </row>
    <row r="1192" spans="1:28" ht="117.5" thickBot="1" x14ac:dyDescent="0.3">
      <c r="A1192" s="36">
        <v>1191</v>
      </c>
      <c r="B1192" s="36" t="s">
        <v>983</v>
      </c>
      <c r="C1192" s="36" t="s">
        <v>263</v>
      </c>
      <c r="D1192" s="37">
        <v>44048</v>
      </c>
      <c r="E1192" s="36" t="s">
        <v>2944</v>
      </c>
      <c r="F1192" s="36" t="s">
        <v>2957</v>
      </c>
      <c r="G1192" s="36" t="s">
        <v>55</v>
      </c>
      <c r="H1192" s="36" t="s">
        <v>2988</v>
      </c>
      <c r="I1192" s="36" t="s">
        <v>67</v>
      </c>
      <c r="J1192" s="36" t="str">
        <f t="shared" si="50"/>
        <v>Urban Development 2State Cadre EstablishmentCSanitation Inspector (Grade B)S14 (38600 - 122800)</v>
      </c>
      <c r="K1192" s="36"/>
      <c r="L1192" s="36"/>
      <c r="M1192" s="38" t="s">
        <v>2989</v>
      </c>
      <c r="N1192" s="36" t="s">
        <v>60</v>
      </c>
      <c r="O1192" s="6" t="s">
        <v>33</v>
      </c>
      <c r="P1192" s="8"/>
      <c r="Q1192" s="7" t="s">
        <v>34</v>
      </c>
      <c r="R1192" s="8"/>
      <c r="S1192" s="8"/>
      <c r="T1192" s="4" t="s">
        <v>3276</v>
      </c>
      <c r="U1192" s="36" t="s">
        <v>36</v>
      </c>
      <c r="V1192" s="38"/>
      <c r="W1192" s="36"/>
      <c r="X1192" s="36"/>
      <c r="Y1192" s="36"/>
      <c r="Z1192" s="41"/>
      <c r="AA1192" s="42" t="e">
        <f>_xlfn.XLOOKUP(C1192,#REF!,#REF!,"",0,1)</f>
        <v>#REF!</v>
      </c>
      <c r="AB1192" s="43">
        <f t="shared" si="51"/>
        <v>0</v>
      </c>
    </row>
    <row r="1193" spans="1:28" ht="143.5" thickBot="1" x14ac:dyDescent="0.3">
      <c r="A1193" s="36">
        <v>1192</v>
      </c>
      <c r="B1193" s="36" t="s">
        <v>983</v>
      </c>
      <c r="C1193" s="36" t="s">
        <v>263</v>
      </c>
      <c r="D1193" s="37">
        <v>44048</v>
      </c>
      <c r="E1193" s="36" t="s">
        <v>2944</v>
      </c>
      <c r="F1193" s="36" t="s">
        <v>2957</v>
      </c>
      <c r="G1193" s="36" t="s">
        <v>55</v>
      </c>
      <c r="H1193" s="36" t="s">
        <v>2990</v>
      </c>
      <c r="I1193" s="36" t="s">
        <v>44</v>
      </c>
      <c r="J1193" s="36" t="str">
        <f t="shared" si="50"/>
        <v>Urban Development 2State Cadre EstablishmentCTax Assessment and Administrative officer (Grade A)S15 (41800 - 132300)</v>
      </c>
      <c r="K1193" s="36"/>
      <c r="L1193" s="36"/>
      <c r="M1193" s="38" t="s">
        <v>2977</v>
      </c>
      <c r="N1193" s="36" t="s">
        <v>41</v>
      </c>
      <c r="O1193" s="6" t="s">
        <v>33</v>
      </c>
      <c r="P1193" s="8"/>
      <c r="Q1193" s="7" t="s">
        <v>34</v>
      </c>
      <c r="R1193" s="8"/>
      <c r="S1193" s="8"/>
      <c r="T1193" s="4" t="s">
        <v>3276</v>
      </c>
      <c r="U1193" s="36" t="s">
        <v>36</v>
      </c>
      <c r="V1193" s="38"/>
      <c r="W1193" s="36"/>
      <c r="X1193" s="36"/>
      <c r="Y1193" s="36"/>
      <c r="Z1193" s="41"/>
      <c r="AA1193" s="42" t="e">
        <f>_xlfn.XLOOKUP(C1193,#REF!,#REF!,"",0,1)</f>
        <v>#REF!</v>
      </c>
      <c r="AB1193" s="43">
        <f t="shared" si="51"/>
        <v>0</v>
      </c>
    </row>
    <row r="1194" spans="1:28" ht="117.5" thickBot="1" x14ac:dyDescent="0.3">
      <c r="A1194" s="36">
        <v>1193</v>
      </c>
      <c r="B1194" s="36" t="s">
        <v>983</v>
      </c>
      <c r="C1194" s="36" t="s">
        <v>263</v>
      </c>
      <c r="D1194" s="37">
        <v>44048</v>
      </c>
      <c r="E1194" s="36" t="s">
        <v>2944</v>
      </c>
      <c r="F1194" s="36" t="s">
        <v>2957</v>
      </c>
      <c r="G1194" s="36" t="s">
        <v>55</v>
      </c>
      <c r="H1194" s="36" t="s">
        <v>2991</v>
      </c>
      <c r="I1194" s="36" t="s">
        <v>44</v>
      </c>
      <c r="J1194" s="36" t="str">
        <f t="shared" si="50"/>
        <v>Urban Development 2State Cadre EstablishmentCAudit and accounts officer (Grade A)S15 (41800 - 132300)</v>
      </c>
      <c r="K1194" s="36"/>
      <c r="L1194" s="36"/>
      <c r="M1194" s="38" t="s">
        <v>2966</v>
      </c>
      <c r="N1194" s="36" t="s">
        <v>2967</v>
      </c>
      <c r="O1194" s="6" t="s">
        <v>83</v>
      </c>
      <c r="P1194" s="8"/>
      <c r="Q1194" s="7" t="s">
        <v>34</v>
      </c>
      <c r="R1194" s="8"/>
      <c r="S1194" s="8"/>
      <c r="T1194" s="4" t="s">
        <v>3276</v>
      </c>
      <c r="U1194" s="36" t="s">
        <v>36</v>
      </c>
      <c r="V1194" s="38"/>
      <c r="W1194" s="36"/>
      <c r="X1194" s="36"/>
      <c r="Y1194" s="36"/>
      <c r="Z1194" s="41"/>
      <c r="AA1194" s="42" t="e">
        <f>_xlfn.XLOOKUP(C1194,#REF!,#REF!,"",0,1)</f>
        <v>#REF!</v>
      </c>
      <c r="AB1194" s="43">
        <f t="shared" si="51"/>
        <v>0</v>
      </c>
    </row>
    <row r="1195" spans="1:28" ht="104.5" thickBot="1" x14ac:dyDescent="0.3">
      <c r="A1195" s="36">
        <v>1194</v>
      </c>
      <c r="B1195" s="36" t="s">
        <v>983</v>
      </c>
      <c r="C1195" s="36" t="s">
        <v>263</v>
      </c>
      <c r="D1195" s="37">
        <v>44048</v>
      </c>
      <c r="E1195" s="36" t="s">
        <v>2944</v>
      </c>
      <c r="F1195" s="36" t="s">
        <v>2957</v>
      </c>
      <c r="G1195" s="36" t="s">
        <v>55</v>
      </c>
      <c r="H1195" s="36" t="s">
        <v>2992</v>
      </c>
      <c r="I1195" s="36" t="s">
        <v>44</v>
      </c>
      <c r="J1195" s="36" t="str">
        <f t="shared" si="50"/>
        <v>Urban Development 2State Cadre EstablishmentCFire service Officer (Grade A)S15 (41800 - 132300)</v>
      </c>
      <c r="K1195" s="36"/>
      <c r="L1195" s="36"/>
      <c r="M1195" s="38" t="s">
        <v>2993</v>
      </c>
      <c r="N1195" s="36" t="s">
        <v>2962</v>
      </c>
      <c r="O1195" s="6" t="s">
        <v>83</v>
      </c>
      <c r="P1195" s="8"/>
      <c r="Q1195" s="7" t="s">
        <v>34</v>
      </c>
      <c r="R1195" s="8"/>
      <c r="S1195" s="8"/>
      <c r="T1195" s="4" t="s">
        <v>3276</v>
      </c>
      <c r="U1195" s="36" t="s">
        <v>36</v>
      </c>
      <c r="V1195" s="38"/>
      <c r="W1195" s="36"/>
      <c r="X1195" s="36"/>
      <c r="Y1195" s="36"/>
      <c r="Z1195" s="41"/>
      <c r="AA1195" s="42" t="e">
        <f>_xlfn.XLOOKUP(C1195,#REF!,#REF!,"",0,1)</f>
        <v>#REF!</v>
      </c>
      <c r="AB1195" s="43">
        <f t="shared" si="51"/>
        <v>0</v>
      </c>
    </row>
    <row r="1196" spans="1:28" ht="104.5" thickBot="1" x14ac:dyDescent="0.3">
      <c r="A1196" s="36">
        <v>1195</v>
      </c>
      <c r="B1196" s="36" t="s">
        <v>983</v>
      </c>
      <c r="C1196" s="36" t="s">
        <v>263</v>
      </c>
      <c r="D1196" s="37">
        <v>44048</v>
      </c>
      <c r="E1196" s="36" t="s">
        <v>2944</v>
      </c>
      <c r="F1196" s="36" t="s">
        <v>2957</v>
      </c>
      <c r="G1196" s="36" t="s">
        <v>55</v>
      </c>
      <c r="H1196" s="36" t="s">
        <v>2994</v>
      </c>
      <c r="I1196" s="36" t="s">
        <v>44</v>
      </c>
      <c r="J1196" s="36" t="str">
        <f t="shared" si="50"/>
        <v>Urban Development 2State Cadre EstablishmentCCivil engineer (Grade A)S15 (41800 - 132300)</v>
      </c>
      <c r="K1196" s="36"/>
      <c r="L1196" s="36"/>
      <c r="M1196" s="38" t="s">
        <v>2982</v>
      </c>
      <c r="N1196" s="36" t="s">
        <v>1236</v>
      </c>
      <c r="O1196" s="6" t="s">
        <v>33</v>
      </c>
      <c r="P1196" s="8"/>
      <c r="Q1196" s="7" t="s">
        <v>34</v>
      </c>
      <c r="R1196" s="8"/>
      <c r="S1196" s="8"/>
      <c r="T1196" s="4" t="s">
        <v>3276</v>
      </c>
      <c r="U1196" s="36" t="s">
        <v>36</v>
      </c>
      <c r="V1196" s="38"/>
      <c r="W1196" s="36"/>
      <c r="X1196" s="36"/>
      <c r="Y1196" s="36"/>
      <c r="Z1196" s="41"/>
      <c r="AA1196" s="42" t="e">
        <f>_xlfn.XLOOKUP(C1196,#REF!,#REF!,"",0,1)</f>
        <v>#REF!</v>
      </c>
      <c r="AB1196" s="43">
        <f t="shared" si="51"/>
        <v>0</v>
      </c>
    </row>
    <row r="1197" spans="1:28" ht="117.5" thickBot="1" x14ac:dyDescent="0.3">
      <c r="A1197" s="36">
        <v>1196</v>
      </c>
      <c r="B1197" s="36" t="s">
        <v>983</v>
      </c>
      <c r="C1197" s="36" t="s">
        <v>263</v>
      </c>
      <c r="D1197" s="37">
        <v>44048</v>
      </c>
      <c r="E1197" s="36" t="s">
        <v>2944</v>
      </c>
      <c r="F1197" s="36" t="s">
        <v>2957</v>
      </c>
      <c r="G1197" s="36" t="s">
        <v>55</v>
      </c>
      <c r="H1197" s="36" t="s">
        <v>2995</v>
      </c>
      <c r="I1197" s="36" t="s">
        <v>44</v>
      </c>
      <c r="J1197" s="36" t="str">
        <f t="shared" si="50"/>
        <v>Urban Development 2State Cadre EstablishmentCElectrical engineer (Grade A)S15 (41800 - 132300)</v>
      </c>
      <c r="K1197" s="36"/>
      <c r="L1197" s="36"/>
      <c r="M1197" s="38" t="s">
        <v>2984</v>
      </c>
      <c r="N1197" s="36" t="s">
        <v>1236</v>
      </c>
      <c r="O1197" s="6" t="s">
        <v>33</v>
      </c>
      <c r="P1197" s="8"/>
      <c r="Q1197" s="7" t="s">
        <v>34</v>
      </c>
      <c r="R1197" s="8"/>
      <c r="S1197" s="8"/>
      <c r="T1197" s="4" t="s">
        <v>3276</v>
      </c>
      <c r="U1197" s="36" t="s">
        <v>36</v>
      </c>
      <c r="V1197" s="38"/>
      <c r="W1197" s="36"/>
      <c r="X1197" s="36"/>
      <c r="Y1197" s="36"/>
      <c r="Z1197" s="41"/>
      <c r="AA1197" s="42" t="e">
        <f>_xlfn.XLOOKUP(C1197,#REF!,#REF!,"",0,1)</f>
        <v>#REF!</v>
      </c>
      <c r="AB1197" s="43">
        <f t="shared" si="51"/>
        <v>0</v>
      </c>
    </row>
    <row r="1198" spans="1:28" ht="117.5" thickBot="1" x14ac:dyDescent="0.3">
      <c r="A1198" s="36">
        <v>1197</v>
      </c>
      <c r="B1198" s="36" t="s">
        <v>983</v>
      </c>
      <c r="C1198" s="36" t="s">
        <v>263</v>
      </c>
      <c r="D1198" s="37">
        <v>44048</v>
      </c>
      <c r="E1198" s="36" t="s">
        <v>2944</v>
      </c>
      <c r="F1198" s="36" t="s">
        <v>2957</v>
      </c>
      <c r="G1198" s="36" t="s">
        <v>55</v>
      </c>
      <c r="H1198" s="36" t="s">
        <v>2996</v>
      </c>
      <c r="I1198" s="36" t="s">
        <v>44</v>
      </c>
      <c r="J1198" s="36" t="str">
        <f t="shared" si="50"/>
        <v>Urban Development 2State Cadre EstablishmentCComputer engineer (Grade A)S15 (41800 - 132300)</v>
      </c>
      <c r="K1198" s="36"/>
      <c r="L1198" s="36"/>
      <c r="M1198" s="38" t="s">
        <v>2997</v>
      </c>
      <c r="N1198" s="36" t="s">
        <v>1236</v>
      </c>
      <c r="O1198" s="6" t="s">
        <v>33</v>
      </c>
      <c r="P1198" s="8"/>
      <c r="Q1198" s="7" t="s">
        <v>34</v>
      </c>
      <c r="R1198" s="8"/>
      <c r="S1198" s="8"/>
      <c r="T1198" s="4" t="s">
        <v>3276</v>
      </c>
      <c r="U1198" s="36" t="s">
        <v>36</v>
      </c>
      <c r="V1198" s="38"/>
      <c r="W1198" s="36"/>
      <c r="X1198" s="36"/>
      <c r="Y1198" s="36"/>
      <c r="Z1198" s="41"/>
      <c r="AA1198" s="42" t="e">
        <f>_xlfn.XLOOKUP(C1198,#REF!,#REF!,"",0,1)</f>
        <v>#REF!</v>
      </c>
      <c r="AB1198" s="43">
        <f t="shared" si="51"/>
        <v>0</v>
      </c>
    </row>
    <row r="1199" spans="1:28" ht="117.5" thickBot="1" x14ac:dyDescent="0.3">
      <c r="A1199" s="36">
        <v>1198</v>
      </c>
      <c r="B1199" s="36" t="s">
        <v>983</v>
      </c>
      <c r="C1199" s="36" t="s">
        <v>263</v>
      </c>
      <c r="D1199" s="37">
        <v>44048</v>
      </c>
      <c r="E1199" s="36" t="s">
        <v>2944</v>
      </c>
      <c r="F1199" s="36" t="s">
        <v>2957</v>
      </c>
      <c r="G1199" s="36" t="s">
        <v>55</v>
      </c>
      <c r="H1199" s="36" t="s">
        <v>2998</v>
      </c>
      <c r="I1199" s="36" t="s">
        <v>44</v>
      </c>
      <c r="J1199" s="36" t="str">
        <f t="shared" si="50"/>
        <v>Urban Development 2State Cadre EstablishmentCWater supply Engineer (Grade A)S15 (41800 - 132300)</v>
      </c>
      <c r="K1199" s="36"/>
      <c r="L1199" s="36"/>
      <c r="M1199" s="38" t="s">
        <v>2975</v>
      </c>
      <c r="N1199" s="36" t="s">
        <v>1236</v>
      </c>
      <c r="O1199" s="6" t="s">
        <v>33</v>
      </c>
      <c r="P1199" s="8"/>
      <c r="Q1199" s="7" t="s">
        <v>34</v>
      </c>
      <c r="R1199" s="8"/>
      <c r="S1199" s="8"/>
      <c r="T1199" s="4" t="s">
        <v>3276</v>
      </c>
      <c r="U1199" s="36" t="s">
        <v>36</v>
      </c>
      <c r="V1199" s="38"/>
      <c r="W1199" s="36"/>
      <c r="X1199" s="36"/>
      <c r="Y1199" s="36"/>
      <c r="Z1199" s="41"/>
      <c r="AA1199" s="42" t="e">
        <f>_xlfn.XLOOKUP(C1199,#REF!,#REF!,"",0,1)</f>
        <v>#REF!</v>
      </c>
      <c r="AB1199" s="43">
        <f t="shared" si="51"/>
        <v>0</v>
      </c>
    </row>
    <row r="1200" spans="1:28" ht="117.5" thickBot="1" x14ac:dyDescent="0.3">
      <c r="A1200" s="36">
        <v>1199</v>
      </c>
      <c r="B1200" s="36" t="s">
        <v>983</v>
      </c>
      <c r="C1200" s="36" t="s">
        <v>263</v>
      </c>
      <c r="D1200" s="37">
        <v>44048</v>
      </c>
      <c r="E1200" s="36" t="s">
        <v>2944</v>
      </c>
      <c r="F1200" s="36" t="s">
        <v>2957</v>
      </c>
      <c r="G1200" s="36" t="s">
        <v>55</v>
      </c>
      <c r="H1200" s="36" t="s">
        <v>2999</v>
      </c>
      <c r="I1200" s="36" t="s">
        <v>44</v>
      </c>
      <c r="J1200" s="36" t="str">
        <f t="shared" si="50"/>
        <v>Urban Development 2State Cadre EstablishmentCSanitation Inspector (Grade A)S15 (41800 - 132300)</v>
      </c>
      <c r="K1200" s="36"/>
      <c r="L1200" s="36"/>
      <c r="M1200" s="38" t="s">
        <v>3000</v>
      </c>
      <c r="N1200" s="36" t="s">
        <v>60</v>
      </c>
      <c r="O1200" s="6" t="s">
        <v>33</v>
      </c>
      <c r="P1200" s="8"/>
      <c r="Q1200" s="7" t="s">
        <v>34</v>
      </c>
      <c r="R1200" s="8"/>
      <c r="S1200" s="8"/>
      <c r="T1200" s="4" t="s">
        <v>3276</v>
      </c>
      <c r="U1200" s="36" t="s">
        <v>36</v>
      </c>
      <c r="V1200" s="38"/>
      <c r="W1200" s="36"/>
      <c r="X1200" s="36"/>
      <c r="Y1200" s="36"/>
      <c r="Z1200" s="41"/>
      <c r="AA1200" s="42" t="e">
        <f>_xlfn.XLOOKUP(C1200,#REF!,#REF!,"",0,1)</f>
        <v>#REF!</v>
      </c>
      <c r="AB1200" s="43">
        <f t="shared" si="51"/>
        <v>0</v>
      </c>
    </row>
    <row r="1201" spans="1:28" ht="130.5" thickBot="1" x14ac:dyDescent="0.3">
      <c r="A1201" s="36">
        <v>1200</v>
      </c>
      <c r="B1201" s="36" t="s">
        <v>24</v>
      </c>
      <c r="C1201" s="36" t="s">
        <v>234</v>
      </c>
      <c r="D1201" s="37">
        <v>37658</v>
      </c>
      <c r="E1201" s="36" t="s">
        <v>3001</v>
      </c>
      <c r="F1201" s="36" t="s">
        <v>3002</v>
      </c>
      <c r="G1201" s="36" t="s">
        <v>28</v>
      </c>
      <c r="H1201" s="36" t="s">
        <v>3003</v>
      </c>
      <c r="I1201" s="36" t="s">
        <v>38</v>
      </c>
      <c r="J1201" s="36" t="str">
        <f t="shared" si="50"/>
        <v>Water ResourcesWater Resources EstablishmentAAssistant Executive Engineer (Civil)S20 (56100 - 177500)</v>
      </c>
      <c r="K1201" s="36" t="s">
        <v>246</v>
      </c>
      <c r="L1201" s="36" t="s">
        <v>247</v>
      </c>
      <c r="M1201" s="38" t="s">
        <v>3004</v>
      </c>
      <c r="N1201" s="36" t="s">
        <v>41</v>
      </c>
      <c r="O1201" s="6" t="s">
        <v>33</v>
      </c>
      <c r="P1201" s="7">
        <v>89</v>
      </c>
      <c r="Q1201" s="7" t="s">
        <v>34</v>
      </c>
      <c r="R1201" s="8"/>
      <c r="S1201" s="8"/>
      <c r="T1201" s="7" t="s">
        <v>35</v>
      </c>
      <c r="U1201" s="36" t="s">
        <v>61</v>
      </c>
      <c r="V1201" s="38"/>
      <c r="W1201" s="36"/>
      <c r="X1201" s="36"/>
      <c r="Y1201" s="36"/>
      <c r="Z1201" s="41"/>
      <c r="AA1201" s="42" t="e">
        <f>_xlfn.XLOOKUP(C1201,#REF!,#REF!,"",0,1)</f>
        <v>#REF!</v>
      </c>
      <c r="AB1201" s="43">
        <f t="shared" si="51"/>
        <v>0</v>
      </c>
    </row>
    <row r="1202" spans="1:28" ht="117.5" thickBot="1" x14ac:dyDescent="0.3">
      <c r="A1202" s="36">
        <v>1201</v>
      </c>
      <c r="B1202" s="36" t="s">
        <v>24</v>
      </c>
      <c r="C1202" s="36" t="s">
        <v>234</v>
      </c>
      <c r="D1202" s="37">
        <v>37658</v>
      </c>
      <c r="E1202" s="36" t="s">
        <v>3001</v>
      </c>
      <c r="F1202" s="36" t="s">
        <v>3002</v>
      </c>
      <c r="G1202" s="36" t="s">
        <v>28</v>
      </c>
      <c r="H1202" s="36" t="s">
        <v>3005</v>
      </c>
      <c r="I1202" s="36" t="s">
        <v>38</v>
      </c>
      <c r="J1202" s="36" t="str">
        <f t="shared" si="50"/>
        <v>Water ResourcesWater Resources EstablishmentAAssistant Engineer Grade-1 (Civil)S20 (56100 - 177500)</v>
      </c>
      <c r="K1202" s="36" t="s">
        <v>246</v>
      </c>
      <c r="L1202" s="36" t="s">
        <v>247</v>
      </c>
      <c r="M1202" s="38" t="s">
        <v>3004</v>
      </c>
      <c r="N1202" s="36" t="s">
        <v>41</v>
      </c>
      <c r="O1202" s="6" t="s">
        <v>33</v>
      </c>
      <c r="P1202" s="7">
        <v>72</v>
      </c>
      <c r="Q1202" s="7" t="s">
        <v>34</v>
      </c>
      <c r="R1202" s="8"/>
      <c r="S1202" s="8"/>
      <c r="T1202" s="7" t="s">
        <v>35</v>
      </c>
      <c r="U1202" s="36" t="s">
        <v>35</v>
      </c>
      <c r="V1202" s="38"/>
      <c r="W1202" s="36"/>
      <c r="X1202" s="36"/>
      <c r="Y1202" s="36"/>
      <c r="Z1202" s="41"/>
      <c r="AA1202" s="42" t="e">
        <f>_xlfn.XLOOKUP(C1202,#REF!,#REF!,"",0,1)</f>
        <v>#REF!</v>
      </c>
      <c r="AB1202" s="43">
        <f t="shared" si="51"/>
        <v>0</v>
      </c>
    </row>
    <row r="1203" spans="1:28" ht="104.5" thickBot="1" x14ac:dyDescent="0.3">
      <c r="A1203" s="36">
        <v>1202</v>
      </c>
      <c r="B1203" s="36" t="s">
        <v>24</v>
      </c>
      <c r="C1203" s="36" t="s">
        <v>234</v>
      </c>
      <c r="D1203" s="37">
        <v>37658</v>
      </c>
      <c r="E1203" s="36" t="s">
        <v>3001</v>
      </c>
      <c r="F1203" s="36" t="s">
        <v>3002</v>
      </c>
      <c r="G1203" s="36" t="s">
        <v>28</v>
      </c>
      <c r="H1203" s="36" t="s">
        <v>3006</v>
      </c>
      <c r="I1203" s="36" t="s">
        <v>38</v>
      </c>
      <c r="J1203" s="36" t="str">
        <f t="shared" si="50"/>
        <v>Water ResourcesWater Resources EstablishmentADy Engineer (Mechanical)S20 (56100 - 177500)</v>
      </c>
      <c r="K1203" s="36" t="s">
        <v>246</v>
      </c>
      <c r="L1203" s="36" t="s">
        <v>247</v>
      </c>
      <c r="M1203" s="38" t="s">
        <v>3007</v>
      </c>
      <c r="N1203" s="36" t="s">
        <v>60</v>
      </c>
      <c r="O1203" s="6" t="s">
        <v>83</v>
      </c>
      <c r="P1203" s="7">
        <v>16</v>
      </c>
      <c r="Q1203" s="7" t="s">
        <v>34</v>
      </c>
      <c r="R1203" s="8"/>
      <c r="S1203" s="8"/>
      <c r="T1203" s="7" t="s">
        <v>35</v>
      </c>
      <c r="U1203" s="36" t="s">
        <v>61</v>
      </c>
      <c r="V1203" s="38"/>
      <c r="W1203" s="36"/>
      <c r="X1203" s="36"/>
      <c r="Y1203" s="36"/>
      <c r="Z1203" s="41"/>
      <c r="AA1203" s="42" t="e">
        <f>_xlfn.XLOOKUP(C1203,#REF!,#REF!,"",0,1)</f>
        <v>#REF!</v>
      </c>
      <c r="AB1203" s="43">
        <f t="shared" si="51"/>
        <v>0</v>
      </c>
    </row>
    <row r="1204" spans="1:28" ht="104.5" thickBot="1" x14ac:dyDescent="0.3">
      <c r="A1204" s="36">
        <v>1203</v>
      </c>
      <c r="B1204" s="36" t="s">
        <v>24</v>
      </c>
      <c r="C1204" s="36" t="s">
        <v>234</v>
      </c>
      <c r="D1204" s="37">
        <v>37658</v>
      </c>
      <c r="E1204" s="36" t="s">
        <v>3001</v>
      </c>
      <c r="F1204" s="36" t="s">
        <v>3002</v>
      </c>
      <c r="G1204" s="36" t="s">
        <v>28</v>
      </c>
      <c r="H1204" s="36" t="s">
        <v>3008</v>
      </c>
      <c r="I1204" s="36" t="s">
        <v>38</v>
      </c>
      <c r="J1204" s="36" t="str">
        <f t="shared" si="50"/>
        <v>Water ResourcesWater Resources EstablishmentADy Engineer (Electrical)S20 (56100 - 177500)</v>
      </c>
      <c r="K1204" s="36" t="s">
        <v>246</v>
      </c>
      <c r="L1204" s="36" t="s">
        <v>247</v>
      </c>
      <c r="M1204" s="38" t="s">
        <v>3009</v>
      </c>
      <c r="N1204" s="36" t="s">
        <v>60</v>
      </c>
      <c r="O1204" s="6" t="s">
        <v>83</v>
      </c>
      <c r="P1204" s="7">
        <v>19</v>
      </c>
      <c r="Q1204" s="7" t="s">
        <v>34</v>
      </c>
      <c r="R1204" s="8"/>
      <c r="S1204" s="8"/>
      <c r="T1204" s="7" t="s">
        <v>35</v>
      </c>
      <c r="U1204" s="36" t="s">
        <v>61</v>
      </c>
      <c r="V1204" s="38"/>
      <c r="W1204" s="36"/>
      <c r="X1204" s="36"/>
      <c r="Y1204" s="36"/>
      <c r="Z1204" s="41"/>
      <c r="AA1204" s="42" t="e">
        <f>_xlfn.XLOOKUP(C1204,#REF!,#REF!,"",0,1)</f>
        <v>#REF!</v>
      </c>
      <c r="AB1204" s="43">
        <f t="shared" si="51"/>
        <v>0</v>
      </c>
    </row>
    <row r="1205" spans="1:28" ht="104.5" thickBot="1" x14ac:dyDescent="0.3">
      <c r="A1205" s="36">
        <v>1204</v>
      </c>
      <c r="B1205" s="36" t="s">
        <v>24</v>
      </c>
      <c r="C1205" s="36" t="s">
        <v>234</v>
      </c>
      <c r="D1205" s="37">
        <v>37658</v>
      </c>
      <c r="E1205" s="36" t="s">
        <v>3001</v>
      </c>
      <c r="F1205" s="36" t="s">
        <v>3002</v>
      </c>
      <c r="G1205" s="36" t="s">
        <v>28</v>
      </c>
      <c r="H1205" s="36" t="s">
        <v>3010</v>
      </c>
      <c r="I1205" s="36" t="s">
        <v>242</v>
      </c>
      <c r="J1205" s="36" t="str">
        <f t="shared" si="50"/>
        <v>Water ResourcesWater Resources EstablishmentASoil Survey OfficerS23 (67700 - 208700)</v>
      </c>
      <c r="K1205" s="36"/>
      <c r="L1205" s="36" t="s">
        <v>243</v>
      </c>
      <c r="M1205" s="38" t="s">
        <v>3011</v>
      </c>
      <c r="N1205" s="36" t="s">
        <v>32</v>
      </c>
      <c r="O1205" s="6" t="s">
        <v>33</v>
      </c>
      <c r="P1205" s="7">
        <v>0</v>
      </c>
      <c r="Q1205" s="7" t="s">
        <v>34</v>
      </c>
      <c r="R1205" s="8"/>
      <c r="S1205" s="8"/>
      <c r="T1205" s="4" t="s">
        <v>3276</v>
      </c>
      <c r="U1205" s="36" t="s">
        <v>61</v>
      </c>
      <c r="V1205" s="38"/>
      <c r="W1205" s="36"/>
      <c r="X1205" s="36"/>
      <c r="Y1205" s="36"/>
      <c r="Z1205" s="41"/>
      <c r="AA1205" s="42" t="e">
        <f>_xlfn.XLOOKUP(C1205,#REF!,#REF!,"",0,1)</f>
        <v>#REF!</v>
      </c>
      <c r="AB1205" s="43">
        <f t="shared" si="51"/>
        <v>0</v>
      </c>
    </row>
    <row r="1206" spans="1:28" ht="117.5" thickBot="1" x14ac:dyDescent="0.3">
      <c r="A1206" s="36">
        <v>1205</v>
      </c>
      <c r="B1206" s="36" t="s">
        <v>24</v>
      </c>
      <c r="C1206" s="36" t="s">
        <v>234</v>
      </c>
      <c r="D1206" s="37">
        <v>37658</v>
      </c>
      <c r="E1206" s="36" t="s">
        <v>3001</v>
      </c>
      <c r="F1206" s="36" t="s">
        <v>3002</v>
      </c>
      <c r="G1206" s="36" t="s">
        <v>42</v>
      </c>
      <c r="H1206" s="36" t="s">
        <v>3012</v>
      </c>
      <c r="I1206" s="36" t="s">
        <v>54</v>
      </c>
      <c r="J1206" s="36" t="str">
        <f t="shared" si="50"/>
        <v>Water ResourcesWater Resources EstablishmentB (Gazetted)Dy Soil Survey OfficerS16 (44900 - 142400)</v>
      </c>
      <c r="K1206" s="36"/>
      <c r="L1206" s="36" t="s">
        <v>238</v>
      </c>
      <c r="M1206" s="38" t="s">
        <v>3013</v>
      </c>
      <c r="N1206" s="36" t="s">
        <v>60</v>
      </c>
      <c r="O1206" s="6" t="s">
        <v>83</v>
      </c>
      <c r="P1206" s="7">
        <v>4</v>
      </c>
      <c r="Q1206" s="7" t="s">
        <v>34</v>
      </c>
      <c r="R1206" s="8"/>
      <c r="S1206" s="8"/>
      <c r="T1206" s="7" t="s">
        <v>35</v>
      </c>
      <c r="U1206" s="36" t="s">
        <v>35</v>
      </c>
      <c r="V1206" s="38"/>
      <c r="W1206" s="36"/>
      <c r="X1206" s="36"/>
      <c r="Y1206" s="36"/>
      <c r="Z1206" s="41"/>
      <c r="AA1206" s="42" t="e">
        <f>_xlfn.XLOOKUP(C1206,#REF!,#REF!,"",0,1)</f>
        <v>#REF!</v>
      </c>
      <c r="AB1206" s="43">
        <f t="shared" si="51"/>
        <v>0</v>
      </c>
    </row>
    <row r="1207" spans="1:28" ht="156.5" thickBot="1" x14ac:dyDescent="0.3">
      <c r="A1207" s="36">
        <v>1206</v>
      </c>
      <c r="B1207" s="36" t="s">
        <v>24</v>
      </c>
      <c r="C1207" s="36" t="s">
        <v>234</v>
      </c>
      <c r="D1207" s="37">
        <v>37658</v>
      </c>
      <c r="E1207" s="36" t="s">
        <v>3001</v>
      </c>
      <c r="F1207" s="36" t="s">
        <v>3002</v>
      </c>
      <c r="G1207" s="36" t="s">
        <v>42</v>
      </c>
      <c r="H1207" s="36" t="s">
        <v>3014</v>
      </c>
      <c r="I1207" s="36" t="s">
        <v>54</v>
      </c>
      <c r="J1207" s="36" t="str">
        <f t="shared" si="50"/>
        <v>Water ResourcesWater Resources EstablishmentB (Gazetted)Assistant Engineer,Grade-2(Civil) GazettedS16 (44900 - 142400)</v>
      </c>
      <c r="K1207" s="36" t="s">
        <v>246</v>
      </c>
      <c r="L1207" s="36" t="s">
        <v>247</v>
      </c>
      <c r="M1207" s="38" t="s">
        <v>3015</v>
      </c>
      <c r="N1207" s="36" t="s">
        <v>41</v>
      </c>
      <c r="O1207" s="6" t="s">
        <v>33</v>
      </c>
      <c r="P1207" s="7">
        <v>375</v>
      </c>
      <c r="Q1207" s="7" t="s">
        <v>34</v>
      </c>
      <c r="R1207" s="8"/>
      <c r="S1207" s="8"/>
      <c r="T1207" s="7" t="s">
        <v>35</v>
      </c>
      <c r="U1207" s="36" t="s">
        <v>35</v>
      </c>
      <c r="V1207" s="38"/>
      <c r="W1207" s="36"/>
      <c r="X1207" s="36"/>
      <c r="Y1207" s="36"/>
      <c r="Z1207" s="41"/>
      <c r="AA1207" s="42" t="e">
        <f>_xlfn.XLOOKUP(C1207,#REF!,#REF!,"",0,1)</f>
        <v>#REF!</v>
      </c>
      <c r="AB1207" s="43">
        <f t="shared" si="51"/>
        <v>0</v>
      </c>
    </row>
    <row r="1208" spans="1:28" ht="156.5" thickBot="1" x14ac:dyDescent="0.3">
      <c r="A1208" s="36">
        <v>1207</v>
      </c>
      <c r="B1208" s="36" t="s">
        <v>24</v>
      </c>
      <c r="C1208" s="36" t="s">
        <v>234</v>
      </c>
      <c r="D1208" s="37">
        <v>37658</v>
      </c>
      <c r="E1208" s="36" t="s">
        <v>3001</v>
      </c>
      <c r="F1208" s="36" t="s">
        <v>3002</v>
      </c>
      <c r="G1208" s="36" t="s">
        <v>42</v>
      </c>
      <c r="H1208" s="36" t="s">
        <v>3016</v>
      </c>
      <c r="I1208" s="36" t="s">
        <v>54</v>
      </c>
      <c r="J1208" s="36" t="str">
        <f t="shared" si="50"/>
        <v>Water ResourcesWater Resources EstablishmentB (Gazetted)Assistant Engineer, Grade-2 (Mechanical) GazattedS16 (44900 - 142400)</v>
      </c>
      <c r="K1208" s="36" t="s">
        <v>246</v>
      </c>
      <c r="L1208" s="36" t="s">
        <v>247</v>
      </c>
      <c r="M1208" s="38" t="s">
        <v>3017</v>
      </c>
      <c r="N1208" s="36" t="s">
        <v>41</v>
      </c>
      <c r="O1208" s="6" t="s">
        <v>33</v>
      </c>
      <c r="P1208" s="7">
        <v>19</v>
      </c>
      <c r="Q1208" s="7" t="s">
        <v>34</v>
      </c>
      <c r="R1208" s="8"/>
      <c r="S1208" s="8"/>
      <c r="T1208" s="7" t="s">
        <v>35</v>
      </c>
      <c r="U1208" s="36" t="s">
        <v>35</v>
      </c>
      <c r="V1208" s="38"/>
      <c r="W1208" s="36"/>
      <c r="X1208" s="36"/>
      <c r="Y1208" s="36"/>
      <c r="Z1208" s="41"/>
      <c r="AA1208" s="42" t="e">
        <f>_xlfn.XLOOKUP(C1208,#REF!,#REF!,"",0,1)</f>
        <v>#REF!</v>
      </c>
      <c r="AB1208" s="43">
        <f t="shared" si="51"/>
        <v>0</v>
      </c>
    </row>
    <row r="1209" spans="1:28" ht="156.5" thickBot="1" x14ac:dyDescent="0.3">
      <c r="A1209" s="36">
        <v>1208</v>
      </c>
      <c r="B1209" s="36" t="s">
        <v>24</v>
      </c>
      <c r="C1209" s="36" t="s">
        <v>234</v>
      </c>
      <c r="D1209" s="37">
        <v>37658</v>
      </c>
      <c r="E1209" s="36" t="s">
        <v>3001</v>
      </c>
      <c r="F1209" s="36" t="s">
        <v>3002</v>
      </c>
      <c r="G1209" s="36" t="s">
        <v>42</v>
      </c>
      <c r="H1209" s="36" t="s">
        <v>3018</v>
      </c>
      <c r="I1209" s="36" t="s">
        <v>54</v>
      </c>
      <c r="J1209" s="36" t="str">
        <f t="shared" si="50"/>
        <v>Water ResourcesWater Resources EstablishmentB (Gazetted)Assistant Engineer,Grade-2(Electrical) GazattedS16 (44900 - 142400)</v>
      </c>
      <c r="K1209" s="36" t="s">
        <v>246</v>
      </c>
      <c r="L1209" s="36" t="s">
        <v>247</v>
      </c>
      <c r="M1209" s="38" t="s">
        <v>3019</v>
      </c>
      <c r="N1209" s="36" t="s">
        <v>41</v>
      </c>
      <c r="O1209" s="6" t="s">
        <v>33</v>
      </c>
      <c r="P1209" s="7">
        <v>28</v>
      </c>
      <c r="Q1209" s="7" t="s">
        <v>34</v>
      </c>
      <c r="R1209" s="8"/>
      <c r="S1209" s="8"/>
      <c r="T1209" s="7" t="s">
        <v>35</v>
      </c>
      <c r="U1209" s="36" t="s">
        <v>35</v>
      </c>
      <c r="V1209" s="38"/>
      <c r="W1209" s="36"/>
      <c r="X1209" s="36"/>
      <c r="Y1209" s="36"/>
      <c r="Z1209" s="41"/>
      <c r="AA1209" s="42" t="e">
        <f>_xlfn.XLOOKUP(C1209,#REF!,#REF!,"",0,1)</f>
        <v>#REF!</v>
      </c>
      <c r="AB1209" s="43">
        <f t="shared" si="51"/>
        <v>0</v>
      </c>
    </row>
    <row r="1210" spans="1:28" ht="130.5" thickBot="1" x14ac:dyDescent="0.3">
      <c r="A1210" s="36">
        <v>1209</v>
      </c>
      <c r="B1210" s="36" t="s">
        <v>24</v>
      </c>
      <c r="C1210" s="36" t="s">
        <v>234</v>
      </c>
      <c r="D1210" s="37">
        <v>37658</v>
      </c>
      <c r="E1210" s="36" t="s">
        <v>3001</v>
      </c>
      <c r="F1210" s="36" t="s">
        <v>3002</v>
      </c>
      <c r="G1210" s="36" t="s">
        <v>65</v>
      </c>
      <c r="H1210" s="36" t="s">
        <v>2266</v>
      </c>
      <c r="I1210" s="36" t="s">
        <v>44</v>
      </c>
      <c r="J1210" s="36" t="str">
        <f t="shared" si="50"/>
        <v>Water ResourcesWater Resources EstablishmentB (Non Gazetted)Junior Engineer (Civil)S15 (41800 - 132300)</v>
      </c>
      <c r="K1210" s="36" t="s">
        <v>163</v>
      </c>
      <c r="L1210" s="36" t="s">
        <v>225</v>
      </c>
      <c r="M1210" s="38" t="s">
        <v>3020</v>
      </c>
      <c r="N1210" s="36" t="s">
        <v>165</v>
      </c>
      <c r="O1210" s="6" t="s">
        <v>33</v>
      </c>
      <c r="P1210" s="7">
        <v>1536</v>
      </c>
      <c r="Q1210" s="7" t="s">
        <v>34</v>
      </c>
      <c r="R1210" s="8"/>
      <c r="S1210" s="8"/>
      <c r="T1210" s="7" t="s">
        <v>35</v>
      </c>
      <c r="U1210" s="36" t="s">
        <v>35</v>
      </c>
      <c r="V1210" s="38" t="s">
        <v>3021</v>
      </c>
      <c r="W1210" s="36"/>
      <c r="X1210" s="36" t="s">
        <v>3022</v>
      </c>
      <c r="Y1210" s="46">
        <v>35796</v>
      </c>
      <c r="Z1210" s="41"/>
      <c r="AA1210" s="42" t="e">
        <f>_xlfn.XLOOKUP(C1210,#REF!,#REF!,"",0,1)</f>
        <v>#REF!</v>
      </c>
      <c r="AB1210" s="43">
        <f t="shared" si="51"/>
        <v>0</v>
      </c>
    </row>
    <row r="1211" spans="1:28" ht="130.5" thickBot="1" x14ac:dyDescent="0.3">
      <c r="A1211" s="36">
        <v>1210</v>
      </c>
      <c r="B1211" s="36" t="s">
        <v>24</v>
      </c>
      <c r="C1211" s="36" t="s">
        <v>234</v>
      </c>
      <c r="D1211" s="37">
        <v>37658</v>
      </c>
      <c r="E1211" s="36" t="s">
        <v>3001</v>
      </c>
      <c r="F1211" s="36" t="s">
        <v>3002</v>
      </c>
      <c r="G1211" s="36" t="s">
        <v>65</v>
      </c>
      <c r="H1211" s="36" t="s">
        <v>3023</v>
      </c>
      <c r="I1211" s="36" t="s">
        <v>44</v>
      </c>
      <c r="J1211" s="36" t="str">
        <f t="shared" si="50"/>
        <v>Water ResourcesWater Resources EstablishmentB (Non Gazetted)Junior Engineer (Mechanical)S15 (41800 - 132300)</v>
      </c>
      <c r="K1211" s="36" t="s">
        <v>163</v>
      </c>
      <c r="L1211" s="36" t="s">
        <v>225</v>
      </c>
      <c r="M1211" s="38" t="s">
        <v>3024</v>
      </c>
      <c r="N1211" s="36" t="s">
        <v>165</v>
      </c>
      <c r="O1211" s="6" t="s">
        <v>33</v>
      </c>
      <c r="P1211" s="7">
        <v>278</v>
      </c>
      <c r="Q1211" s="7" t="s">
        <v>34</v>
      </c>
      <c r="R1211" s="8"/>
      <c r="S1211" s="8"/>
      <c r="T1211" s="7" t="s">
        <v>35</v>
      </c>
      <c r="U1211" s="36" t="s">
        <v>35</v>
      </c>
      <c r="V1211" s="38" t="s">
        <v>3025</v>
      </c>
      <c r="W1211" s="36"/>
      <c r="X1211" s="36" t="s">
        <v>3026</v>
      </c>
      <c r="Y1211" s="36" t="s">
        <v>3027</v>
      </c>
      <c r="Z1211" s="41"/>
      <c r="AA1211" s="42" t="e">
        <f>_xlfn.XLOOKUP(C1211,#REF!,#REF!,"",0,1)</f>
        <v>#REF!</v>
      </c>
      <c r="AB1211" s="43">
        <f t="shared" si="51"/>
        <v>0</v>
      </c>
    </row>
    <row r="1212" spans="1:28" ht="130.5" thickBot="1" x14ac:dyDescent="0.3">
      <c r="A1212" s="36">
        <v>1211</v>
      </c>
      <c r="B1212" s="36" t="s">
        <v>24</v>
      </c>
      <c r="C1212" s="36" t="s">
        <v>234</v>
      </c>
      <c r="D1212" s="37">
        <v>37658</v>
      </c>
      <c r="E1212" s="36" t="s">
        <v>3001</v>
      </c>
      <c r="F1212" s="36" t="s">
        <v>3002</v>
      </c>
      <c r="G1212" s="36" t="s">
        <v>65</v>
      </c>
      <c r="H1212" s="36" t="s">
        <v>2322</v>
      </c>
      <c r="I1212" s="36" t="s">
        <v>44</v>
      </c>
      <c r="J1212" s="36" t="str">
        <f t="shared" si="50"/>
        <v>Water ResourcesWater Resources EstablishmentB (Non Gazetted)Junior Engineer (Electrical)S15 (41800 - 132300)</v>
      </c>
      <c r="K1212" s="36" t="s">
        <v>163</v>
      </c>
      <c r="L1212" s="36" t="s">
        <v>225</v>
      </c>
      <c r="M1212" s="38" t="s">
        <v>3028</v>
      </c>
      <c r="N1212" s="36" t="s">
        <v>165</v>
      </c>
      <c r="O1212" s="6" t="s">
        <v>33</v>
      </c>
      <c r="P1212" s="7">
        <v>142</v>
      </c>
      <c r="Q1212" s="7" t="s">
        <v>34</v>
      </c>
      <c r="R1212" s="8"/>
      <c r="S1212" s="8"/>
      <c r="T1212" s="7" t="s">
        <v>35</v>
      </c>
      <c r="U1212" s="36" t="s">
        <v>35</v>
      </c>
      <c r="V1212" s="38" t="s">
        <v>3029</v>
      </c>
      <c r="W1212" s="36"/>
      <c r="X1212" s="36" t="s">
        <v>3030</v>
      </c>
      <c r="Y1212" s="36" t="s">
        <v>3031</v>
      </c>
      <c r="Z1212" s="41"/>
      <c r="AA1212" s="42" t="e">
        <f>_xlfn.XLOOKUP(C1212,#REF!,#REF!,"",0,1)</f>
        <v>#REF!</v>
      </c>
      <c r="AB1212" s="43">
        <f t="shared" si="51"/>
        <v>0</v>
      </c>
    </row>
    <row r="1213" spans="1:28" ht="117.5" thickBot="1" x14ac:dyDescent="0.3">
      <c r="A1213" s="36">
        <v>1212</v>
      </c>
      <c r="B1213" s="36" t="s">
        <v>24</v>
      </c>
      <c r="C1213" s="36" t="s">
        <v>234</v>
      </c>
      <c r="D1213" s="37">
        <v>37658</v>
      </c>
      <c r="E1213" s="36" t="s">
        <v>3001</v>
      </c>
      <c r="F1213" s="36" t="s">
        <v>3002</v>
      </c>
      <c r="G1213" s="36" t="s">
        <v>65</v>
      </c>
      <c r="H1213" s="36" t="s">
        <v>3032</v>
      </c>
      <c r="I1213" s="36" t="s">
        <v>44</v>
      </c>
      <c r="J1213" s="36" t="str">
        <f t="shared" si="50"/>
        <v>Water ResourcesWater Resources EstablishmentB (Non Gazetted)Chief DraftsmanS15 (41800 - 132300)</v>
      </c>
      <c r="K1213" s="36" t="s">
        <v>163</v>
      </c>
      <c r="L1213" s="36" t="s">
        <v>225</v>
      </c>
      <c r="M1213" s="38" t="s">
        <v>3033</v>
      </c>
      <c r="N1213" s="36" t="s">
        <v>165</v>
      </c>
      <c r="O1213" s="6" t="s">
        <v>33</v>
      </c>
      <c r="P1213" s="7">
        <v>7</v>
      </c>
      <c r="Q1213" s="7" t="s">
        <v>34</v>
      </c>
      <c r="R1213" s="8"/>
      <c r="S1213" s="8"/>
      <c r="T1213" s="7" t="s">
        <v>35</v>
      </c>
      <c r="U1213" s="36" t="s">
        <v>35</v>
      </c>
      <c r="V1213" s="38" t="s">
        <v>3033</v>
      </c>
      <c r="W1213" s="36"/>
      <c r="X1213" s="36" t="s">
        <v>150</v>
      </c>
      <c r="Y1213" s="36" t="s">
        <v>150</v>
      </c>
      <c r="Z1213" s="41"/>
      <c r="AA1213" s="42" t="e">
        <f>_xlfn.XLOOKUP(C1213,#REF!,#REF!,"",0,1)</f>
        <v>#REF!</v>
      </c>
      <c r="AB1213" s="43">
        <f t="shared" si="51"/>
        <v>0</v>
      </c>
    </row>
    <row r="1214" spans="1:28" ht="130.5" thickBot="1" x14ac:dyDescent="0.3">
      <c r="A1214" s="36">
        <v>1213</v>
      </c>
      <c r="B1214" s="36" t="s">
        <v>24</v>
      </c>
      <c r="C1214" s="36" t="s">
        <v>234</v>
      </c>
      <c r="D1214" s="37">
        <v>37658</v>
      </c>
      <c r="E1214" s="36" t="s">
        <v>3001</v>
      </c>
      <c r="F1214" s="36" t="s">
        <v>3002</v>
      </c>
      <c r="G1214" s="36" t="s">
        <v>65</v>
      </c>
      <c r="H1214" s="36" t="s">
        <v>3034</v>
      </c>
      <c r="I1214" s="36" t="s">
        <v>44</v>
      </c>
      <c r="J1214" s="36" t="str">
        <f t="shared" si="50"/>
        <v>Water ResourcesWater Resources EstablishmentB (Non Gazetted)Low grade stenographerS15 (41800 - 132300)</v>
      </c>
      <c r="K1214" s="36" t="s">
        <v>68</v>
      </c>
      <c r="L1214" s="36" t="s">
        <v>231</v>
      </c>
      <c r="M1214" s="38" t="s">
        <v>3035</v>
      </c>
      <c r="N1214" s="36" t="s">
        <v>70</v>
      </c>
      <c r="O1214" s="9"/>
      <c r="P1214" s="7">
        <v>29</v>
      </c>
      <c r="Q1214" s="7" t="s">
        <v>34</v>
      </c>
      <c r="R1214" s="8"/>
      <c r="S1214" s="8"/>
      <c r="T1214" s="4" t="s">
        <v>3276</v>
      </c>
      <c r="U1214" s="36" t="s">
        <v>35</v>
      </c>
      <c r="V1214" s="38"/>
      <c r="W1214" s="36"/>
      <c r="X1214" s="36"/>
      <c r="Y1214" s="36"/>
      <c r="Z1214" s="41"/>
      <c r="AA1214" s="42" t="e">
        <f>_xlfn.XLOOKUP(C1214,#REF!,#REF!,"",0,1)</f>
        <v>#REF!</v>
      </c>
      <c r="AB1214" s="43">
        <f t="shared" si="51"/>
        <v>0</v>
      </c>
    </row>
    <row r="1215" spans="1:28" ht="130.5" thickBot="1" x14ac:dyDescent="0.3">
      <c r="A1215" s="36">
        <v>1214</v>
      </c>
      <c r="B1215" s="36" t="s">
        <v>24</v>
      </c>
      <c r="C1215" s="36" t="s">
        <v>234</v>
      </c>
      <c r="D1215" s="37">
        <v>37658</v>
      </c>
      <c r="E1215" s="36" t="s">
        <v>3001</v>
      </c>
      <c r="F1215" s="36" t="s">
        <v>3002</v>
      </c>
      <c r="G1215" s="36" t="s">
        <v>65</v>
      </c>
      <c r="H1215" s="36" t="s">
        <v>3036</v>
      </c>
      <c r="I1215" s="36" t="s">
        <v>54</v>
      </c>
      <c r="J1215" s="36" t="str">
        <f t="shared" si="50"/>
        <v>Water ResourcesWater Resources EstablishmentB (Non Gazetted)High Grade shorthandS16 (44900 - 142400)</v>
      </c>
      <c r="K1215" s="36" t="s">
        <v>68</v>
      </c>
      <c r="L1215" s="36" t="s">
        <v>231</v>
      </c>
      <c r="M1215" s="38" t="s">
        <v>3037</v>
      </c>
      <c r="N1215" s="36" t="s">
        <v>70</v>
      </c>
      <c r="O1215" s="9"/>
      <c r="P1215" s="7">
        <v>18</v>
      </c>
      <c r="Q1215" s="7" t="s">
        <v>34</v>
      </c>
      <c r="R1215" s="8"/>
      <c r="S1215" s="8"/>
      <c r="T1215" s="4" t="s">
        <v>3276</v>
      </c>
      <c r="U1215" s="36" t="s">
        <v>35</v>
      </c>
      <c r="V1215" s="38"/>
      <c r="W1215" s="36"/>
      <c r="X1215" s="36"/>
      <c r="Y1215" s="36"/>
      <c r="Z1215" s="41"/>
      <c r="AA1215" s="42" t="e">
        <f>_xlfn.XLOOKUP(C1215,#REF!,#REF!,"",0,1)</f>
        <v>#REF!</v>
      </c>
      <c r="AB1215" s="43">
        <f t="shared" si="51"/>
        <v>0</v>
      </c>
    </row>
    <row r="1216" spans="1:28" ht="78.5" thickBot="1" x14ac:dyDescent="0.3">
      <c r="A1216" s="36">
        <v>1215</v>
      </c>
      <c r="B1216" s="36" t="s">
        <v>24</v>
      </c>
      <c r="C1216" s="36" t="s">
        <v>234</v>
      </c>
      <c r="D1216" s="37">
        <v>37658</v>
      </c>
      <c r="E1216" s="36" t="s">
        <v>3001</v>
      </c>
      <c r="F1216" s="36" t="s">
        <v>3002</v>
      </c>
      <c r="G1216" s="36" t="s">
        <v>55</v>
      </c>
      <c r="H1216" s="36" t="s">
        <v>2736</v>
      </c>
      <c r="I1216" s="36" t="s">
        <v>276</v>
      </c>
      <c r="J1216" s="36" t="str">
        <f t="shared" si="50"/>
        <v>Water ResourcesWater Resources EstablishmentCDraftsmanS10 (29200 - 92300)</v>
      </c>
      <c r="K1216" s="36" t="s">
        <v>163</v>
      </c>
      <c r="L1216" s="36" t="s">
        <v>225</v>
      </c>
      <c r="M1216" s="38" t="s">
        <v>3038</v>
      </c>
      <c r="N1216" s="36" t="s">
        <v>165</v>
      </c>
      <c r="O1216" s="6" t="s">
        <v>33</v>
      </c>
      <c r="P1216" s="7">
        <v>80</v>
      </c>
      <c r="Q1216" s="7" t="s">
        <v>34</v>
      </c>
      <c r="R1216" s="8"/>
      <c r="S1216" s="8"/>
      <c r="T1216" s="7" t="s">
        <v>35</v>
      </c>
      <c r="U1216" s="36" t="s">
        <v>35</v>
      </c>
      <c r="V1216" s="38" t="s">
        <v>3038</v>
      </c>
      <c r="W1216" s="36"/>
      <c r="X1216" s="36" t="s">
        <v>150</v>
      </c>
      <c r="Y1216" s="36" t="s">
        <v>150</v>
      </c>
      <c r="Z1216" s="41"/>
      <c r="AA1216" s="42" t="e">
        <f>_xlfn.XLOOKUP(C1216,#REF!,#REF!,"",0,1)</f>
        <v>#REF!</v>
      </c>
      <c r="AB1216" s="43">
        <f t="shared" si="51"/>
        <v>0</v>
      </c>
    </row>
    <row r="1217" spans="1:28" ht="91.5" thickBot="1" x14ac:dyDescent="0.3">
      <c r="A1217" s="36">
        <v>1216</v>
      </c>
      <c r="B1217" s="36" t="s">
        <v>24</v>
      </c>
      <c r="C1217" s="36" t="s">
        <v>234</v>
      </c>
      <c r="D1217" s="37">
        <v>37658</v>
      </c>
      <c r="E1217" s="36" t="s">
        <v>3001</v>
      </c>
      <c r="F1217" s="36" t="s">
        <v>3002</v>
      </c>
      <c r="G1217" s="36" t="s">
        <v>55</v>
      </c>
      <c r="H1217" s="36" t="s">
        <v>3039</v>
      </c>
      <c r="I1217" s="36" t="s">
        <v>276</v>
      </c>
      <c r="J1217" s="36" t="str">
        <f t="shared" si="50"/>
        <v>Water ResourcesWater Resources EstablishmentCstorekeeperS10 (29200 - 92300)</v>
      </c>
      <c r="K1217" s="36" t="s">
        <v>288</v>
      </c>
      <c r="L1217" s="36" t="s">
        <v>228</v>
      </c>
      <c r="M1217" s="38" t="s">
        <v>3040</v>
      </c>
      <c r="N1217" s="36" t="s">
        <v>41</v>
      </c>
      <c r="O1217" s="6" t="s">
        <v>33</v>
      </c>
      <c r="P1217" s="7">
        <v>12</v>
      </c>
      <c r="Q1217" s="7" t="s">
        <v>34</v>
      </c>
      <c r="R1217" s="8"/>
      <c r="S1217" s="8"/>
      <c r="T1217" s="7" t="s">
        <v>35</v>
      </c>
      <c r="U1217" s="36" t="s">
        <v>35</v>
      </c>
      <c r="V1217" s="38" t="s">
        <v>3041</v>
      </c>
      <c r="W1217" s="36"/>
      <c r="X1217" s="36" t="s">
        <v>3042</v>
      </c>
      <c r="Y1217" s="46">
        <v>41066</v>
      </c>
      <c r="Z1217" s="41"/>
      <c r="AA1217" s="42" t="e">
        <f>_xlfn.XLOOKUP(C1217,#REF!,#REF!,"",0,1)</f>
        <v>#REF!</v>
      </c>
      <c r="AB1217" s="43">
        <f t="shared" si="51"/>
        <v>0</v>
      </c>
    </row>
    <row r="1218" spans="1:28" ht="104.5" thickBot="1" x14ac:dyDescent="0.3">
      <c r="A1218" s="36">
        <v>1217</v>
      </c>
      <c r="B1218" s="36" t="s">
        <v>24</v>
      </c>
      <c r="C1218" s="36" t="s">
        <v>234</v>
      </c>
      <c r="D1218" s="37">
        <v>37658</v>
      </c>
      <c r="E1218" s="36" t="s">
        <v>3001</v>
      </c>
      <c r="F1218" s="36" t="s">
        <v>3002</v>
      </c>
      <c r="G1218" s="36" t="s">
        <v>55</v>
      </c>
      <c r="H1218" s="36" t="s">
        <v>3043</v>
      </c>
      <c r="I1218" s="36" t="s">
        <v>57</v>
      </c>
      <c r="J1218" s="36" t="str">
        <f t="shared" ref="J1218:J1281" si="52">_xlfn.CONCAT(E1218:I1218)</f>
        <v>Water ResourcesWater Resources EstablishmentCJunior Scientific AssistantS13 (35400 - 112400)</v>
      </c>
      <c r="K1218" s="36" t="s">
        <v>1043</v>
      </c>
      <c r="L1218" s="36" t="s">
        <v>225</v>
      </c>
      <c r="M1218" s="38" t="s">
        <v>3044</v>
      </c>
      <c r="N1218" s="36" t="s">
        <v>379</v>
      </c>
      <c r="O1218" s="6" t="s">
        <v>33</v>
      </c>
      <c r="P1218" s="7">
        <v>6</v>
      </c>
      <c r="Q1218" s="7" t="s">
        <v>34</v>
      </c>
      <c r="R1218" s="8"/>
      <c r="S1218" s="8"/>
      <c r="T1218" s="7" t="s">
        <v>35</v>
      </c>
      <c r="U1218" s="36" t="s">
        <v>35</v>
      </c>
      <c r="V1218" s="38" t="s">
        <v>3045</v>
      </c>
      <c r="W1218" s="36"/>
      <c r="X1218" s="36" t="s">
        <v>3046</v>
      </c>
      <c r="Y1218" s="36" t="s">
        <v>3047</v>
      </c>
      <c r="Z1218" s="41"/>
      <c r="AA1218" s="42" t="e">
        <f>_xlfn.XLOOKUP(C1218,#REF!,#REF!,"",0,1)</f>
        <v>#REF!</v>
      </c>
      <c r="AB1218" s="43">
        <f t="shared" ref="AB1218:AB1270" si="53">IFERROR(FLOOR(P1218*AA1218,1),0)</f>
        <v>0</v>
      </c>
    </row>
    <row r="1219" spans="1:28" ht="91.5" thickBot="1" x14ac:dyDescent="0.3">
      <c r="A1219" s="36">
        <v>1218</v>
      </c>
      <c r="B1219" s="36" t="s">
        <v>24</v>
      </c>
      <c r="C1219" s="36" t="s">
        <v>234</v>
      </c>
      <c r="D1219" s="37">
        <v>37658</v>
      </c>
      <c r="E1219" s="36" t="s">
        <v>3001</v>
      </c>
      <c r="F1219" s="36" t="s">
        <v>3002</v>
      </c>
      <c r="G1219" s="36" t="s">
        <v>55</v>
      </c>
      <c r="H1219" s="36" t="s">
        <v>3048</v>
      </c>
      <c r="I1219" s="36" t="s">
        <v>74</v>
      </c>
      <c r="J1219" s="36" t="str">
        <f t="shared" si="52"/>
        <v>Water ResourcesWater Resources EstablishmentCthe accountantS6 (19900 - 63200)</v>
      </c>
      <c r="K1219" s="36" t="s">
        <v>270</v>
      </c>
      <c r="L1219" s="36" t="s">
        <v>225</v>
      </c>
      <c r="M1219" s="38" t="s">
        <v>3040</v>
      </c>
      <c r="N1219" s="36" t="s">
        <v>41</v>
      </c>
      <c r="O1219" s="6" t="s">
        <v>33</v>
      </c>
      <c r="P1219" s="7">
        <v>982</v>
      </c>
      <c r="Q1219" s="7" t="s">
        <v>34</v>
      </c>
      <c r="R1219" s="8"/>
      <c r="S1219" s="8"/>
      <c r="T1219" s="7" t="s">
        <v>35</v>
      </c>
      <c r="U1219" s="36" t="s">
        <v>35</v>
      </c>
      <c r="V1219" s="38" t="s">
        <v>3040</v>
      </c>
      <c r="W1219" s="36"/>
      <c r="X1219" s="36" t="s">
        <v>150</v>
      </c>
      <c r="Y1219" s="36" t="s">
        <v>150</v>
      </c>
      <c r="Z1219" s="41"/>
      <c r="AA1219" s="42" t="e">
        <f>_xlfn.XLOOKUP(C1219,#REF!,#REF!,"",0,1)</f>
        <v>#REF!</v>
      </c>
      <c r="AB1219" s="43">
        <f t="shared" si="53"/>
        <v>0</v>
      </c>
    </row>
    <row r="1220" spans="1:28" ht="91.5" thickBot="1" x14ac:dyDescent="0.3">
      <c r="A1220" s="36">
        <v>1219</v>
      </c>
      <c r="B1220" s="36" t="s">
        <v>24</v>
      </c>
      <c r="C1220" s="36" t="s">
        <v>234</v>
      </c>
      <c r="D1220" s="37">
        <v>37658</v>
      </c>
      <c r="E1220" s="36" t="s">
        <v>3001</v>
      </c>
      <c r="F1220" s="36" t="s">
        <v>3002</v>
      </c>
      <c r="G1220" s="36" t="s">
        <v>55</v>
      </c>
      <c r="H1220" s="36" t="s">
        <v>3049</v>
      </c>
      <c r="I1220" s="36" t="s">
        <v>74</v>
      </c>
      <c r="J1220" s="36" t="str">
        <f t="shared" si="52"/>
        <v>Water ResourcesWater Resources EstablishmentCCanal inspectorS6 (19900 - 63200)</v>
      </c>
      <c r="K1220" s="36" t="s">
        <v>3050</v>
      </c>
      <c r="L1220" s="36" t="s">
        <v>228</v>
      </c>
      <c r="M1220" s="38" t="s">
        <v>3040</v>
      </c>
      <c r="N1220" s="36" t="s">
        <v>41</v>
      </c>
      <c r="O1220" s="6" t="s">
        <v>33</v>
      </c>
      <c r="P1220" s="7">
        <v>578</v>
      </c>
      <c r="Q1220" s="7" t="s">
        <v>34</v>
      </c>
      <c r="R1220" s="8"/>
      <c r="S1220" s="8"/>
      <c r="T1220" s="7" t="s">
        <v>35</v>
      </c>
      <c r="U1220" s="36" t="s">
        <v>35</v>
      </c>
      <c r="V1220" s="38" t="s">
        <v>3051</v>
      </c>
      <c r="W1220" s="36"/>
      <c r="X1220" s="36" t="s">
        <v>3052</v>
      </c>
      <c r="Y1220" s="36" t="s">
        <v>3053</v>
      </c>
      <c r="Z1220" s="41"/>
      <c r="AA1220" s="42" t="e">
        <f>_xlfn.XLOOKUP(C1220,#REF!,#REF!,"",0,1)</f>
        <v>#REF!</v>
      </c>
      <c r="AB1220" s="43">
        <f t="shared" si="53"/>
        <v>0</v>
      </c>
    </row>
    <row r="1221" spans="1:28" ht="91.5" thickBot="1" x14ac:dyDescent="0.3">
      <c r="A1221" s="36">
        <v>1220</v>
      </c>
      <c r="B1221" s="36" t="s">
        <v>24</v>
      </c>
      <c r="C1221" s="36" t="s">
        <v>234</v>
      </c>
      <c r="D1221" s="37">
        <v>37658</v>
      </c>
      <c r="E1221" s="36" t="s">
        <v>3001</v>
      </c>
      <c r="F1221" s="36" t="s">
        <v>3002</v>
      </c>
      <c r="G1221" s="36" t="s">
        <v>55</v>
      </c>
      <c r="H1221" s="36" t="s">
        <v>3054</v>
      </c>
      <c r="I1221" s="36" t="s">
        <v>74</v>
      </c>
      <c r="J1221" s="36" t="str">
        <f t="shared" si="52"/>
        <v>Water ResourcesWater Resources EstablishmentCOffice ClerkS6 (19900 - 63200)</v>
      </c>
      <c r="K1221" s="36" t="s">
        <v>75</v>
      </c>
      <c r="L1221" s="36" t="s">
        <v>228</v>
      </c>
      <c r="M1221" s="38" t="s">
        <v>3040</v>
      </c>
      <c r="N1221" s="36" t="s">
        <v>70</v>
      </c>
      <c r="O1221" s="6" t="s">
        <v>33</v>
      </c>
      <c r="P1221" s="7">
        <v>189</v>
      </c>
      <c r="Q1221" s="7" t="s">
        <v>34</v>
      </c>
      <c r="R1221" s="8"/>
      <c r="S1221" s="8"/>
      <c r="T1221" s="7" t="s">
        <v>35</v>
      </c>
      <c r="U1221" s="36" t="s">
        <v>35</v>
      </c>
      <c r="V1221" s="38" t="s">
        <v>125</v>
      </c>
      <c r="W1221" s="36"/>
      <c r="X1221" s="36" t="s">
        <v>77</v>
      </c>
      <c r="Y1221" s="36" t="s">
        <v>78</v>
      </c>
      <c r="Z1221" s="41"/>
      <c r="AA1221" s="42" t="e">
        <f>_xlfn.XLOOKUP(C1221,#REF!,#REF!,"",0,1)</f>
        <v>#REF!</v>
      </c>
      <c r="AB1221" s="43">
        <f t="shared" si="53"/>
        <v>0</v>
      </c>
    </row>
    <row r="1222" spans="1:28" ht="91.5" thickBot="1" x14ac:dyDescent="0.3">
      <c r="A1222" s="36">
        <v>1221</v>
      </c>
      <c r="B1222" s="36" t="s">
        <v>24</v>
      </c>
      <c r="C1222" s="36" t="s">
        <v>234</v>
      </c>
      <c r="D1222" s="37">
        <v>37658</v>
      </c>
      <c r="E1222" s="36" t="s">
        <v>3001</v>
      </c>
      <c r="F1222" s="36" t="s">
        <v>3002</v>
      </c>
      <c r="G1222" s="36" t="s">
        <v>55</v>
      </c>
      <c r="H1222" s="36" t="s">
        <v>2278</v>
      </c>
      <c r="I1222" s="36" t="s">
        <v>74</v>
      </c>
      <c r="J1222" s="36" t="str">
        <f t="shared" si="52"/>
        <v>Water ResourcesWater Resources EstablishmentCAssistant StorekeeperS6 (19900 - 63200)</v>
      </c>
      <c r="K1222" s="36" t="s">
        <v>288</v>
      </c>
      <c r="L1222" s="36" t="s">
        <v>228</v>
      </c>
      <c r="M1222" s="38" t="s">
        <v>3035</v>
      </c>
      <c r="N1222" s="36" t="s">
        <v>199</v>
      </c>
      <c r="O1222" s="6" t="s">
        <v>33</v>
      </c>
      <c r="P1222" s="7">
        <v>90</v>
      </c>
      <c r="Q1222" s="7" t="s">
        <v>34</v>
      </c>
      <c r="R1222" s="8"/>
      <c r="S1222" s="8"/>
      <c r="T1222" s="7" t="s">
        <v>35</v>
      </c>
      <c r="U1222" s="36" t="s">
        <v>35</v>
      </c>
      <c r="V1222" s="38" t="s">
        <v>3055</v>
      </c>
      <c r="W1222" s="36"/>
      <c r="X1222" s="36" t="s">
        <v>3042</v>
      </c>
      <c r="Y1222" s="46">
        <v>41066</v>
      </c>
      <c r="Z1222" s="41"/>
      <c r="AA1222" s="42" t="e">
        <f>_xlfn.XLOOKUP(C1222,#REF!,#REF!,"",0,1)</f>
        <v>#REF!</v>
      </c>
      <c r="AB1222" s="43">
        <f t="shared" si="53"/>
        <v>0</v>
      </c>
    </row>
    <row r="1223" spans="1:28" ht="78.5" thickBot="1" x14ac:dyDescent="0.3">
      <c r="A1223" s="36">
        <v>1222</v>
      </c>
      <c r="B1223" s="36" t="s">
        <v>24</v>
      </c>
      <c r="C1223" s="36" t="s">
        <v>234</v>
      </c>
      <c r="D1223" s="37">
        <v>37658</v>
      </c>
      <c r="E1223" s="36" t="s">
        <v>3001</v>
      </c>
      <c r="F1223" s="36" t="s">
        <v>3002</v>
      </c>
      <c r="G1223" s="36" t="s">
        <v>55</v>
      </c>
      <c r="H1223" s="36" t="s">
        <v>3056</v>
      </c>
      <c r="I1223" s="36" t="s">
        <v>74</v>
      </c>
      <c r="J1223" s="36" t="str">
        <f t="shared" si="52"/>
        <v>Water ResourcesWater Resources EstablishmentCwire menS6 (19900 - 63200)</v>
      </c>
      <c r="K1223" s="36" t="s">
        <v>127</v>
      </c>
      <c r="L1223" s="36" t="s">
        <v>225</v>
      </c>
      <c r="M1223" s="38" t="s">
        <v>3057</v>
      </c>
      <c r="N1223" s="36" t="s">
        <v>129</v>
      </c>
      <c r="O1223" s="6" t="s">
        <v>33</v>
      </c>
      <c r="P1223" s="7">
        <v>4</v>
      </c>
      <c r="Q1223" s="7" t="s">
        <v>34</v>
      </c>
      <c r="R1223" s="8"/>
      <c r="S1223" s="8"/>
      <c r="T1223" s="7" t="s">
        <v>35</v>
      </c>
      <c r="U1223" s="36" t="s">
        <v>35</v>
      </c>
      <c r="V1223" s="38" t="s">
        <v>3058</v>
      </c>
      <c r="W1223" s="36"/>
      <c r="X1223" s="36" t="s">
        <v>3059</v>
      </c>
      <c r="Y1223" s="36" t="s">
        <v>3060</v>
      </c>
      <c r="Z1223" s="41"/>
      <c r="AA1223" s="42" t="e">
        <f>_xlfn.XLOOKUP(C1223,#REF!,#REF!,"",0,1)</f>
        <v>#REF!</v>
      </c>
      <c r="AB1223" s="43">
        <f t="shared" si="53"/>
        <v>0</v>
      </c>
    </row>
    <row r="1224" spans="1:28" ht="104.5" thickBot="1" x14ac:dyDescent="0.3">
      <c r="A1224" s="36">
        <v>1223</v>
      </c>
      <c r="B1224" s="36" t="s">
        <v>24</v>
      </c>
      <c r="C1224" s="36" t="s">
        <v>234</v>
      </c>
      <c r="D1224" s="37">
        <v>37658</v>
      </c>
      <c r="E1224" s="36" t="s">
        <v>3001</v>
      </c>
      <c r="F1224" s="36" t="s">
        <v>3002</v>
      </c>
      <c r="G1224" s="36" t="s">
        <v>55</v>
      </c>
      <c r="H1224" s="36" t="s">
        <v>3061</v>
      </c>
      <c r="I1224" s="36" t="s">
        <v>74</v>
      </c>
      <c r="J1224" s="36" t="str">
        <f t="shared" si="52"/>
        <v>Water ResourcesWater Resources EstablishmentCComputer K./Computer DriverS6 (19900 - 63200)</v>
      </c>
      <c r="K1224" s="36" t="s">
        <v>127</v>
      </c>
      <c r="L1224" s="36" t="s">
        <v>225</v>
      </c>
      <c r="M1224" s="38" t="s">
        <v>3062</v>
      </c>
      <c r="N1224" s="36" t="s">
        <v>129</v>
      </c>
      <c r="O1224" s="6" t="s">
        <v>33</v>
      </c>
      <c r="P1224" s="7">
        <v>19</v>
      </c>
      <c r="Q1224" s="7" t="s">
        <v>34</v>
      </c>
      <c r="R1224" s="8"/>
      <c r="S1224" s="8"/>
      <c r="T1224" s="7" t="s">
        <v>35</v>
      </c>
      <c r="U1224" s="36" t="s">
        <v>35</v>
      </c>
      <c r="V1224" s="38" t="s">
        <v>3063</v>
      </c>
      <c r="W1224" s="36"/>
      <c r="X1224" s="36" t="s">
        <v>3059</v>
      </c>
      <c r="Y1224" s="50">
        <v>21470</v>
      </c>
      <c r="Z1224" s="41"/>
      <c r="AA1224" s="42" t="e">
        <f>_xlfn.XLOOKUP(C1224,#REF!,#REF!,"",0,1)</f>
        <v>#REF!</v>
      </c>
      <c r="AB1224" s="43">
        <f t="shared" si="53"/>
        <v>0</v>
      </c>
    </row>
    <row r="1225" spans="1:28" ht="169.5" thickBot="1" x14ac:dyDescent="0.3">
      <c r="A1225" s="36">
        <v>1224</v>
      </c>
      <c r="B1225" s="36" t="s">
        <v>24</v>
      </c>
      <c r="C1225" s="36" t="s">
        <v>234</v>
      </c>
      <c r="D1225" s="37">
        <v>37658</v>
      </c>
      <c r="E1225" s="36" t="s">
        <v>3001</v>
      </c>
      <c r="F1225" s="36" t="s">
        <v>3002</v>
      </c>
      <c r="G1225" s="36" t="s">
        <v>55</v>
      </c>
      <c r="H1225" s="36" t="s">
        <v>838</v>
      </c>
      <c r="I1225" s="36" t="s">
        <v>74</v>
      </c>
      <c r="J1225" s="36" t="str">
        <f t="shared" si="52"/>
        <v>Water ResourcesWater Resources EstablishmentCTelephone operatorS6 (19900 - 63200)</v>
      </c>
      <c r="K1225" s="36" t="s">
        <v>611</v>
      </c>
      <c r="L1225" s="36" t="s">
        <v>225</v>
      </c>
      <c r="M1225" s="38" t="s">
        <v>3037</v>
      </c>
      <c r="N1225" s="36" t="s">
        <v>199</v>
      </c>
      <c r="O1225" s="6" t="s">
        <v>33</v>
      </c>
      <c r="P1225" s="7">
        <v>7</v>
      </c>
      <c r="Q1225" s="7" t="s">
        <v>34</v>
      </c>
      <c r="R1225" s="8"/>
      <c r="S1225" s="8"/>
      <c r="T1225" s="7" t="s">
        <v>35</v>
      </c>
      <c r="U1225" s="36" t="s">
        <v>35</v>
      </c>
      <c r="V1225" s="38" t="s">
        <v>3064</v>
      </c>
      <c r="W1225" s="36"/>
      <c r="X1225" s="36" t="s">
        <v>613</v>
      </c>
      <c r="Y1225" s="46">
        <v>31324</v>
      </c>
      <c r="Z1225" s="41"/>
      <c r="AA1225" s="42" t="e">
        <f>_xlfn.XLOOKUP(C1225,#REF!,#REF!,"",0,1)</f>
        <v>#REF!</v>
      </c>
      <c r="AB1225" s="43">
        <f t="shared" si="53"/>
        <v>0</v>
      </c>
    </row>
    <row r="1226" spans="1:28" ht="78.5" thickBot="1" x14ac:dyDescent="0.3">
      <c r="A1226" s="36">
        <v>1225</v>
      </c>
      <c r="B1226" s="36" t="s">
        <v>24</v>
      </c>
      <c r="C1226" s="36" t="s">
        <v>234</v>
      </c>
      <c r="D1226" s="37">
        <v>37658</v>
      </c>
      <c r="E1226" s="36" t="s">
        <v>3001</v>
      </c>
      <c r="F1226" s="36" t="s">
        <v>3002</v>
      </c>
      <c r="G1226" s="36" t="s">
        <v>55</v>
      </c>
      <c r="H1226" s="36" t="s">
        <v>3065</v>
      </c>
      <c r="I1226" s="36" t="s">
        <v>169</v>
      </c>
      <c r="J1226" s="36" t="str">
        <f t="shared" si="52"/>
        <v>Water ResourcesWater Resources EstablishmentCMessengerS7 (21700 - 69100)</v>
      </c>
      <c r="K1226" s="36" t="s">
        <v>197</v>
      </c>
      <c r="L1226" s="36" t="s">
        <v>228</v>
      </c>
      <c r="M1226" s="38" t="s">
        <v>3040</v>
      </c>
      <c r="N1226" s="36" t="s">
        <v>41</v>
      </c>
      <c r="O1226" s="6" t="s">
        <v>33</v>
      </c>
      <c r="P1226" s="7">
        <v>194</v>
      </c>
      <c r="Q1226" s="7" t="s">
        <v>34</v>
      </c>
      <c r="R1226" s="8"/>
      <c r="S1226" s="8"/>
      <c r="T1226" s="7" t="s">
        <v>35</v>
      </c>
      <c r="U1226" s="36" t="s">
        <v>35</v>
      </c>
      <c r="V1226" s="38" t="s">
        <v>3066</v>
      </c>
      <c r="W1226" s="36"/>
      <c r="X1226" s="36" t="s">
        <v>3067</v>
      </c>
      <c r="Y1226" s="36" t="s">
        <v>3068</v>
      </c>
      <c r="Z1226" s="41"/>
      <c r="AA1226" s="42" t="e">
        <f>_xlfn.XLOOKUP(C1226,#REF!,#REF!,"",0,1)</f>
        <v>#REF!</v>
      </c>
      <c r="AB1226" s="43">
        <f t="shared" si="53"/>
        <v>0</v>
      </c>
    </row>
    <row r="1227" spans="1:28" ht="91.5" thickBot="1" x14ac:dyDescent="0.3">
      <c r="A1227" s="36">
        <v>1226</v>
      </c>
      <c r="B1227" s="36" t="s">
        <v>24</v>
      </c>
      <c r="C1227" s="36" t="s">
        <v>234</v>
      </c>
      <c r="D1227" s="37">
        <v>37658</v>
      </c>
      <c r="E1227" s="36" t="s">
        <v>3001</v>
      </c>
      <c r="F1227" s="36" t="s">
        <v>3002</v>
      </c>
      <c r="G1227" s="36" t="s">
        <v>55</v>
      </c>
      <c r="H1227" s="36" t="s">
        <v>3069</v>
      </c>
      <c r="I1227" s="36" t="s">
        <v>169</v>
      </c>
      <c r="J1227" s="36" t="str">
        <f t="shared" si="52"/>
        <v>Water ResourcesWater Resources EstablishmentCSenior Survey AsstS7 (21700 - 69100)</v>
      </c>
      <c r="K1227" s="36" t="s">
        <v>197</v>
      </c>
      <c r="L1227" s="36" t="s">
        <v>228</v>
      </c>
      <c r="M1227" s="38" t="s">
        <v>3040</v>
      </c>
      <c r="N1227" s="36" t="s">
        <v>41</v>
      </c>
      <c r="O1227" s="6" t="s">
        <v>33</v>
      </c>
      <c r="P1227" s="7">
        <v>6</v>
      </c>
      <c r="Q1227" s="7" t="s">
        <v>34</v>
      </c>
      <c r="R1227" s="8"/>
      <c r="S1227" s="8"/>
      <c r="T1227" s="7" t="s">
        <v>35</v>
      </c>
      <c r="U1227" s="36" t="s">
        <v>35</v>
      </c>
      <c r="V1227" s="38" t="s">
        <v>3070</v>
      </c>
      <c r="W1227" s="36"/>
      <c r="X1227" s="36" t="s">
        <v>3071</v>
      </c>
      <c r="Y1227" s="36" t="s">
        <v>3072</v>
      </c>
      <c r="Z1227" s="41"/>
      <c r="AA1227" s="42" t="e">
        <f>_xlfn.XLOOKUP(C1227,#REF!,#REF!,"",0,1)</f>
        <v>#REF!</v>
      </c>
      <c r="AB1227" s="43">
        <f t="shared" si="53"/>
        <v>0</v>
      </c>
    </row>
    <row r="1228" spans="1:28" ht="104.5" thickBot="1" x14ac:dyDescent="0.3">
      <c r="A1228" s="36">
        <v>1227</v>
      </c>
      <c r="B1228" s="36" t="s">
        <v>24</v>
      </c>
      <c r="C1228" s="36" t="s">
        <v>234</v>
      </c>
      <c r="D1228" s="37">
        <v>37658</v>
      </c>
      <c r="E1228" s="36" t="s">
        <v>3001</v>
      </c>
      <c r="F1228" s="36" t="s">
        <v>3002</v>
      </c>
      <c r="G1228" s="36" t="s">
        <v>55</v>
      </c>
      <c r="H1228" s="36" t="s">
        <v>3073</v>
      </c>
      <c r="I1228" s="36" t="s">
        <v>169</v>
      </c>
      <c r="J1228" s="36" t="str">
        <f t="shared" si="52"/>
        <v>Water ResourcesWater Resources EstablishmentCJunior Survey AssistantS7 (21700 - 69100)</v>
      </c>
      <c r="K1228" s="36" t="s">
        <v>221</v>
      </c>
      <c r="L1228" s="36" t="s">
        <v>228</v>
      </c>
      <c r="M1228" s="38" t="s">
        <v>3074</v>
      </c>
      <c r="N1228" s="36" t="s">
        <v>199</v>
      </c>
      <c r="O1228" s="6" t="s">
        <v>33</v>
      </c>
      <c r="P1228" s="7">
        <v>10</v>
      </c>
      <c r="Q1228" s="7" t="s">
        <v>34</v>
      </c>
      <c r="R1228" s="8"/>
      <c r="S1228" s="8"/>
      <c r="T1228" s="7" t="s">
        <v>35</v>
      </c>
      <c r="U1228" s="36" t="s">
        <v>35</v>
      </c>
      <c r="V1228" s="38" t="s">
        <v>3075</v>
      </c>
      <c r="W1228" s="36"/>
      <c r="X1228" s="36" t="s">
        <v>3071</v>
      </c>
      <c r="Y1228" s="36" t="s">
        <v>3072</v>
      </c>
      <c r="Z1228" s="41"/>
      <c r="AA1228" s="42" t="e">
        <f>_xlfn.XLOOKUP(C1228,#REF!,#REF!,"",0,1)</f>
        <v>#REF!</v>
      </c>
      <c r="AB1228" s="43">
        <f t="shared" si="53"/>
        <v>0</v>
      </c>
    </row>
    <row r="1229" spans="1:28" ht="91.5" thickBot="1" x14ac:dyDescent="0.3">
      <c r="A1229" s="36">
        <v>1228</v>
      </c>
      <c r="B1229" s="36" t="s">
        <v>24</v>
      </c>
      <c r="C1229" s="36" t="s">
        <v>234</v>
      </c>
      <c r="D1229" s="37">
        <v>37658</v>
      </c>
      <c r="E1229" s="36" t="s">
        <v>3001</v>
      </c>
      <c r="F1229" s="36" t="s">
        <v>3002</v>
      </c>
      <c r="G1229" s="36" t="s">
        <v>55</v>
      </c>
      <c r="H1229" s="36" t="s">
        <v>1773</v>
      </c>
      <c r="I1229" s="36" t="s">
        <v>169</v>
      </c>
      <c r="J1229" s="36" t="str">
        <f t="shared" si="52"/>
        <v>Water ResourcesWater Resources EstablishmentCLaboratory AssistantS7 (21700 - 69100)</v>
      </c>
      <c r="K1229" s="36" t="s">
        <v>377</v>
      </c>
      <c r="L1229" s="36" t="s">
        <v>225</v>
      </c>
      <c r="M1229" s="38" t="s">
        <v>3076</v>
      </c>
      <c r="N1229" s="36" t="s">
        <v>379</v>
      </c>
      <c r="O1229" s="6" t="s">
        <v>33</v>
      </c>
      <c r="P1229" s="7">
        <v>49</v>
      </c>
      <c r="Q1229" s="7" t="s">
        <v>34</v>
      </c>
      <c r="R1229" s="8"/>
      <c r="S1229" s="8"/>
      <c r="T1229" s="7" t="s">
        <v>35</v>
      </c>
      <c r="U1229" s="36" t="s">
        <v>35</v>
      </c>
      <c r="V1229" s="38" t="s">
        <v>3077</v>
      </c>
      <c r="W1229" s="36"/>
      <c r="X1229" s="36" t="s">
        <v>3078</v>
      </c>
      <c r="Y1229" s="36" t="s">
        <v>3079</v>
      </c>
      <c r="Z1229" s="41"/>
      <c r="AA1229" s="42" t="e">
        <f>_xlfn.XLOOKUP(C1229,#REF!,#REF!,"",0,1)</f>
        <v>#REF!</v>
      </c>
      <c r="AB1229" s="43">
        <f t="shared" si="53"/>
        <v>0</v>
      </c>
    </row>
    <row r="1230" spans="1:28" ht="91.5" thickBot="1" x14ac:dyDescent="0.3">
      <c r="A1230" s="36">
        <v>1229</v>
      </c>
      <c r="B1230" s="36" t="s">
        <v>24</v>
      </c>
      <c r="C1230" s="36" t="s">
        <v>234</v>
      </c>
      <c r="D1230" s="37">
        <v>37658</v>
      </c>
      <c r="E1230" s="36" t="s">
        <v>3001</v>
      </c>
      <c r="F1230" s="36" t="s">
        <v>3002</v>
      </c>
      <c r="G1230" s="36" t="s">
        <v>55</v>
      </c>
      <c r="H1230" s="36" t="s">
        <v>3080</v>
      </c>
      <c r="I1230" s="36" t="s">
        <v>169</v>
      </c>
      <c r="J1230" s="36" t="str">
        <f t="shared" si="52"/>
        <v>Water ResourcesWater Resources EstablishmentCJunior Clerk/TypistS7 (21700 - 69100)</v>
      </c>
      <c r="K1230" s="36" t="s">
        <v>75</v>
      </c>
      <c r="L1230" s="36" t="s">
        <v>228</v>
      </c>
      <c r="M1230" s="38" t="s">
        <v>3040</v>
      </c>
      <c r="N1230" s="36" t="s">
        <v>70</v>
      </c>
      <c r="O1230" s="6" t="s">
        <v>33</v>
      </c>
      <c r="P1230" s="7">
        <v>722</v>
      </c>
      <c r="Q1230" s="7" t="s">
        <v>34</v>
      </c>
      <c r="R1230" s="8"/>
      <c r="S1230" s="8"/>
      <c r="T1230" s="7" t="s">
        <v>35</v>
      </c>
      <c r="U1230" s="36" t="s">
        <v>35</v>
      </c>
      <c r="V1230" s="38" t="s">
        <v>125</v>
      </c>
      <c r="W1230" s="36"/>
      <c r="X1230" s="36" t="s">
        <v>77</v>
      </c>
      <c r="Y1230" s="36" t="s">
        <v>78</v>
      </c>
      <c r="Z1230" s="41"/>
      <c r="AA1230" s="42" t="e">
        <f>_xlfn.XLOOKUP(C1230,#REF!,#REF!,"",0,1)</f>
        <v>#REF!</v>
      </c>
      <c r="AB1230" s="43">
        <f t="shared" si="53"/>
        <v>0</v>
      </c>
    </row>
    <row r="1231" spans="1:28" ht="91.5" thickBot="1" x14ac:dyDescent="0.3">
      <c r="A1231" s="36">
        <v>1230</v>
      </c>
      <c r="B1231" s="36" t="s">
        <v>24</v>
      </c>
      <c r="C1231" s="36" t="s">
        <v>234</v>
      </c>
      <c r="D1231" s="37">
        <v>37658</v>
      </c>
      <c r="E1231" s="36" t="s">
        <v>3001</v>
      </c>
      <c r="F1231" s="36" t="s">
        <v>3002</v>
      </c>
      <c r="G1231" s="36" t="s">
        <v>55</v>
      </c>
      <c r="H1231" s="36" t="s">
        <v>1384</v>
      </c>
      <c r="I1231" s="36" t="s">
        <v>169</v>
      </c>
      <c r="J1231" s="36" t="str">
        <f t="shared" si="52"/>
        <v>Water ResourcesWater Resources EstablishmentCTracerS7 (21700 - 69100)</v>
      </c>
      <c r="K1231" s="36" t="s">
        <v>1385</v>
      </c>
      <c r="L1231" s="36" t="s">
        <v>225</v>
      </c>
      <c r="M1231" s="38" t="s">
        <v>3081</v>
      </c>
      <c r="N1231" s="36" t="s">
        <v>129</v>
      </c>
      <c r="O1231" s="6" t="s">
        <v>33</v>
      </c>
      <c r="P1231" s="7">
        <v>817</v>
      </c>
      <c r="Q1231" s="7" t="s">
        <v>34</v>
      </c>
      <c r="R1231" s="8"/>
      <c r="S1231" s="8"/>
      <c r="T1231" s="7" t="s">
        <v>35</v>
      </c>
      <c r="U1231" s="36" t="s">
        <v>35</v>
      </c>
      <c r="V1231" s="38" t="s">
        <v>3082</v>
      </c>
      <c r="W1231" s="36"/>
      <c r="X1231" s="36" t="s">
        <v>2739</v>
      </c>
      <c r="Y1231" s="46">
        <v>42404</v>
      </c>
      <c r="Z1231" s="41"/>
      <c r="AA1231" s="42" t="e">
        <f>_xlfn.XLOOKUP(C1231,#REF!,#REF!,"",0,1)</f>
        <v>#REF!</v>
      </c>
      <c r="AB1231" s="43">
        <f t="shared" si="53"/>
        <v>0</v>
      </c>
    </row>
    <row r="1232" spans="1:28" ht="78.5" thickBot="1" x14ac:dyDescent="0.3">
      <c r="A1232" s="36">
        <v>1231</v>
      </c>
      <c r="B1232" s="36" t="s">
        <v>24</v>
      </c>
      <c r="C1232" s="36" t="s">
        <v>234</v>
      </c>
      <c r="D1232" s="37">
        <v>37658</v>
      </c>
      <c r="E1232" s="36" t="s">
        <v>3001</v>
      </c>
      <c r="F1232" s="36" t="s">
        <v>3002</v>
      </c>
      <c r="G1232" s="36" t="s">
        <v>55</v>
      </c>
      <c r="H1232" s="36" t="s">
        <v>87</v>
      </c>
      <c r="I1232" s="36" t="s">
        <v>80</v>
      </c>
      <c r="J1232" s="36" t="str">
        <f t="shared" si="52"/>
        <v>Water ResourcesWater Resources EstablishmentCSenior ClerkS8 (25500 - 81100)</v>
      </c>
      <c r="K1232" s="36" t="s">
        <v>75</v>
      </c>
      <c r="L1232" s="36" t="s">
        <v>228</v>
      </c>
      <c r="M1232" s="38" t="s">
        <v>3040</v>
      </c>
      <c r="N1232" s="36" t="s">
        <v>70</v>
      </c>
      <c r="O1232" s="6" t="s">
        <v>33</v>
      </c>
      <c r="P1232" s="7">
        <v>0</v>
      </c>
      <c r="Q1232" s="7" t="s">
        <v>34</v>
      </c>
      <c r="R1232" s="8"/>
      <c r="S1232" s="8"/>
      <c r="T1232" s="7" t="s">
        <v>2395</v>
      </c>
      <c r="U1232" s="36" t="s">
        <v>35</v>
      </c>
      <c r="V1232" s="38" t="s">
        <v>257</v>
      </c>
      <c r="W1232" s="36"/>
      <c r="X1232" s="36" t="s">
        <v>258</v>
      </c>
      <c r="Y1232" s="36" t="s">
        <v>259</v>
      </c>
      <c r="Z1232" s="41"/>
      <c r="AA1232" s="42" t="e">
        <f>_xlfn.XLOOKUP(C1232,#REF!,#REF!,"",0,1)</f>
        <v>#REF!</v>
      </c>
      <c r="AB1232" s="43">
        <f t="shared" si="53"/>
        <v>0</v>
      </c>
    </row>
    <row r="1233" spans="1:28" ht="91.5" thickBot="1" x14ac:dyDescent="0.3">
      <c r="A1233" s="36">
        <v>1232</v>
      </c>
      <c r="B1233" s="36" t="s">
        <v>24</v>
      </c>
      <c r="C1233" s="36" t="s">
        <v>234</v>
      </c>
      <c r="D1233" s="37">
        <v>37658</v>
      </c>
      <c r="E1233" s="36" t="s">
        <v>3001</v>
      </c>
      <c r="F1233" s="36" t="s">
        <v>3002</v>
      </c>
      <c r="G1233" s="36" t="s">
        <v>55</v>
      </c>
      <c r="H1233" s="36" t="s">
        <v>3083</v>
      </c>
      <c r="I1233" s="36" t="s">
        <v>80</v>
      </c>
      <c r="J1233" s="36" t="str">
        <f t="shared" si="52"/>
        <v>Water ResourcesWater Resources EstablishmentCAssistant DraftsmanS8 (25500 - 81100)</v>
      </c>
      <c r="K1233" s="36" t="s">
        <v>163</v>
      </c>
      <c r="L1233" s="36" t="s">
        <v>225</v>
      </c>
      <c r="M1233" s="38" t="s">
        <v>3084</v>
      </c>
      <c r="N1233" s="36" t="s">
        <v>165</v>
      </c>
      <c r="O1233" s="6" t="s">
        <v>33</v>
      </c>
      <c r="P1233" s="7">
        <v>91</v>
      </c>
      <c r="Q1233" s="7" t="s">
        <v>34</v>
      </c>
      <c r="R1233" s="8"/>
      <c r="S1233" s="8"/>
      <c r="T1233" s="7" t="s">
        <v>35</v>
      </c>
      <c r="U1233" s="36" t="s">
        <v>35</v>
      </c>
      <c r="V1233" s="38" t="s">
        <v>2754</v>
      </c>
      <c r="W1233" s="36"/>
      <c r="X1233" s="36" t="s">
        <v>2755</v>
      </c>
      <c r="Y1233" s="46">
        <v>42404</v>
      </c>
      <c r="Z1233" s="41"/>
      <c r="AA1233" s="42" t="e">
        <f>_xlfn.XLOOKUP(C1233,#REF!,#REF!,"",0,1)</f>
        <v>#REF!</v>
      </c>
      <c r="AB1233" s="43">
        <f t="shared" si="53"/>
        <v>0</v>
      </c>
    </row>
    <row r="1234" spans="1:28" ht="104.5" thickBot="1" x14ac:dyDescent="0.3">
      <c r="A1234" s="36">
        <v>1233</v>
      </c>
      <c r="B1234" s="36" t="s">
        <v>24</v>
      </c>
      <c r="C1234" s="36" t="s">
        <v>234</v>
      </c>
      <c r="D1234" s="37">
        <v>37658</v>
      </c>
      <c r="E1234" s="36" t="s">
        <v>3001</v>
      </c>
      <c r="F1234" s="36" t="s">
        <v>3002</v>
      </c>
      <c r="G1234" s="36" t="s">
        <v>55</v>
      </c>
      <c r="H1234" s="36" t="s">
        <v>3085</v>
      </c>
      <c r="I1234" s="36" t="s">
        <v>80</v>
      </c>
      <c r="J1234" s="36" t="str">
        <f t="shared" si="52"/>
        <v>Water ResourcesWater Resources EstablishmentCCivil Engineering AssttS8 (25500 - 81100)</v>
      </c>
      <c r="K1234" s="36" t="s">
        <v>163</v>
      </c>
      <c r="L1234" s="36" t="s">
        <v>225</v>
      </c>
      <c r="M1234" s="38" t="s">
        <v>3086</v>
      </c>
      <c r="N1234" s="36" t="s">
        <v>165</v>
      </c>
      <c r="O1234" s="6" t="s">
        <v>33</v>
      </c>
      <c r="P1234" s="7">
        <v>1998</v>
      </c>
      <c r="Q1234" s="7" t="s">
        <v>34</v>
      </c>
      <c r="R1234" s="8"/>
      <c r="S1234" s="8"/>
      <c r="T1234" s="7" t="s">
        <v>35</v>
      </c>
      <c r="U1234" s="36" t="s">
        <v>35</v>
      </c>
      <c r="V1234" s="38" t="s">
        <v>3087</v>
      </c>
      <c r="W1234" s="36"/>
      <c r="X1234" s="36" t="s">
        <v>3088</v>
      </c>
      <c r="Y1234" s="46">
        <v>41616</v>
      </c>
      <c r="Z1234" s="41"/>
      <c r="AA1234" s="42" t="e">
        <f>_xlfn.XLOOKUP(C1234,#REF!,#REF!,"",0,1)</f>
        <v>#REF!</v>
      </c>
      <c r="AB1234" s="43">
        <f t="shared" si="53"/>
        <v>0</v>
      </c>
    </row>
    <row r="1235" spans="1:28" ht="91.5" thickBot="1" x14ac:dyDescent="0.3">
      <c r="A1235" s="36">
        <v>1234</v>
      </c>
      <c r="B1235" s="36" t="s">
        <v>24</v>
      </c>
      <c r="C1235" s="36" t="s">
        <v>234</v>
      </c>
      <c r="D1235" s="37">
        <v>37658</v>
      </c>
      <c r="E1235" s="36" t="s">
        <v>3001</v>
      </c>
      <c r="F1235" s="36" t="s">
        <v>3002</v>
      </c>
      <c r="G1235" s="36" t="s">
        <v>55</v>
      </c>
      <c r="H1235" s="36" t="s">
        <v>3089</v>
      </c>
      <c r="I1235" s="36" t="s">
        <v>80</v>
      </c>
      <c r="J1235" s="36" t="str">
        <f t="shared" si="52"/>
        <v>Water ResourcesWater Resources EstablishmentCShort hand typistS8 (25500 - 81100)</v>
      </c>
      <c r="K1235" s="36" t="s">
        <v>68</v>
      </c>
      <c r="L1235" s="36" t="s">
        <v>231</v>
      </c>
      <c r="M1235" s="38" t="s">
        <v>3040</v>
      </c>
      <c r="N1235" s="36"/>
      <c r="O1235" s="6" t="s">
        <v>33</v>
      </c>
      <c r="P1235" s="7">
        <v>34</v>
      </c>
      <c r="Q1235" s="7" t="s">
        <v>34</v>
      </c>
      <c r="R1235" s="8"/>
      <c r="S1235" s="8"/>
      <c r="T1235" s="4" t="s">
        <v>3276</v>
      </c>
      <c r="U1235" s="36" t="s">
        <v>35</v>
      </c>
      <c r="V1235" s="38"/>
      <c r="W1235" s="36"/>
      <c r="X1235" s="36"/>
      <c r="Y1235" s="36"/>
      <c r="Z1235" s="41"/>
      <c r="AA1235" s="42" t="e">
        <f>_xlfn.XLOOKUP(C1235,#REF!,#REF!,"",0,1)</f>
        <v>#REF!</v>
      </c>
      <c r="AB1235" s="43">
        <f t="shared" si="53"/>
        <v>0</v>
      </c>
    </row>
    <row r="1236" spans="1:28" ht="78.5" thickBot="1" x14ac:dyDescent="0.3">
      <c r="A1236" s="36">
        <v>1235</v>
      </c>
      <c r="B1236" s="36" t="s">
        <v>24</v>
      </c>
      <c r="C1236" s="36" t="s">
        <v>234</v>
      </c>
      <c r="D1236" s="37">
        <v>37658</v>
      </c>
      <c r="E1236" s="36" t="s">
        <v>3001</v>
      </c>
      <c r="F1236" s="36" t="s">
        <v>3002</v>
      </c>
      <c r="G1236" s="36" t="s">
        <v>55</v>
      </c>
      <c r="H1236" s="36" t="s">
        <v>1211</v>
      </c>
      <c r="I1236" s="36" t="s">
        <v>80</v>
      </c>
      <c r="J1236" s="36" t="str">
        <f t="shared" si="52"/>
        <v>Water ResourcesWater Resources EstablishmentCElectricianS8 (25500 - 81100)</v>
      </c>
      <c r="K1236" s="36" t="s">
        <v>127</v>
      </c>
      <c r="L1236" s="36" t="s">
        <v>225</v>
      </c>
      <c r="M1236" s="38" t="s">
        <v>3090</v>
      </c>
      <c r="N1236" s="36" t="s">
        <v>129</v>
      </c>
      <c r="O1236" s="6" t="s">
        <v>33</v>
      </c>
      <c r="P1236" s="7">
        <v>3</v>
      </c>
      <c r="Q1236" s="7" t="s">
        <v>34</v>
      </c>
      <c r="R1236" s="8"/>
      <c r="S1236" s="8"/>
      <c r="T1236" s="7" t="s">
        <v>35</v>
      </c>
      <c r="U1236" s="36" t="s">
        <v>35</v>
      </c>
      <c r="V1236" s="38" t="s">
        <v>3091</v>
      </c>
      <c r="W1236" s="36"/>
      <c r="X1236" s="36" t="s">
        <v>3059</v>
      </c>
      <c r="Y1236" s="36" t="s">
        <v>3060</v>
      </c>
      <c r="Z1236" s="41"/>
      <c r="AA1236" s="42" t="e">
        <f>_xlfn.XLOOKUP(C1236,#REF!,#REF!,"",0,1)</f>
        <v>#REF!</v>
      </c>
      <c r="AB1236" s="43">
        <f t="shared" si="53"/>
        <v>0</v>
      </c>
    </row>
    <row r="1237" spans="1:28" ht="130.5" thickBot="1" x14ac:dyDescent="0.3">
      <c r="A1237" s="36">
        <v>1236</v>
      </c>
      <c r="B1237" s="36" t="s">
        <v>24</v>
      </c>
      <c r="C1237" s="36" t="s">
        <v>263</v>
      </c>
      <c r="D1237" s="37">
        <v>45040</v>
      </c>
      <c r="E1237" s="36" t="s">
        <v>3092</v>
      </c>
      <c r="F1237" s="36" t="s">
        <v>3093</v>
      </c>
      <c r="G1237" s="36" t="s">
        <v>28</v>
      </c>
      <c r="H1237" s="36" t="s">
        <v>796</v>
      </c>
      <c r="I1237" s="36" t="s">
        <v>38</v>
      </c>
      <c r="J1237" s="36" t="str">
        <f t="shared" si="52"/>
        <v>Water Supply and SanitationWater Supply and Sanitation EstablishmentAAdministrative OfficerS20 (56100 - 177500)</v>
      </c>
      <c r="K1237" s="36"/>
      <c r="L1237" s="36" t="s">
        <v>243</v>
      </c>
      <c r="M1237" s="38" t="s">
        <v>3094</v>
      </c>
      <c r="N1237" s="36" t="s">
        <v>32</v>
      </c>
      <c r="O1237" s="6" t="s">
        <v>33</v>
      </c>
      <c r="P1237" s="7">
        <v>0</v>
      </c>
      <c r="Q1237" s="7" t="s">
        <v>34</v>
      </c>
      <c r="R1237" s="8"/>
      <c r="S1237" s="8"/>
      <c r="T1237" s="4" t="s">
        <v>3276</v>
      </c>
      <c r="U1237" s="36" t="s">
        <v>61</v>
      </c>
      <c r="V1237" s="38"/>
      <c r="W1237" s="36"/>
      <c r="X1237" s="36"/>
      <c r="Y1237" s="36"/>
      <c r="Z1237" s="41"/>
      <c r="AA1237" s="42" t="e">
        <f>_xlfn.XLOOKUP(C1237,#REF!,#REF!,"",0,1)</f>
        <v>#REF!</v>
      </c>
      <c r="AB1237" s="43">
        <f t="shared" si="53"/>
        <v>0</v>
      </c>
    </row>
    <row r="1238" spans="1:28" ht="143.5" thickBot="1" x14ac:dyDescent="0.3">
      <c r="A1238" s="36">
        <v>1237</v>
      </c>
      <c r="B1238" s="36" t="s">
        <v>24</v>
      </c>
      <c r="C1238" s="36" t="s">
        <v>263</v>
      </c>
      <c r="D1238" s="37">
        <v>45040</v>
      </c>
      <c r="E1238" s="36" t="s">
        <v>3092</v>
      </c>
      <c r="F1238" s="36" t="s">
        <v>3093</v>
      </c>
      <c r="G1238" s="36" t="s">
        <v>28</v>
      </c>
      <c r="H1238" s="36" t="s">
        <v>3095</v>
      </c>
      <c r="I1238" s="36" t="s">
        <v>38</v>
      </c>
      <c r="J1238" s="36" t="str">
        <f t="shared" si="52"/>
        <v>Water Supply and SanitationWater Supply and Sanitation EstablishmentADeputy Engineer (mech.)S20 (56100 - 177500)</v>
      </c>
      <c r="K1238" s="36" t="s">
        <v>246</v>
      </c>
      <c r="L1238" s="36" t="s">
        <v>247</v>
      </c>
      <c r="M1238" s="38" t="s">
        <v>3096</v>
      </c>
      <c r="N1238" s="36" t="s">
        <v>60</v>
      </c>
      <c r="O1238" s="6" t="s">
        <v>33</v>
      </c>
      <c r="P1238" s="7">
        <v>1</v>
      </c>
      <c r="Q1238" s="7" t="s">
        <v>34</v>
      </c>
      <c r="R1238" s="8"/>
      <c r="S1238" s="8"/>
      <c r="T1238" s="7" t="s">
        <v>2395</v>
      </c>
      <c r="U1238" s="36" t="s">
        <v>61</v>
      </c>
      <c r="V1238" s="38"/>
      <c r="W1238" s="36"/>
      <c r="X1238" s="36"/>
      <c r="Y1238" s="36"/>
      <c r="Z1238" s="41"/>
      <c r="AA1238" s="42" t="e">
        <f>_xlfn.XLOOKUP(C1238,#REF!,#REF!,"",0,1)</f>
        <v>#REF!</v>
      </c>
      <c r="AB1238" s="43">
        <f t="shared" si="53"/>
        <v>0</v>
      </c>
    </row>
    <row r="1239" spans="1:28" ht="130.5" thickBot="1" x14ac:dyDescent="0.3">
      <c r="A1239" s="36">
        <v>1238</v>
      </c>
      <c r="B1239" s="36" t="s">
        <v>24</v>
      </c>
      <c r="C1239" s="36" t="s">
        <v>263</v>
      </c>
      <c r="D1239" s="37">
        <v>45040</v>
      </c>
      <c r="E1239" s="36" t="s">
        <v>3092</v>
      </c>
      <c r="F1239" s="36" t="s">
        <v>3093</v>
      </c>
      <c r="G1239" s="36" t="s">
        <v>28</v>
      </c>
      <c r="H1239" s="36" t="s">
        <v>3097</v>
      </c>
      <c r="I1239" s="36" t="s">
        <v>3098</v>
      </c>
      <c r="J1239" s="36" t="str">
        <f t="shared" si="52"/>
        <v>Water Supply and SanitationWater Supply and Sanitation EstablishmentASenior GeophysicistS21 (57100 - 180800)</v>
      </c>
      <c r="K1239" s="36" t="s">
        <v>2086</v>
      </c>
      <c r="L1239" s="36" t="s">
        <v>247</v>
      </c>
      <c r="M1239" s="38" t="s">
        <v>3099</v>
      </c>
      <c r="N1239" s="36" t="s">
        <v>3100</v>
      </c>
      <c r="O1239" s="9"/>
      <c r="P1239" s="7">
        <v>2</v>
      </c>
      <c r="Q1239" s="7" t="s">
        <v>34</v>
      </c>
      <c r="R1239" s="8"/>
      <c r="S1239" s="8"/>
      <c r="T1239" s="7" t="s">
        <v>35</v>
      </c>
      <c r="U1239" s="36" t="s">
        <v>61</v>
      </c>
      <c r="V1239" s="38"/>
      <c r="W1239" s="36"/>
      <c r="X1239" s="36"/>
      <c r="Y1239" s="36"/>
      <c r="Z1239" s="41"/>
      <c r="AA1239" s="42" t="e">
        <f>_xlfn.XLOOKUP(C1239,#REF!,#REF!,"",0,1)</f>
        <v>#REF!</v>
      </c>
      <c r="AB1239" s="43">
        <f t="shared" si="53"/>
        <v>0</v>
      </c>
    </row>
    <row r="1240" spans="1:28" ht="130.5" thickBot="1" x14ac:dyDescent="0.3">
      <c r="A1240" s="36">
        <v>1239</v>
      </c>
      <c r="B1240" s="36" t="s">
        <v>24</v>
      </c>
      <c r="C1240" s="36" t="s">
        <v>263</v>
      </c>
      <c r="D1240" s="37">
        <v>45040</v>
      </c>
      <c r="E1240" s="36" t="s">
        <v>3092</v>
      </c>
      <c r="F1240" s="36" t="s">
        <v>3093</v>
      </c>
      <c r="G1240" s="36" t="s">
        <v>28</v>
      </c>
      <c r="H1240" s="36" t="s">
        <v>3101</v>
      </c>
      <c r="I1240" s="36" t="s">
        <v>104</v>
      </c>
      <c r="J1240" s="36" t="str">
        <f t="shared" si="52"/>
        <v>Water Supply and SanitationWater Supply and Sanitation EstablishmentASenior Drilling EngineerS22 (60000 - 190800)</v>
      </c>
      <c r="K1240" s="36"/>
      <c r="L1240" s="36" t="s">
        <v>243</v>
      </c>
      <c r="M1240" s="38" t="s">
        <v>3102</v>
      </c>
      <c r="N1240" s="36" t="s">
        <v>32</v>
      </c>
      <c r="O1240" s="6" t="s">
        <v>33</v>
      </c>
      <c r="P1240" s="7">
        <v>4</v>
      </c>
      <c r="Q1240" s="7" t="s">
        <v>100</v>
      </c>
      <c r="R1240" s="7">
        <v>3</v>
      </c>
      <c r="S1240" s="7" t="s">
        <v>3103</v>
      </c>
      <c r="T1240" s="4" t="s">
        <v>3276</v>
      </c>
      <c r="U1240" s="36" t="s">
        <v>61</v>
      </c>
      <c r="V1240" s="38"/>
      <c r="W1240" s="36"/>
      <c r="X1240" s="36"/>
      <c r="Y1240" s="36"/>
      <c r="Z1240" s="41"/>
      <c r="AA1240" s="42" t="e">
        <f>_xlfn.XLOOKUP(C1240,#REF!,#REF!,"",0,1)</f>
        <v>#REF!</v>
      </c>
      <c r="AB1240" s="43">
        <f t="shared" si="53"/>
        <v>0</v>
      </c>
    </row>
    <row r="1241" spans="1:28" ht="130.5" thickBot="1" x14ac:dyDescent="0.3">
      <c r="A1241" s="36">
        <v>1240</v>
      </c>
      <c r="B1241" s="36" t="s">
        <v>24</v>
      </c>
      <c r="C1241" s="36" t="s">
        <v>263</v>
      </c>
      <c r="D1241" s="37">
        <v>45040</v>
      </c>
      <c r="E1241" s="36" t="s">
        <v>3092</v>
      </c>
      <c r="F1241" s="36" t="s">
        <v>3093</v>
      </c>
      <c r="G1241" s="36" t="s">
        <v>28</v>
      </c>
      <c r="H1241" s="36" t="s">
        <v>3104</v>
      </c>
      <c r="I1241" s="36" t="s">
        <v>104</v>
      </c>
      <c r="J1241" s="36" t="str">
        <f t="shared" si="52"/>
        <v>Water Supply and SanitationWater Supply and Sanitation EstablishmentASenior GeologistS22 (60000 - 190800)</v>
      </c>
      <c r="K1241" s="36" t="s">
        <v>2086</v>
      </c>
      <c r="L1241" s="36" t="s">
        <v>247</v>
      </c>
      <c r="M1241" s="38" t="s">
        <v>3105</v>
      </c>
      <c r="N1241" s="36" t="s">
        <v>3100</v>
      </c>
      <c r="O1241" s="9"/>
      <c r="P1241" s="7">
        <v>1</v>
      </c>
      <c r="Q1241" s="7" t="s">
        <v>34</v>
      </c>
      <c r="R1241" s="8"/>
      <c r="S1241" s="8"/>
      <c r="T1241" s="7" t="s">
        <v>2395</v>
      </c>
      <c r="U1241" s="36" t="s">
        <v>61</v>
      </c>
      <c r="V1241" s="38"/>
      <c r="W1241" s="36"/>
      <c r="X1241" s="36"/>
      <c r="Y1241" s="36"/>
      <c r="Z1241" s="41"/>
      <c r="AA1241" s="42" t="e">
        <f>_xlfn.XLOOKUP(C1241,#REF!,#REF!,"",0,1)</f>
        <v>#REF!</v>
      </c>
      <c r="AB1241" s="43">
        <f t="shared" si="53"/>
        <v>0</v>
      </c>
    </row>
    <row r="1242" spans="1:28" ht="143.5" thickBot="1" x14ac:dyDescent="0.3">
      <c r="A1242" s="36">
        <v>1241</v>
      </c>
      <c r="B1242" s="36" t="s">
        <v>24</v>
      </c>
      <c r="C1242" s="36" t="s">
        <v>263</v>
      </c>
      <c r="D1242" s="37">
        <v>45040</v>
      </c>
      <c r="E1242" s="36" t="s">
        <v>3092</v>
      </c>
      <c r="F1242" s="36" t="s">
        <v>3093</v>
      </c>
      <c r="G1242" s="36" t="s">
        <v>28</v>
      </c>
      <c r="H1242" s="36" t="s">
        <v>326</v>
      </c>
      <c r="I1242" s="36" t="s">
        <v>242</v>
      </c>
      <c r="J1242" s="36" t="str">
        <f t="shared" si="52"/>
        <v>Water Supply and SanitationWater Supply and Sanitation EstablishmentADeputy DirectorS23 (67700 - 208700)</v>
      </c>
      <c r="K1242" s="36"/>
      <c r="L1242" s="36" t="s">
        <v>243</v>
      </c>
      <c r="M1242" s="38" t="s">
        <v>3106</v>
      </c>
      <c r="N1242" s="36" t="s">
        <v>32</v>
      </c>
      <c r="O1242" s="6" t="s">
        <v>33</v>
      </c>
      <c r="P1242" s="7">
        <v>1</v>
      </c>
      <c r="Q1242" s="7" t="s">
        <v>34</v>
      </c>
      <c r="R1242" s="8"/>
      <c r="S1242" s="8"/>
      <c r="T1242" s="4" t="s">
        <v>3276</v>
      </c>
      <c r="U1242" s="36" t="s">
        <v>61</v>
      </c>
      <c r="V1242" s="38"/>
      <c r="W1242" s="36"/>
      <c r="X1242" s="36"/>
      <c r="Y1242" s="36"/>
      <c r="Z1242" s="41"/>
      <c r="AA1242" s="42" t="e">
        <f>_xlfn.XLOOKUP(C1242,#REF!,#REF!,"",0,1)</f>
        <v>#REF!</v>
      </c>
      <c r="AB1242" s="43">
        <f t="shared" si="53"/>
        <v>0</v>
      </c>
    </row>
    <row r="1243" spans="1:28" ht="130.5" thickBot="1" x14ac:dyDescent="0.3">
      <c r="A1243" s="36">
        <v>1242</v>
      </c>
      <c r="B1243" s="36" t="s">
        <v>24</v>
      </c>
      <c r="C1243" s="36" t="s">
        <v>263</v>
      </c>
      <c r="D1243" s="37">
        <v>45040</v>
      </c>
      <c r="E1243" s="36" t="s">
        <v>3092</v>
      </c>
      <c r="F1243" s="36" t="s">
        <v>3093</v>
      </c>
      <c r="G1243" s="36" t="s">
        <v>28</v>
      </c>
      <c r="H1243" s="36" t="s">
        <v>3107</v>
      </c>
      <c r="I1243" s="36" t="s">
        <v>242</v>
      </c>
      <c r="J1243" s="36" t="str">
        <f t="shared" si="52"/>
        <v>Water Supply and SanitationWater Supply and Sanitation EstablishmentAChief Drilling EngineerS23 (67700 - 208700)</v>
      </c>
      <c r="K1243" s="36"/>
      <c r="L1243" s="36" t="s">
        <v>243</v>
      </c>
      <c r="M1243" s="38" t="s">
        <v>3108</v>
      </c>
      <c r="N1243" s="36" t="s">
        <v>32</v>
      </c>
      <c r="O1243" s="6" t="s">
        <v>33</v>
      </c>
      <c r="P1243" s="7">
        <v>0</v>
      </c>
      <c r="Q1243" s="7" t="s">
        <v>34</v>
      </c>
      <c r="R1243" s="8"/>
      <c r="S1243" s="8"/>
      <c r="T1243" s="4" t="s">
        <v>3276</v>
      </c>
      <c r="U1243" s="36" t="s">
        <v>61</v>
      </c>
      <c r="V1243" s="38"/>
      <c r="W1243" s="36"/>
      <c r="X1243" s="36"/>
      <c r="Y1243" s="36"/>
      <c r="Z1243" s="41"/>
      <c r="AA1243" s="42" t="e">
        <f>_xlfn.XLOOKUP(C1243,#REF!,#REF!,"",0,1)</f>
        <v>#REF!</v>
      </c>
      <c r="AB1243" s="43">
        <f t="shared" si="53"/>
        <v>0</v>
      </c>
    </row>
    <row r="1244" spans="1:28" ht="130.5" thickBot="1" x14ac:dyDescent="0.3">
      <c r="A1244" s="36">
        <v>1243</v>
      </c>
      <c r="B1244" s="36" t="s">
        <v>24</v>
      </c>
      <c r="C1244" s="36" t="s">
        <v>263</v>
      </c>
      <c r="D1244" s="37">
        <v>45040</v>
      </c>
      <c r="E1244" s="36" t="s">
        <v>3092</v>
      </c>
      <c r="F1244" s="36" t="s">
        <v>3093</v>
      </c>
      <c r="G1244" s="36" t="s">
        <v>28</v>
      </c>
      <c r="H1244" s="36" t="s">
        <v>1025</v>
      </c>
      <c r="I1244" s="36" t="s">
        <v>2097</v>
      </c>
      <c r="J1244" s="36" t="str">
        <f t="shared" si="52"/>
        <v>Water Supply and SanitationWater Supply and Sanitation EstablishmentAJoint DirectorS26 (82200 - 211500)</v>
      </c>
      <c r="K1244" s="36"/>
      <c r="L1244" s="36" t="s">
        <v>243</v>
      </c>
      <c r="M1244" s="38" t="s">
        <v>3109</v>
      </c>
      <c r="N1244" s="36" t="s">
        <v>32</v>
      </c>
      <c r="O1244" s="6" t="s">
        <v>33</v>
      </c>
      <c r="P1244" s="7">
        <v>0</v>
      </c>
      <c r="Q1244" s="7" t="s">
        <v>34</v>
      </c>
      <c r="R1244" s="8"/>
      <c r="S1244" s="8"/>
      <c r="T1244" s="4" t="s">
        <v>3276</v>
      </c>
      <c r="U1244" s="36" t="s">
        <v>35</v>
      </c>
      <c r="V1244" s="38"/>
      <c r="W1244" s="36"/>
      <c r="X1244" s="36"/>
      <c r="Y1244" s="36"/>
      <c r="Z1244" s="41"/>
      <c r="AA1244" s="42" t="e">
        <f>_xlfn.XLOOKUP(C1244,#REF!,#REF!,"",0,1)</f>
        <v>#REF!</v>
      </c>
      <c r="AB1244" s="43">
        <f t="shared" si="53"/>
        <v>0</v>
      </c>
    </row>
    <row r="1245" spans="1:28" ht="130.5" thickBot="1" x14ac:dyDescent="0.3">
      <c r="A1245" s="36">
        <v>1244</v>
      </c>
      <c r="B1245" s="36" t="s">
        <v>24</v>
      </c>
      <c r="C1245" s="36" t="s">
        <v>263</v>
      </c>
      <c r="D1245" s="37">
        <v>45040</v>
      </c>
      <c r="E1245" s="36" t="s">
        <v>3092</v>
      </c>
      <c r="F1245" s="36" t="s">
        <v>3093</v>
      </c>
      <c r="G1245" s="36" t="s">
        <v>28</v>
      </c>
      <c r="H1245" s="36" t="s">
        <v>3110</v>
      </c>
      <c r="I1245" s="36" t="s">
        <v>754</v>
      </c>
      <c r="J1245" s="36" t="str">
        <f t="shared" si="52"/>
        <v>Water Supply and SanitationWater Supply and Sanitation EstablishmentAAdditional DirectorS27 (118500 - 214100)</v>
      </c>
      <c r="K1245" s="36"/>
      <c r="L1245" s="36" t="s">
        <v>243</v>
      </c>
      <c r="M1245" s="38" t="s">
        <v>3111</v>
      </c>
      <c r="N1245" s="36" t="s">
        <v>32</v>
      </c>
      <c r="O1245" s="6" t="s">
        <v>33</v>
      </c>
      <c r="P1245" s="7">
        <v>0</v>
      </c>
      <c r="Q1245" s="7" t="s">
        <v>34</v>
      </c>
      <c r="R1245" s="8"/>
      <c r="S1245" s="8"/>
      <c r="T1245" s="4" t="s">
        <v>3276</v>
      </c>
      <c r="U1245" s="36" t="s">
        <v>35</v>
      </c>
      <c r="V1245" s="38"/>
      <c r="W1245" s="36"/>
      <c r="X1245" s="36"/>
      <c r="Y1245" s="36"/>
      <c r="Z1245" s="41"/>
      <c r="AA1245" s="42" t="e">
        <f>_xlfn.XLOOKUP(C1245,#REF!,#REF!,"",0,1)</f>
        <v>#REF!</v>
      </c>
      <c r="AB1245" s="43">
        <f t="shared" si="53"/>
        <v>0</v>
      </c>
    </row>
    <row r="1246" spans="1:28" ht="169.5" thickBot="1" x14ac:dyDescent="0.3">
      <c r="A1246" s="36">
        <v>1245</v>
      </c>
      <c r="B1246" s="36" t="s">
        <v>24</v>
      </c>
      <c r="C1246" s="36" t="s">
        <v>263</v>
      </c>
      <c r="D1246" s="37">
        <v>45040</v>
      </c>
      <c r="E1246" s="36" t="s">
        <v>3092</v>
      </c>
      <c r="F1246" s="36" t="s">
        <v>3093</v>
      </c>
      <c r="G1246" s="36" t="s">
        <v>42</v>
      </c>
      <c r="H1246" s="36" t="s">
        <v>3112</v>
      </c>
      <c r="I1246" s="36" t="s">
        <v>44</v>
      </c>
      <c r="J1246" s="36" t="str">
        <f t="shared" si="52"/>
        <v>Water Supply and SanitationWater Supply and Sanitation EstablishmentB (Gazetted)Assistant Administrative OfficerS15 (41800 - 132300)</v>
      </c>
      <c r="K1246" s="36" t="s">
        <v>45</v>
      </c>
      <c r="L1246" s="36" t="s">
        <v>247</v>
      </c>
      <c r="M1246" s="38" t="s">
        <v>3113</v>
      </c>
      <c r="N1246" s="36" t="s">
        <v>47</v>
      </c>
      <c r="O1246" s="6" t="s">
        <v>33</v>
      </c>
      <c r="P1246" s="7">
        <v>2</v>
      </c>
      <c r="Q1246" s="7" t="s">
        <v>100</v>
      </c>
      <c r="R1246" s="7">
        <v>2</v>
      </c>
      <c r="S1246" s="7" t="s">
        <v>3114</v>
      </c>
      <c r="T1246" s="7" t="s">
        <v>35</v>
      </c>
      <c r="U1246" s="36" t="s">
        <v>61</v>
      </c>
      <c r="V1246" s="38"/>
      <c r="W1246" s="36"/>
      <c r="X1246" s="36"/>
      <c r="Y1246" s="36"/>
      <c r="Z1246" s="41"/>
      <c r="AA1246" s="42" t="e">
        <f>_xlfn.XLOOKUP(C1246,#REF!,#REF!,"",0,1)</f>
        <v>#REF!</v>
      </c>
      <c r="AB1246" s="43">
        <f t="shared" si="53"/>
        <v>0</v>
      </c>
    </row>
    <row r="1247" spans="1:28" ht="143.5" thickBot="1" x14ac:dyDescent="0.3">
      <c r="A1247" s="36">
        <v>1246</v>
      </c>
      <c r="B1247" s="36" t="s">
        <v>24</v>
      </c>
      <c r="C1247" s="36" t="s">
        <v>263</v>
      </c>
      <c r="D1247" s="37">
        <v>45040</v>
      </c>
      <c r="E1247" s="36" t="s">
        <v>3092</v>
      </c>
      <c r="F1247" s="36" t="s">
        <v>3093</v>
      </c>
      <c r="G1247" s="36" t="s">
        <v>42</v>
      </c>
      <c r="H1247" s="36" t="s">
        <v>3115</v>
      </c>
      <c r="I1247" s="36" t="s">
        <v>54</v>
      </c>
      <c r="J1247" s="36" t="str">
        <f t="shared" si="52"/>
        <v>Water Supply and SanitationWater Supply and Sanitation EstablishmentB (Gazetted)Junior GeologistS16 (44900 - 142400)</v>
      </c>
      <c r="K1247" s="36" t="s">
        <v>2086</v>
      </c>
      <c r="L1247" s="36" t="s">
        <v>247</v>
      </c>
      <c r="M1247" s="38" t="s">
        <v>3116</v>
      </c>
      <c r="N1247" s="36" t="s">
        <v>3117</v>
      </c>
      <c r="O1247" s="6" t="s">
        <v>33</v>
      </c>
      <c r="P1247" s="7">
        <v>65</v>
      </c>
      <c r="Q1247" s="7" t="s">
        <v>34</v>
      </c>
      <c r="R1247" s="8"/>
      <c r="S1247" s="8"/>
      <c r="T1247" s="7" t="s">
        <v>35</v>
      </c>
      <c r="U1247" s="36" t="s">
        <v>61</v>
      </c>
      <c r="V1247" s="38"/>
      <c r="W1247" s="36"/>
      <c r="X1247" s="36"/>
      <c r="Y1247" s="36"/>
      <c r="Z1247" s="41"/>
      <c r="AA1247" s="42" t="e">
        <f>_xlfn.XLOOKUP(C1247,#REF!,#REF!,"",0,1)</f>
        <v>#REF!</v>
      </c>
      <c r="AB1247" s="43">
        <f t="shared" si="53"/>
        <v>0</v>
      </c>
    </row>
    <row r="1248" spans="1:28" ht="156.5" thickBot="1" x14ac:dyDescent="0.3">
      <c r="A1248" s="36">
        <v>1247</v>
      </c>
      <c r="B1248" s="36" t="s">
        <v>24</v>
      </c>
      <c r="C1248" s="36" t="s">
        <v>263</v>
      </c>
      <c r="D1248" s="37">
        <v>45040</v>
      </c>
      <c r="E1248" s="36" t="s">
        <v>3092</v>
      </c>
      <c r="F1248" s="36" t="s">
        <v>3093</v>
      </c>
      <c r="G1248" s="36" t="s">
        <v>42</v>
      </c>
      <c r="H1248" s="36" t="s">
        <v>3118</v>
      </c>
      <c r="I1248" s="36" t="s">
        <v>54</v>
      </c>
      <c r="J1248" s="36" t="str">
        <f t="shared" si="52"/>
        <v>Water Supply and SanitationWater Supply and Sanitation EstablishmentB (Gazetted)Assistant GeophysicistS16 (44900 - 142400)</v>
      </c>
      <c r="K1248" s="36" t="s">
        <v>2086</v>
      </c>
      <c r="L1248" s="36" t="s">
        <v>247</v>
      </c>
      <c r="M1248" s="38" t="s">
        <v>3119</v>
      </c>
      <c r="N1248" s="36" t="s">
        <v>1811</v>
      </c>
      <c r="O1248" s="9"/>
      <c r="P1248" s="7">
        <v>3</v>
      </c>
      <c r="Q1248" s="7" t="s">
        <v>100</v>
      </c>
      <c r="R1248" s="7">
        <v>3</v>
      </c>
      <c r="S1248" s="7" t="s">
        <v>3103</v>
      </c>
      <c r="T1248" s="7" t="s">
        <v>35</v>
      </c>
      <c r="U1248" s="36" t="s">
        <v>61</v>
      </c>
      <c r="V1248" s="38"/>
      <c r="W1248" s="36"/>
      <c r="X1248" s="36"/>
      <c r="Y1248" s="36"/>
      <c r="Z1248" s="41"/>
      <c r="AA1248" s="42" t="e">
        <f>_xlfn.XLOOKUP(C1248,#REF!,#REF!,"",0,1)</f>
        <v>#REF!</v>
      </c>
      <c r="AB1248" s="43">
        <f t="shared" si="53"/>
        <v>0</v>
      </c>
    </row>
    <row r="1249" spans="1:28" ht="156.5" thickBot="1" x14ac:dyDescent="0.3">
      <c r="A1249" s="36">
        <v>1248</v>
      </c>
      <c r="B1249" s="36" t="s">
        <v>24</v>
      </c>
      <c r="C1249" s="36" t="s">
        <v>263</v>
      </c>
      <c r="D1249" s="37">
        <v>45040</v>
      </c>
      <c r="E1249" s="36" t="s">
        <v>3092</v>
      </c>
      <c r="F1249" s="36" t="s">
        <v>3093</v>
      </c>
      <c r="G1249" s="36" t="s">
        <v>42</v>
      </c>
      <c r="H1249" s="36" t="s">
        <v>3120</v>
      </c>
      <c r="I1249" s="36" t="s">
        <v>54</v>
      </c>
      <c r="J1249" s="36" t="str">
        <f t="shared" si="52"/>
        <v>Water Supply and SanitationWater Supply and Sanitation EstablishmentB (Gazetted)Assistant ChemistS16 (44900 - 142400)</v>
      </c>
      <c r="K1249" s="36"/>
      <c r="L1249" s="36" t="s">
        <v>238</v>
      </c>
      <c r="M1249" s="38" t="s">
        <v>3121</v>
      </c>
      <c r="N1249" s="36" t="s">
        <v>60</v>
      </c>
      <c r="O1249" s="6" t="s">
        <v>33</v>
      </c>
      <c r="P1249" s="7">
        <v>2</v>
      </c>
      <c r="Q1249" s="7" t="s">
        <v>100</v>
      </c>
      <c r="R1249" s="7">
        <v>2</v>
      </c>
      <c r="S1249" s="7" t="s">
        <v>3114</v>
      </c>
      <c r="T1249" s="7" t="s">
        <v>35</v>
      </c>
      <c r="U1249" s="36" t="s">
        <v>61</v>
      </c>
      <c r="V1249" s="38"/>
      <c r="W1249" s="36"/>
      <c r="X1249" s="36"/>
      <c r="Y1249" s="36"/>
      <c r="Z1249" s="41"/>
      <c r="AA1249" s="42" t="e">
        <f>_xlfn.XLOOKUP(C1249,#REF!,#REF!,"",0,1)</f>
        <v>#REF!</v>
      </c>
      <c r="AB1249" s="43">
        <f t="shared" si="53"/>
        <v>0</v>
      </c>
    </row>
    <row r="1250" spans="1:28" ht="169.5" thickBot="1" x14ac:dyDescent="0.3">
      <c r="A1250" s="36">
        <v>1249</v>
      </c>
      <c r="B1250" s="36" t="s">
        <v>24</v>
      </c>
      <c r="C1250" s="36" t="s">
        <v>263</v>
      </c>
      <c r="D1250" s="37">
        <v>45040</v>
      </c>
      <c r="E1250" s="36" t="s">
        <v>3092</v>
      </c>
      <c r="F1250" s="36" t="s">
        <v>3093</v>
      </c>
      <c r="G1250" s="36" t="s">
        <v>42</v>
      </c>
      <c r="H1250" s="36" t="s">
        <v>3122</v>
      </c>
      <c r="I1250" s="36" t="s">
        <v>2342</v>
      </c>
      <c r="J1250" s="36" t="str">
        <f t="shared" si="52"/>
        <v>Water Supply and SanitationWater Supply and Sanitation EstablishmentB (Gazetted)Assistant GeologistS19 (55100 - 175100)</v>
      </c>
      <c r="K1250" s="36" t="s">
        <v>2086</v>
      </c>
      <c r="L1250" s="36" t="s">
        <v>247</v>
      </c>
      <c r="M1250" s="38" t="s">
        <v>3123</v>
      </c>
      <c r="N1250" s="36" t="s">
        <v>3117</v>
      </c>
      <c r="O1250" s="6" t="s">
        <v>33</v>
      </c>
      <c r="P1250" s="7">
        <v>0</v>
      </c>
      <c r="Q1250" s="7" t="s">
        <v>34</v>
      </c>
      <c r="R1250" s="8"/>
      <c r="S1250" s="8"/>
      <c r="T1250" s="7" t="s">
        <v>2395</v>
      </c>
      <c r="U1250" s="36" t="s">
        <v>61</v>
      </c>
      <c r="V1250" s="38"/>
      <c r="W1250" s="36"/>
      <c r="X1250" s="36"/>
      <c r="Y1250" s="36"/>
      <c r="Z1250" s="41"/>
      <c r="AA1250" s="42" t="e">
        <f>_xlfn.XLOOKUP(C1250,#REF!,#REF!,"",0,1)</f>
        <v>#REF!</v>
      </c>
      <c r="AB1250" s="43">
        <f t="shared" si="53"/>
        <v>0</v>
      </c>
    </row>
    <row r="1251" spans="1:28" ht="117.5" thickBot="1" x14ac:dyDescent="0.3">
      <c r="A1251" s="36">
        <v>1250</v>
      </c>
      <c r="B1251" s="36" t="s">
        <v>24</v>
      </c>
      <c r="C1251" s="36" t="s">
        <v>263</v>
      </c>
      <c r="D1251" s="37">
        <v>45040</v>
      </c>
      <c r="E1251" s="36" t="s">
        <v>3092</v>
      </c>
      <c r="F1251" s="36" t="s">
        <v>3093</v>
      </c>
      <c r="G1251" s="36" t="s">
        <v>55</v>
      </c>
      <c r="H1251" s="36" t="s">
        <v>3124</v>
      </c>
      <c r="I1251" s="36" t="s">
        <v>276</v>
      </c>
      <c r="J1251" s="36" t="str">
        <f t="shared" si="52"/>
        <v>Water Supply and SanitationWater Supply and Sanitation EstablishmentCG.I.S. Senior AssistantS10 (29200 - 92300)</v>
      </c>
      <c r="K1251" s="36" t="s">
        <v>3125</v>
      </c>
      <c r="L1251" s="36" t="s">
        <v>225</v>
      </c>
      <c r="M1251" s="38" t="s">
        <v>3126</v>
      </c>
      <c r="N1251" s="36" t="s">
        <v>3127</v>
      </c>
      <c r="O1251" s="9"/>
      <c r="P1251" s="7">
        <v>3</v>
      </c>
      <c r="Q1251" s="7" t="s">
        <v>34</v>
      </c>
      <c r="R1251" s="8"/>
      <c r="S1251" s="8"/>
      <c r="T1251" s="7" t="s">
        <v>61</v>
      </c>
      <c r="U1251" s="36" t="s">
        <v>61</v>
      </c>
      <c r="V1251" s="38" t="s">
        <v>3128</v>
      </c>
      <c r="W1251" s="36"/>
      <c r="X1251" s="36" t="s">
        <v>3129</v>
      </c>
      <c r="Y1251" s="46">
        <v>29619</v>
      </c>
      <c r="Z1251" s="41"/>
      <c r="AA1251" s="42" t="e">
        <f>_xlfn.XLOOKUP(C1251,#REF!,#REF!,"",0,1)</f>
        <v>#REF!</v>
      </c>
      <c r="AB1251" s="43">
        <f t="shared" si="53"/>
        <v>0</v>
      </c>
    </row>
    <row r="1252" spans="1:28" ht="130.5" thickBot="1" x14ac:dyDescent="0.3">
      <c r="A1252" s="36">
        <v>1251</v>
      </c>
      <c r="B1252" s="36" t="s">
        <v>24</v>
      </c>
      <c r="C1252" s="36" t="s">
        <v>263</v>
      </c>
      <c r="D1252" s="37">
        <v>45040</v>
      </c>
      <c r="E1252" s="36" t="s">
        <v>3092</v>
      </c>
      <c r="F1252" s="36" t="s">
        <v>3093</v>
      </c>
      <c r="G1252" s="36" t="s">
        <v>55</v>
      </c>
      <c r="H1252" s="36" t="s">
        <v>3130</v>
      </c>
      <c r="I1252" s="36" t="s">
        <v>57</v>
      </c>
      <c r="J1252" s="36" t="str">
        <f t="shared" si="52"/>
        <v>Water Supply and SanitationWater Supply and Sanitation EstablishmentCTechnical OfficerS13 (35400 - 112400)</v>
      </c>
      <c r="K1252" s="36" t="s">
        <v>3131</v>
      </c>
      <c r="L1252" s="36" t="s">
        <v>225</v>
      </c>
      <c r="M1252" s="38" t="s">
        <v>3132</v>
      </c>
      <c r="N1252" s="36" t="s">
        <v>41</v>
      </c>
      <c r="O1252" s="9"/>
      <c r="P1252" s="7">
        <v>16</v>
      </c>
      <c r="Q1252" s="7" t="s">
        <v>100</v>
      </c>
      <c r="R1252" s="7">
        <v>7</v>
      </c>
      <c r="S1252" s="7" t="s">
        <v>3133</v>
      </c>
      <c r="T1252" s="7" t="s">
        <v>61</v>
      </c>
      <c r="U1252" s="36" t="s">
        <v>61</v>
      </c>
      <c r="V1252" s="38" t="s">
        <v>3134</v>
      </c>
      <c r="W1252" s="36"/>
      <c r="X1252" s="36" t="s">
        <v>3135</v>
      </c>
      <c r="Y1252" s="36" t="s">
        <v>3136</v>
      </c>
      <c r="Z1252" s="41"/>
      <c r="AA1252" s="42" t="e">
        <f>_xlfn.XLOOKUP(C1252,#REF!,#REF!,"",0,1)</f>
        <v>#REF!</v>
      </c>
      <c r="AB1252" s="43">
        <f t="shared" si="53"/>
        <v>0</v>
      </c>
    </row>
    <row r="1253" spans="1:28" ht="130.5" thickBot="1" x14ac:dyDescent="0.3">
      <c r="A1253" s="36">
        <v>1252</v>
      </c>
      <c r="B1253" s="36" t="s">
        <v>24</v>
      </c>
      <c r="C1253" s="36" t="s">
        <v>263</v>
      </c>
      <c r="D1253" s="37">
        <v>45040</v>
      </c>
      <c r="E1253" s="36" t="s">
        <v>3092</v>
      </c>
      <c r="F1253" s="36" t="s">
        <v>3093</v>
      </c>
      <c r="G1253" s="36" t="s">
        <v>55</v>
      </c>
      <c r="H1253" s="36" t="s">
        <v>3137</v>
      </c>
      <c r="I1253" s="36" t="s">
        <v>57</v>
      </c>
      <c r="J1253" s="36" t="str">
        <f t="shared" si="52"/>
        <v>Water Supply and SanitationWater Supply and Sanitation EstablishmentCOffice SuperintendentS13 (35400 - 112400)</v>
      </c>
      <c r="K1253" s="36" t="s">
        <v>58</v>
      </c>
      <c r="L1253" s="36" t="s">
        <v>228</v>
      </c>
      <c r="M1253" s="38" t="s">
        <v>3138</v>
      </c>
      <c r="N1253" s="36" t="s">
        <v>60</v>
      </c>
      <c r="O1253" s="6" t="s">
        <v>33</v>
      </c>
      <c r="P1253" s="7">
        <v>2</v>
      </c>
      <c r="Q1253" s="7" t="s">
        <v>100</v>
      </c>
      <c r="R1253" s="7">
        <v>1</v>
      </c>
      <c r="S1253" s="7" t="s">
        <v>3139</v>
      </c>
      <c r="T1253" s="7" t="s">
        <v>61</v>
      </c>
      <c r="U1253" s="36" t="s">
        <v>61</v>
      </c>
      <c r="V1253" s="38" t="s">
        <v>3138</v>
      </c>
      <c r="W1253" s="36"/>
      <c r="X1253" s="36" t="s">
        <v>150</v>
      </c>
      <c r="Y1253" s="36" t="s">
        <v>150</v>
      </c>
      <c r="Z1253" s="41"/>
      <c r="AA1253" s="42" t="e">
        <f>_xlfn.XLOOKUP(C1253,#REF!,#REF!,"",0,1)</f>
        <v>#REF!</v>
      </c>
      <c r="AB1253" s="43">
        <f t="shared" si="53"/>
        <v>0</v>
      </c>
    </row>
    <row r="1254" spans="1:28" ht="234.5" thickBot="1" x14ac:dyDescent="0.3">
      <c r="A1254" s="36">
        <v>1253</v>
      </c>
      <c r="B1254" s="36" t="s">
        <v>24</v>
      </c>
      <c r="C1254" s="36" t="s">
        <v>263</v>
      </c>
      <c r="D1254" s="37">
        <v>45040</v>
      </c>
      <c r="E1254" s="36" t="s">
        <v>3092</v>
      </c>
      <c r="F1254" s="36" t="s">
        <v>3093</v>
      </c>
      <c r="G1254" s="36" t="s">
        <v>55</v>
      </c>
      <c r="H1254" s="36" t="s">
        <v>3140</v>
      </c>
      <c r="I1254" s="36" t="s">
        <v>67</v>
      </c>
      <c r="J1254" s="36" t="str">
        <f t="shared" si="52"/>
        <v>Water Supply and SanitationWater Supply and Sanitation EstablishmentCJunior Engineer (Mech.)S14 (38600 - 122800)</v>
      </c>
      <c r="K1254" s="36" t="s">
        <v>163</v>
      </c>
      <c r="L1254" s="36" t="s">
        <v>225</v>
      </c>
      <c r="M1254" s="38" t="s">
        <v>3141</v>
      </c>
      <c r="N1254" s="36" t="s">
        <v>165</v>
      </c>
      <c r="O1254" s="6" t="s">
        <v>33</v>
      </c>
      <c r="P1254" s="7">
        <v>9</v>
      </c>
      <c r="Q1254" s="7" t="s">
        <v>100</v>
      </c>
      <c r="R1254" s="7">
        <v>4</v>
      </c>
      <c r="S1254" s="8" t="s">
        <v>3142</v>
      </c>
      <c r="T1254" s="7" t="s">
        <v>61</v>
      </c>
      <c r="U1254" s="36" t="s">
        <v>61</v>
      </c>
      <c r="V1254" s="38" t="s">
        <v>3143</v>
      </c>
      <c r="W1254" s="36"/>
      <c r="X1254" s="36" t="s">
        <v>3144</v>
      </c>
      <c r="Y1254" s="36" t="s">
        <v>3145</v>
      </c>
      <c r="Z1254" s="41"/>
      <c r="AA1254" s="42" t="e">
        <f>_xlfn.XLOOKUP(C1254,#REF!,#REF!,"",0,1)</f>
        <v>#REF!</v>
      </c>
      <c r="AB1254" s="43">
        <f t="shared" si="53"/>
        <v>0</v>
      </c>
    </row>
    <row r="1255" spans="1:28" ht="117.5" thickBot="1" x14ac:dyDescent="0.3">
      <c r="A1255" s="36">
        <v>1254</v>
      </c>
      <c r="B1255" s="36" t="s">
        <v>24</v>
      </c>
      <c r="C1255" s="36" t="s">
        <v>263</v>
      </c>
      <c r="D1255" s="37">
        <v>45040</v>
      </c>
      <c r="E1255" s="36" t="s">
        <v>3092</v>
      </c>
      <c r="F1255" s="36" t="s">
        <v>3093</v>
      </c>
      <c r="G1255" s="36" t="s">
        <v>55</v>
      </c>
      <c r="H1255" s="36" t="s">
        <v>920</v>
      </c>
      <c r="I1255" s="36" t="s">
        <v>67</v>
      </c>
      <c r="J1255" s="36" t="str">
        <f t="shared" si="52"/>
        <v>Water Supply and SanitationWater Supply and Sanitation EstablishmentCProgrammerS14 (38600 - 122800)</v>
      </c>
      <c r="K1255" s="36" t="s">
        <v>115</v>
      </c>
      <c r="L1255" s="36" t="s">
        <v>225</v>
      </c>
      <c r="M1255" s="38" t="s">
        <v>3146</v>
      </c>
      <c r="N1255" s="36" t="s">
        <v>179</v>
      </c>
      <c r="O1255" s="6" t="s">
        <v>83</v>
      </c>
      <c r="P1255" s="7">
        <v>1</v>
      </c>
      <c r="Q1255" s="7" t="s">
        <v>100</v>
      </c>
      <c r="R1255" s="7">
        <v>1</v>
      </c>
      <c r="S1255" s="7" t="s">
        <v>3139</v>
      </c>
      <c r="T1255" s="7" t="s">
        <v>2395</v>
      </c>
      <c r="U1255" s="36" t="s">
        <v>61</v>
      </c>
      <c r="V1255" s="38" t="s">
        <v>3147</v>
      </c>
      <c r="W1255" s="36"/>
      <c r="X1255" s="36" t="s">
        <v>3135</v>
      </c>
      <c r="Y1255" s="36" t="s">
        <v>3136</v>
      </c>
      <c r="Z1255" s="41"/>
      <c r="AA1255" s="42" t="e">
        <f>_xlfn.XLOOKUP(C1255,#REF!,#REF!,"",0,1)</f>
        <v>#REF!</v>
      </c>
      <c r="AB1255" s="43">
        <f t="shared" si="53"/>
        <v>0</v>
      </c>
    </row>
    <row r="1256" spans="1:28" ht="143.5" thickBot="1" x14ac:dyDescent="0.3">
      <c r="A1256" s="36">
        <v>1255</v>
      </c>
      <c r="B1256" s="36" t="s">
        <v>24</v>
      </c>
      <c r="C1256" s="36" t="s">
        <v>263</v>
      </c>
      <c r="D1256" s="37">
        <v>45040</v>
      </c>
      <c r="E1256" s="36" t="s">
        <v>3092</v>
      </c>
      <c r="F1256" s="36" t="s">
        <v>3093</v>
      </c>
      <c r="G1256" s="36" t="s">
        <v>55</v>
      </c>
      <c r="H1256" s="36" t="s">
        <v>3148</v>
      </c>
      <c r="I1256" s="36" t="s">
        <v>44</v>
      </c>
      <c r="J1256" s="36" t="str">
        <f t="shared" si="52"/>
        <v>Water Supply and SanitationWater Supply and Sanitation EstablishmentCJunior ChemistS15 (41800 - 132300)</v>
      </c>
      <c r="K1256" s="36" t="s">
        <v>377</v>
      </c>
      <c r="L1256" s="36" t="s">
        <v>225</v>
      </c>
      <c r="M1256" s="38" t="s">
        <v>3149</v>
      </c>
      <c r="N1256" s="36" t="s">
        <v>379</v>
      </c>
      <c r="O1256" s="6" t="s">
        <v>33</v>
      </c>
      <c r="P1256" s="7">
        <v>154</v>
      </c>
      <c r="Q1256" s="7" t="s">
        <v>34</v>
      </c>
      <c r="R1256" s="8"/>
      <c r="S1256" s="8"/>
      <c r="T1256" s="7" t="s">
        <v>61</v>
      </c>
      <c r="U1256" s="36" t="s">
        <v>61</v>
      </c>
      <c r="V1256" s="38" t="s">
        <v>3150</v>
      </c>
      <c r="W1256" s="36"/>
      <c r="X1256" s="36" t="s">
        <v>3151</v>
      </c>
      <c r="Y1256" s="46">
        <v>29619</v>
      </c>
      <c r="Z1256" s="41"/>
      <c r="AA1256" s="42" t="e">
        <f>_xlfn.XLOOKUP(C1256,#REF!,#REF!,"",0,1)</f>
        <v>#REF!</v>
      </c>
      <c r="AB1256" s="43">
        <f t="shared" si="53"/>
        <v>0</v>
      </c>
    </row>
    <row r="1257" spans="1:28" ht="130.5" thickBot="1" x14ac:dyDescent="0.3">
      <c r="A1257" s="36">
        <v>1256</v>
      </c>
      <c r="B1257" s="36" t="s">
        <v>24</v>
      </c>
      <c r="C1257" s="36" t="s">
        <v>263</v>
      </c>
      <c r="D1257" s="37">
        <v>45040</v>
      </c>
      <c r="E1257" s="36" t="s">
        <v>3092</v>
      </c>
      <c r="F1257" s="36" t="s">
        <v>3093</v>
      </c>
      <c r="G1257" s="36" t="s">
        <v>55</v>
      </c>
      <c r="H1257" s="36" t="s">
        <v>3152</v>
      </c>
      <c r="I1257" s="36" t="s">
        <v>44</v>
      </c>
      <c r="J1257" s="36" t="str">
        <f t="shared" si="52"/>
        <v>Water Supply and SanitationWater Supply and Sanitation EstablishmentCG.I.S. OfficerS15 (41800 - 132300)</v>
      </c>
      <c r="K1257" s="36" t="s">
        <v>3125</v>
      </c>
      <c r="L1257" s="36" t="s">
        <v>225</v>
      </c>
      <c r="M1257" s="38" t="s">
        <v>3153</v>
      </c>
      <c r="N1257" s="36" t="s">
        <v>3127</v>
      </c>
      <c r="O1257" s="9"/>
      <c r="P1257" s="7">
        <v>0</v>
      </c>
      <c r="Q1257" s="7" t="s">
        <v>34</v>
      </c>
      <c r="R1257" s="8"/>
      <c r="S1257" s="8"/>
      <c r="T1257" s="7" t="s">
        <v>2395</v>
      </c>
      <c r="U1257" s="36" t="s">
        <v>61</v>
      </c>
      <c r="V1257" s="38" t="s">
        <v>3154</v>
      </c>
      <c r="W1257" s="36"/>
      <c r="X1257" s="36" t="s">
        <v>3155</v>
      </c>
      <c r="Y1257" s="36" t="s">
        <v>3156</v>
      </c>
      <c r="Z1257" s="41"/>
      <c r="AA1257" s="42" t="e">
        <f>_xlfn.XLOOKUP(C1257,#REF!,#REF!,"",0,1)</f>
        <v>#REF!</v>
      </c>
      <c r="AB1257" s="43">
        <f t="shared" si="53"/>
        <v>0</v>
      </c>
    </row>
    <row r="1258" spans="1:28" ht="130.5" thickBot="1" x14ac:dyDescent="0.3">
      <c r="A1258" s="36">
        <v>1257</v>
      </c>
      <c r="B1258" s="36" t="s">
        <v>24</v>
      </c>
      <c r="C1258" s="36" t="s">
        <v>263</v>
      </c>
      <c r="D1258" s="37">
        <v>45040</v>
      </c>
      <c r="E1258" s="36" t="s">
        <v>3092</v>
      </c>
      <c r="F1258" s="36" t="s">
        <v>3093</v>
      </c>
      <c r="G1258" s="36" t="s">
        <v>55</v>
      </c>
      <c r="H1258" s="36" t="s">
        <v>3157</v>
      </c>
      <c r="I1258" s="36" t="s">
        <v>44</v>
      </c>
      <c r="J1258" s="36" t="str">
        <f t="shared" si="52"/>
        <v>Water Supply and SanitationWater Supply and Sanitation EstablishmentCJunior GeophysicistS15 (41800 - 132300)</v>
      </c>
      <c r="K1258" s="36" t="s">
        <v>3158</v>
      </c>
      <c r="L1258" s="36" t="s">
        <v>225</v>
      </c>
      <c r="M1258" s="38" t="s">
        <v>3159</v>
      </c>
      <c r="N1258" s="36" t="s">
        <v>3160</v>
      </c>
      <c r="O1258" s="9"/>
      <c r="P1258" s="7">
        <v>12</v>
      </c>
      <c r="Q1258" s="7" t="s">
        <v>100</v>
      </c>
      <c r="R1258" s="7">
        <v>6</v>
      </c>
      <c r="S1258" s="7" t="s">
        <v>3161</v>
      </c>
      <c r="T1258" s="7" t="s">
        <v>61</v>
      </c>
      <c r="U1258" s="36" t="s">
        <v>61</v>
      </c>
      <c r="V1258" s="38" t="s">
        <v>3162</v>
      </c>
      <c r="W1258" s="36"/>
      <c r="X1258" s="36" t="s">
        <v>3163</v>
      </c>
      <c r="Y1258" s="36" t="s">
        <v>3164</v>
      </c>
      <c r="Z1258" s="41"/>
      <c r="AA1258" s="42" t="e">
        <f>_xlfn.XLOOKUP(C1258,#REF!,#REF!,"",0,1)</f>
        <v>#REF!</v>
      </c>
      <c r="AB1258" s="43">
        <f t="shared" si="53"/>
        <v>0</v>
      </c>
    </row>
    <row r="1259" spans="1:28" ht="130.5" thickBot="1" x14ac:dyDescent="0.3">
      <c r="A1259" s="36">
        <v>1258</v>
      </c>
      <c r="B1259" s="36" t="s">
        <v>24</v>
      </c>
      <c r="C1259" s="36" t="s">
        <v>263</v>
      </c>
      <c r="D1259" s="37">
        <v>45040</v>
      </c>
      <c r="E1259" s="36" t="s">
        <v>3092</v>
      </c>
      <c r="F1259" s="36" t="s">
        <v>3093</v>
      </c>
      <c r="G1259" s="36" t="s">
        <v>55</v>
      </c>
      <c r="H1259" s="36" t="s">
        <v>771</v>
      </c>
      <c r="I1259" s="36" t="s">
        <v>44</v>
      </c>
      <c r="J1259" s="36" t="str">
        <f t="shared" si="52"/>
        <v>Water Supply and SanitationWater Supply and Sanitation EstablishmentCStenographer (L.G.)S15 (41800 - 132300)</v>
      </c>
      <c r="K1259" s="36" t="s">
        <v>68</v>
      </c>
      <c r="L1259" s="36" t="s">
        <v>231</v>
      </c>
      <c r="M1259" s="38" t="s">
        <v>3165</v>
      </c>
      <c r="N1259" s="36" t="s">
        <v>70</v>
      </c>
      <c r="O1259" s="6" t="s">
        <v>33</v>
      </c>
      <c r="P1259" s="7">
        <v>5</v>
      </c>
      <c r="Q1259" s="7" t="s">
        <v>100</v>
      </c>
      <c r="R1259" s="7">
        <v>3</v>
      </c>
      <c r="S1259" s="7" t="s">
        <v>3166</v>
      </c>
      <c r="T1259" s="4" t="s">
        <v>3276</v>
      </c>
      <c r="U1259" s="36" t="s">
        <v>61</v>
      </c>
      <c r="V1259" s="38"/>
      <c r="W1259" s="36"/>
      <c r="X1259" s="36"/>
      <c r="Y1259" s="36"/>
      <c r="Z1259" s="41"/>
      <c r="AA1259" s="42" t="e">
        <f>_xlfn.XLOOKUP(C1259,#REF!,#REF!,"",0,1)</f>
        <v>#REF!</v>
      </c>
      <c r="AB1259" s="43">
        <f t="shared" si="53"/>
        <v>0</v>
      </c>
    </row>
    <row r="1260" spans="1:28" ht="130.5" thickBot="1" x14ac:dyDescent="0.3">
      <c r="A1260" s="36">
        <v>1259</v>
      </c>
      <c r="B1260" s="36" t="s">
        <v>24</v>
      </c>
      <c r="C1260" s="36" t="s">
        <v>263</v>
      </c>
      <c r="D1260" s="37">
        <v>45040</v>
      </c>
      <c r="E1260" s="36" t="s">
        <v>3092</v>
      </c>
      <c r="F1260" s="36" t="s">
        <v>3093</v>
      </c>
      <c r="G1260" s="36" t="s">
        <v>55</v>
      </c>
      <c r="H1260" s="36" t="s">
        <v>1055</v>
      </c>
      <c r="I1260" s="36" t="s">
        <v>54</v>
      </c>
      <c r="J1260" s="36" t="str">
        <f t="shared" si="52"/>
        <v>Water Supply and SanitationWater Supply and Sanitation EstablishmentCStenographer (H.G.)S16 (44900 - 142400)</v>
      </c>
      <c r="K1260" s="36" t="s">
        <v>68</v>
      </c>
      <c r="L1260" s="36" t="s">
        <v>231</v>
      </c>
      <c r="M1260" s="38" t="s">
        <v>3167</v>
      </c>
      <c r="N1260" s="36" t="s">
        <v>70</v>
      </c>
      <c r="O1260" s="6" t="s">
        <v>33</v>
      </c>
      <c r="P1260" s="7">
        <v>0</v>
      </c>
      <c r="Q1260" s="7" t="s">
        <v>34</v>
      </c>
      <c r="R1260" s="8"/>
      <c r="S1260" s="8"/>
      <c r="T1260" s="4" t="s">
        <v>3276</v>
      </c>
      <c r="U1260" s="36" t="s">
        <v>61</v>
      </c>
      <c r="V1260" s="38"/>
      <c r="W1260" s="36"/>
      <c r="X1260" s="36"/>
      <c r="Y1260" s="36"/>
      <c r="Z1260" s="41"/>
      <c r="AA1260" s="42" t="e">
        <f>_xlfn.XLOOKUP(C1260,#REF!,#REF!,"",0,1)</f>
        <v>#REF!</v>
      </c>
      <c r="AB1260" s="43">
        <f t="shared" si="53"/>
        <v>0</v>
      </c>
    </row>
    <row r="1261" spans="1:28" ht="117.5" thickBot="1" x14ac:dyDescent="0.3">
      <c r="A1261" s="36">
        <v>1260</v>
      </c>
      <c r="B1261" s="36" t="s">
        <v>24</v>
      </c>
      <c r="C1261" s="36" t="s">
        <v>263</v>
      </c>
      <c r="D1261" s="37">
        <v>45040</v>
      </c>
      <c r="E1261" s="36" t="s">
        <v>3092</v>
      </c>
      <c r="F1261" s="36" t="s">
        <v>3093</v>
      </c>
      <c r="G1261" s="36" t="s">
        <v>55</v>
      </c>
      <c r="H1261" s="36" t="s">
        <v>1773</v>
      </c>
      <c r="I1261" s="36" t="s">
        <v>74</v>
      </c>
      <c r="J1261" s="36" t="str">
        <f t="shared" si="52"/>
        <v>Water Supply and SanitationWater Supply and Sanitation EstablishmentCLaboratory AssistantS6 (19900 - 63200)</v>
      </c>
      <c r="K1261" s="36" t="s">
        <v>377</v>
      </c>
      <c r="L1261" s="36" t="s">
        <v>225</v>
      </c>
      <c r="M1261" s="38" t="s">
        <v>3168</v>
      </c>
      <c r="N1261" s="36" t="s">
        <v>379</v>
      </c>
      <c r="O1261" s="6" t="s">
        <v>33</v>
      </c>
      <c r="P1261" s="7">
        <v>2</v>
      </c>
      <c r="Q1261" s="7" t="s">
        <v>100</v>
      </c>
      <c r="R1261" s="7">
        <v>2</v>
      </c>
      <c r="S1261" s="7" t="s">
        <v>3169</v>
      </c>
      <c r="T1261" s="7" t="s">
        <v>61</v>
      </c>
      <c r="U1261" s="36" t="s">
        <v>61</v>
      </c>
      <c r="V1261" s="38" t="s">
        <v>3170</v>
      </c>
      <c r="W1261" s="36"/>
      <c r="X1261" s="36" t="s">
        <v>3171</v>
      </c>
      <c r="Y1261" s="46">
        <v>31929</v>
      </c>
      <c r="Z1261" s="41"/>
      <c r="AA1261" s="42" t="e">
        <f>_xlfn.XLOOKUP(C1261,#REF!,#REF!,"",0,1)</f>
        <v>#REF!</v>
      </c>
      <c r="AB1261" s="43">
        <f t="shared" si="53"/>
        <v>0</v>
      </c>
    </row>
    <row r="1262" spans="1:28" ht="104.5" thickBot="1" x14ac:dyDescent="0.3">
      <c r="A1262" s="36">
        <v>1261</v>
      </c>
      <c r="B1262" s="36" t="s">
        <v>24</v>
      </c>
      <c r="C1262" s="36" t="s">
        <v>263</v>
      </c>
      <c r="D1262" s="37">
        <v>45040</v>
      </c>
      <c r="E1262" s="36" t="s">
        <v>3092</v>
      </c>
      <c r="F1262" s="36" t="s">
        <v>3093</v>
      </c>
      <c r="G1262" s="36" t="s">
        <v>55</v>
      </c>
      <c r="H1262" s="36" t="s">
        <v>123</v>
      </c>
      <c r="I1262" s="36" t="s">
        <v>74</v>
      </c>
      <c r="J1262" s="36" t="str">
        <f t="shared" si="52"/>
        <v>Water Supply and SanitationWater Supply and Sanitation EstablishmentCJunior ClerkS6 (19900 - 63200)</v>
      </c>
      <c r="K1262" s="36" t="s">
        <v>75</v>
      </c>
      <c r="L1262" s="36" t="s">
        <v>228</v>
      </c>
      <c r="M1262" s="38" t="s">
        <v>3172</v>
      </c>
      <c r="N1262" s="36" t="s">
        <v>70</v>
      </c>
      <c r="O1262" s="6" t="s">
        <v>33</v>
      </c>
      <c r="P1262" s="7">
        <v>21</v>
      </c>
      <c r="Q1262" s="7" t="s">
        <v>34</v>
      </c>
      <c r="R1262" s="8"/>
      <c r="S1262" s="8"/>
      <c r="T1262" s="7" t="s">
        <v>61</v>
      </c>
      <c r="U1262" s="36" t="s">
        <v>61</v>
      </c>
      <c r="V1262" s="38" t="s">
        <v>3173</v>
      </c>
      <c r="W1262" s="36"/>
      <c r="X1262" s="36" t="s">
        <v>3174</v>
      </c>
      <c r="Y1262" s="46">
        <v>33848</v>
      </c>
      <c r="Z1262" s="41"/>
      <c r="AA1262" s="42" t="e">
        <f>_xlfn.XLOOKUP(C1262,#REF!,#REF!,"",0,1)</f>
        <v>#REF!</v>
      </c>
      <c r="AB1262" s="43">
        <f t="shared" si="53"/>
        <v>0</v>
      </c>
    </row>
    <row r="1263" spans="1:28" ht="208.5" thickBot="1" x14ac:dyDescent="0.3">
      <c r="A1263" s="36">
        <v>1262</v>
      </c>
      <c r="B1263" s="36" t="s">
        <v>24</v>
      </c>
      <c r="C1263" s="36" t="s">
        <v>263</v>
      </c>
      <c r="D1263" s="37">
        <v>45040</v>
      </c>
      <c r="E1263" s="36" t="s">
        <v>3092</v>
      </c>
      <c r="F1263" s="36" t="s">
        <v>3093</v>
      </c>
      <c r="G1263" s="36" t="s">
        <v>55</v>
      </c>
      <c r="H1263" s="36" t="s">
        <v>2146</v>
      </c>
      <c r="I1263" s="36" t="s">
        <v>169</v>
      </c>
      <c r="J1263" s="36" t="str">
        <f t="shared" si="52"/>
        <v>Water Supply and SanitationWater Supply and Sanitation EstablishmentCRigmanS7 (21700 - 69100)</v>
      </c>
      <c r="K1263" s="36" t="s">
        <v>127</v>
      </c>
      <c r="L1263" s="36" t="s">
        <v>225</v>
      </c>
      <c r="M1263" s="38" t="s">
        <v>3175</v>
      </c>
      <c r="N1263" s="36" t="s">
        <v>3176</v>
      </c>
      <c r="O1263" s="9"/>
      <c r="P1263" s="7">
        <v>13</v>
      </c>
      <c r="Q1263" s="7" t="s">
        <v>100</v>
      </c>
      <c r="R1263" s="7">
        <v>8</v>
      </c>
      <c r="S1263" s="7" t="s">
        <v>3177</v>
      </c>
      <c r="T1263" s="7" t="s">
        <v>61</v>
      </c>
      <c r="U1263" s="36" t="s">
        <v>61</v>
      </c>
      <c r="V1263" s="38" t="s">
        <v>3178</v>
      </c>
      <c r="W1263" s="36"/>
      <c r="X1263" s="36" t="s">
        <v>3144</v>
      </c>
      <c r="Y1263" s="36" t="s">
        <v>3145</v>
      </c>
      <c r="Z1263" s="41"/>
      <c r="AA1263" s="42" t="e">
        <f>_xlfn.XLOOKUP(C1263,#REF!,#REF!,"",0,1)</f>
        <v>#REF!</v>
      </c>
      <c r="AB1263" s="43">
        <f t="shared" si="53"/>
        <v>0</v>
      </c>
    </row>
    <row r="1264" spans="1:28" ht="104.5" thickBot="1" x14ac:dyDescent="0.3">
      <c r="A1264" s="36">
        <v>1263</v>
      </c>
      <c r="B1264" s="36" t="s">
        <v>24</v>
      </c>
      <c r="C1264" s="36" t="s">
        <v>263</v>
      </c>
      <c r="D1264" s="37">
        <v>45040</v>
      </c>
      <c r="E1264" s="36" t="s">
        <v>3092</v>
      </c>
      <c r="F1264" s="36" t="s">
        <v>3093</v>
      </c>
      <c r="G1264" s="36" t="s">
        <v>55</v>
      </c>
      <c r="H1264" s="36" t="s">
        <v>87</v>
      </c>
      <c r="I1264" s="36" t="s">
        <v>80</v>
      </c>
      <c r="J1264" s="36" t="str">
        <f t="shared" si="52"/>
        <v>Water Supply and SanitationWater Supply and Sanitation EstablishmentCSenior ClerkS8 (25500 - 81100)</v>
      </c>
      <c r="K1264" s="36" t="s">
        <v>75</v>
      </c>
      <c r="L1264" s="36" t="s">
        <v>228</v>
      </c>
      <c r="M1264" s="38" t="s">
        <v>3179</v>
      </c>
      <c r="N1264" s="36" t="s">
        <v>70</v>
      </c>
      <c r="O1264" s="9"/>
      <c r="P1264" s="7">
        <v>6</v>
      </c>
      <c r="Q1264" s="7" t="s">
        <v>100</v>
      </c>
      <c r="R1264" s="7">
        <v>5</v>
      </c>
      <c r="S1264" s="7" t="s">
        <v>3180</v>
      </c>
      <c r="T1264" s="7" t="s">
        <v>61</v>
      </c>
      <c r="U1264" s="36" t="s">
        <v>61</v>
      </c>
      <c r="V1264" s="38" t="s">
        <v>3181</v>
      </c>
      <c r="W1264" s="36"/>
      <c r="X1264" s="36" t="s">
        <v>3174</v>
      </c>
      <c r="Y1264" s="46">
        <v>33848</v>
      </c>
      <c r="Z1264" s="41"/>
      <c r="AA1264" s="42" t="e">
        <f>_xlfn.XLOOKUP(C1264,#REF!,#REF!,"",0,1)</f>
        <v>#REF!</v>
      </c>
      <c r="AB1264" s="43">
        <f t="shared" si="53"/>
        <v>0</v>
      </c>
    </row>
    <row r="1265" spans="1:28" ht="117.5" thickBot="1" x14ac:dyDescent="0.3">
      <c r="A1265" s="36">
        <v>1264</v>
      </c>
      <c r="B1265" s="36" t="s">
        <v>24</v>
      </c>
      <c r="C1265" s="36" t="s">
        <v>263</v>
      </c>
      <c r="D1265" s="37">
        <v>45040</v>
      </c>
      <c r="E1265" s="36" t="s">
        <v>3092</v>
      </c>
      <c r="F1265" s="36" t="s">
        <v>3093</v>
      </c>
      <c r="G1265" s="36" t="s">
        <v>55</v>
      </c>
      <c r="H1265" s="36" t="s">
        <v>3182</v>
      </c>
      <c r="I1265" s="36" t="s">
        <v>80</v>
      </c>
      <c r="J1265" s="36" t="str">
        <f t="shared" si="52"/>
        <v>Water Supply and SanitationWater Supply and Sanitation EstablishmentCG.I.S. AssistantS8 (25500 - 81100)</v>
      </c>
      <c r="K1265" s="36" t="s">
        <v>3125</v>
      </c>
      <c r="L1265" s="36" t="s">
        <v>225</v>
      </c>
      <c r="M1265" s="38" t="s">
        <v>3183</v>
      </c>
      <c r="N1265" s="36" t="s">
        <v>3127</v>
      </c>
      <c r="O1265" s="9"/>
      <c r="P1265" s="7">
        <v>48</v>
      </c>
      <c r="Q1265" s="7" t="s">
        <v>34</v>
      </c>
      <c r="R1265" s="8"/>
      <c r="S1265" s="8"/>
      <c r="T1265" s="7" t="s">
        <v>61</v>
      </c>
      <c r="U1265" s="36" t="s">
        <v>61</v>
      </c>
      <c r="V1265" s="38" t="s">
        <v>3184</v>
      </c>
      <c r="W1265" s="36"/>
      <c r="X1265" s="36" t="s">
        <v>3185</v>
      </c>
      <c r="Y1265" s="46">
        <v>31686</v>
      </c>
      <c r="Z1265" s="41"/>
      <c r="AA1265" s="42" t="e">
        <f>_xlfn.XLOOKUP(C1265,#REF!,#REF!,"",0,1)</f>
        <v>#REF!</v>
      </c>
      <c r="AB1265" s="43">
        <f t="shared" si="53"/>
        <v>0</v>
      </c>
    </row>
    <row r="1266" spans="1:28" ht="104.5" thickBot="1" x14ac:dyDescent="0.3">
      <c r="A1266" s="36">
        <v>1265</v>
      </c>
      <c r="B1266" s="36" t="s">
        <v>24</v>
      </c>
      <c r="C1266" s="36" t="s">
        <v>263</v>
      </c>
      <c r="D1266" s="37">
        <v>45040</v>
      </c>
      <c r="E1266" s="36" t="s">
        <v>3092</v>
      </c>
      <c r="F1266" s="36" t="s">
        <v>3093</v>
      </c>
      <c r="G1266" s="36" t="s">
        <v>55</v>
      </c>
      <c r="H1266" s="36" t="s">
        <v>92</v>
      </c>
      <c r="I1266" s="36" t="s">
        <v>80</v>
      </c>
      <c r="J1266" s="36" t="str">
        <f t="shared" si="52"/>
        <v>Water Supply and SanitationWater Supply and Sanitation EstablishmentCSteno TypistS8 (25500 - 81100)</v>
      </c>
      <c r="K1266" s="36" t="s">
        <v>68</v>
      </c>
      <c r="L1266" s="36" t="s">
        <v>231</v>
      </c>
      <c r="M1266" s="38" t="s">
        <v>3186</v>
      </c>
      <c r="N1266" s="36" t="s">
        <v>70</v>
      </c>
      <c r="O1266" s="6" t="s">
        <v>33</v>
      </c>
      <c r="P1266" s="7">
        <v>4</v>
      </c>
      <c r="Q1266" s="7" t="s">
        <v>100</v>
      </c>
      <c r="R1266" s="7">
        <v>4</v>
      </c>
      <c r="S1266" s="7" t="s">
        <v>3142</v>
      </c>
      <c r="T1266" s="4" t="s">
        <v>3276</v>
      </c>
      <c r="U1266" s="36" t="s">
        <v>61</v>
      </c>
      <c r="V1266" s="38"/>
      <c r="W1266" s="36"/>
      <c r="X1266" s="36"/>
      <c r="Y1266" s="36"/>
      <c r="Z1266" s="41"/>
      <c r="AA1266" s="42" t="e">
        <f>_xlfn.XLOOKUP(C1266,#REF!,#REF!,"",0,1)</f>
        <v>#REF!</v>
      </c>
      <c r="AB1266" s="43">
        <f t="shared" si="53"/>
        <v>0</v>
      </c>
    </row>
    <row r="1267" spans="1:28" ht="286.5" thickBot="1" x14ac:dyDescent="0.3">
      <c r="A1267" s="36">
        <v>1266</v>
      </c>
      <c r="B1267" s="36" t="s">
        <v>24</v>
      </c>
      <c r="C1267" s="36" t="s">
        <v>263</v>
      </c>
      <c r="D1267" s="37">
        <v>45040</v>
      </c>
      <c r="E1267" s="36" t="s">
        <v>3092</v>
      </c>
      <c r="F1267" s="36" t="s">
        <v>3093</v>
      </c>
      <c r="G1267" s="36" t="s">
        <v>55</v>
      </c>
      <c r="H1267" s="36" t="s">
        <v>2157</v>
      </c>
      <c r="I1267" s="36" t="s">
        <v>80</v>
      </c>
      <c r="J1267" s="36" t="str">
        <f t="shared" si="52"/>
        <v>Water Supply and SanitationWater Supply and Sanitation EstablishmentCAssistant DrillerS8 (25500 - 81100)</v>
      </c>
      <c r="K1267" s="36" t="s">
        <v>127</v>
      </c>
      <c r="L1267" s="36" t="s">
        <v>225</v>
      </c>
      <c r="M1267" s="38" t="s">
        <v>3187</v>
      </c>
      <c r="N1267" s="36" t="s">
        <v>3188</v>
      </c>
      <c r="O1267" s="9"/>
      <c r="P1267" s="7">
        <v>0</v>
      </c>
      <c r="Q1267" s="7" t="s">
        <v>34</v>
      </c>
      <c r="R1267" s="8"/>
      <c r="S1267" s="8"/>
      <c r="T1267" s="7" t="s">
        <v>2395</v>
      </c>
      <c r="U1267" s="36" t="s">
        <v>61</v>
      </c>
      <c r="V1267" s="38" t="s">
        <v>3189</v>
      </c>
      <c r="W1267" s="36"/>
      <c r="X1267" s="36" t="s">
        <v>3144</v>
      </c>
      <c r="Y1267" s="36" t="s">
        <v>3145</v>
      </c>
      <c r="Z1267" s="41"/>
      <c r="AA1267" s="42" t="e">
        <f>_xlfn.XLOOKUP(C1267,#REF!,#REF!,"",0,1)</f>
        <v>#REF!</v>
      </c>
      <c r="AB1267" s="43">
        <f t="shared" si="53"/>
        <v>0</v>
      </c>
    </row>
    <row r="1268" spans="1:28" ht="169.5" thickBot="1" x14ac:dyDescent="0.3">
      <c r="A1268" s="36">
        <v>1267</v>
      </c>
      <c r="B1268" s="36" t="s">
        <v>24</v>
      </c>
      <c r="C1268" s="36" t="s">
        <v>263</v>
      </c>
      <c r="D1268" s="37" t="s">
        <v>3190</v>
      </c>
      <c r="E1268" s="36" t="s">
        <v>3191</v>
      </c>
      <c r="F1268" s="36" t="s">
        <v>3192</v>
      </c>
      <c r="G1268" s="36" t="s">
        <v>28</v>
      </c>
      <c r="H1268" s="36" t="s">
        <v>3193</v>
      </c>
      <c r="I1268" s="36" t="s">
        <v>38</v>
      </c>
      <c r="J1268" s="36" t="str">
        <f t="shared" si="52"/>
        <v>Women &amp; ChildWomen &amp; Child EstablishmentADistrict women and child devlopment officer/CDPO/Asst.
  CommissionerS20 (56100 - 177500)</v>
      </c>
      <c r="K1268" s="36" t="s">
        <v>45</v>
      </c>
      <c r="L1268" s="36" t="s">
        <v>247</v>
      </c>
      <c r="M1268" s="38" t="s">
        <v>3194</v>
      </c>
      <c r="N1268" s="36" t="s">
        <v>41</v>
      </c>
      <c r="O1268" s="6" t="s">
        <v>33</v>
      </c>
      <c r="P1268" s="7">
        <v>15</v>
      </c>
      <c r="Q1268" s="7" t="s">
        <v>34</v>
      </c>
      <c r="R1268" s="8"/>
      <c r="S1268" s="8"/>
      <c r="T1268" s="7" t="s">
        <v>35</v>
      </c>
      <c r="U1268" s="36" t="s">
        <v>36</v>
      </c>
      <c r="V1268" s="38"/>
      <c r="W1268" s="36"/>
      <c r="X1268" s="36"/>
      <c r="Y1268" s="36"/>
      <c r="Z1268" s="41"/>
      <c r="AA1268" s="42" t="e">
        <f>_xlfn.XLOOKUP(C1268,#REF!,#REF!,"",0,1)</f>
        <v>#REF!</v>
      </c>
      <c r="AB1268" s="43">
        <f t="shared" si="53"/>
        <v>0</v>
      </c>
    </row>
    <row r="1269" spans="1:28" ht="104.5" thickBot="1" x14ac:dyDescent="0.3">
      <c r="A1269" s="36">
        <v>1268</v>
      </c>
      <c r="B1269" s="36" t="s">
        <v>24</v>
      </c>
      <c r="C1269" s="36" t="s">
        <v>263</v>
      </c>
      <c r="D1269" s="37" t="s">
        <v>3190</v>
      </c>
      <c r="E1269" s="36" t="s">
        <v>3191</v>
      </c>
      <c r="F1269" s="36" t="s">
        <v>3192</v>
      </c>
      <c r="G1269" s="36" t="s">
        <v>28</v>
      </c>
      <c r="H1269" s="36" t="s">
        <v>3195</v>
      </c>
      <c r="I1269" s="36" t="s">
        <v>38</v>
      </c>
      <c r="J1269" s="36" t="str">
        <f t="shared" si="52"/>
        <v>Women &amp; ChildWomen &amp; Child EstablishmentAChild PsychologistS20 (56100 - 177500)</v>
      </c>
      <c r="K1269" s="36" t="s">
        <v>1033</v>
      </c>
      <c r="L1269" s="36" t="s">
        <v>247</v>
      </c>
      <c r="M1269" s="38" t="s">
        <v>3196</v>
      </c>
      <c r="N1269" s="36" t="s">
        <v>41</v>
      </c>
      <c r="O1269" s="6" t="s">
        <v>33</v>
      </c>
      <c r="P1269" s="7">
        <v>43</v>
      </c>
      <c r="Q1269" s="7" t="s">
        <v>34</v>
      </c>
      <c r="R1269" s="8"/>
      <c r="S1269" s="8"/>
      <c r="T1269" s="7" t="s">
        <v>35</v>
      </c>
      <c r="U1269" s="36" t="s">
        <v>36</v>
      </c>
      <c r="V1269" s="38"/>
      <c r="W1269" s="36"/>
      <c r="X1269" s="36"/>
      <c r="Y1269" s="36"/>
      <c r="Z1269" s="41"/>
      <c r="AA1269" s="42" t="e">
        <f>_xlfn.XLOOKUP(C1269,#REF!,#REF!,"",0,1)</f>
        <v>#REF!</v>
      </c>
      <c r="AB1269" s="43">
        <f t="shared" si="53"/>
        <v>0</v>
      </c>
    </row>
    <row r="1270" spans="1:28" ht="182.5" thickBot="1" x14ac:dyDescent="0.3">
      <c r="A1270" s="36">
        <v>1269</v>
      </c>
      <c r="B1270" s="36" t="s">
        <v>24</v>
      </c>
      <c r="C1270" s="36" t="s">
        <v>263</v>
      </c>
      <c r="D1270" s="37" t="s">
        <v>3190</v>
      </c>
      <c r="E1270" s="36" t="s">
        <v>3191</v>
      </c>
      <c r="F1270" s="36" t="s">
        <v>3192</v>
      </c>
      <c r="G1270" s="36" t="s">
        <v>42</v>
      </c>
      <c r="H1270" s="36" t="s">
        <v>3197</v>
      </c>
      <c r="I1270" s="36" t="s">
        <v>372</v>
      </c>
      <c r="J1270" s="36" t="str">
        <f t="shared" si="52"/>
        <v>Women &amp; ChildWomen &amp; Child EstablishmentB (Gazetted)District women and child devlopment officer/CDPO (rural) / Supritendent/ondmS17 (47600 - 151100)</v>
      </c>
      <c r="K1270" s="36" t="s">
        <v>45</v>
      </c>
      <c r="L1270" s="36" t="s">
        <v>247</v>
      </c>
      <c r="M1270" s="38" t="s">
        <v>3198</v>
      </c>
      <c r="N1270" s="36" t="s">
        <v>41</v>
      </c>
      <c r="O1270" s="6" t="s">
        <v>33</v>
      </c>
      <c r="P1270" s="7">
        <v>56</v>
      </c>
      <c r="Q1270" s="7" t="s">
        <v>34</v>
      </c>
      <c r="R1270" s="8"/>
      <c r="S1270" s="8"/>
      <c r="T1270" s="7" t="s">
        <v>35</v>
      </c>
      <c r="U1270" s="36" t="s">
        <v>36</v>
      </c>
      <c r="V1270" s="38"/>
      <c r="W1270" s="36"/>
      <c r="X1270" s="36"/>
      <c r="Y1270" s="36"/>
      <c r="Z1270" s="41"/>
      <c r="AA1270" s="42" t="e">
        <f>_xlfn.XLOOKUP(C1270,#REF!,#REF!,"",0,1)</f>
        <v>#REF!</v>
      </c>
      <c r="AB1270" s="43">
        <f t="shared" si="53"/>
        <v>0</v>
      </c>
    </row>
    <row r="1271" spans="1:28" ht="130.5" thickBot="1" x14ac:dyDescent="0.3">
      <c r="A1271" s="36">
        <v>1270</v>
      </c>
      <c r="B1271" s="36" t="s">
        <v>584</v>
      </c>
      <c r="C1271" s="36" t="s">
        <v>263</v>
      </c>
      <c r="D1271" s="37" t="s">
        <v>3190</v>
      </c>
      <c r="E1271" s="36" t="s">
        <v>3191</v>
      </c>
      <c r="F1271" s="36" t="s">
        <v>3192</v>
      </c>
      <c r="G1271" s="36" t="s">
        <v>65</v>
      </c>
      <c r="H1271" s="36" t="s">
        <v>3199</v>
      </c>
      <c r="I1271" s="36" t="s">
        <v>67</v>
      </c>
      <c r="J1271" s="36" t="str">
        <f t="shared" si="52"/>
        <v>Women &amp; ChildWomen &amp; Child EstablishmentB (Non Gazetted)District Protection OfficerS14 (38600 - 122800)</v>
      </c>
      <c r="K1271" s="36"/>
      <c r="L1271" s="36"/>
      <c r="M1271" s="38" t="s">
        <v>3200</v>
      </c>
      <c r="N1271" s="36"/>
      <c r="O1271" s="6" t="s">
        <v>33</v>
      </c>
      <c r="P1271" s="8"/>
      <c r="Q1271" s="7" t="s">
        <v>34</v>
      </c>
      <c r="R1271" s="8"/>
      <c r="S1271" s="8"/>
      <c r="T1271" s="4" t="s">
        <v>3276</v>
      </c>
      <c r="U1271" s="36" t="s">
        <v>36</v>
      </c>
      <c r="V1271" s="38"/>
      <c r="W1271" s="36"/>
      <c r="X1271" s="36"/>
      <c r="Y1271" s="36"/>
      <c r="Z1271" s="41"/>
      <c r="AA1271" s="42" t="e">
        <f>_xlfn.XLOOKUP(C1271,#REF!,#REF!,"",0,1)</f>
        <v>#REF!</v>
      </c>
      <c r="AB1271" s="43">
        <f t="shared" ref="AB1271:AB1279" si="54">IFERROR(FLOOR(P1271*AA1271,1),0)</f>
        <v>0</v>
      </c>
    </row>
    <row r="1272" spans="1:28" ht="91.5" thickBot="1" x14ac:dyDescent="0.3">
      <c r="A1272" s="36">
        <v>1271</v>
      </c>
      <c r="B1272" s="36" t="s">
        <v>24</v>
      </c>
      <c r="C1272" s="36" t="s">
        <v>263</v>
      </c>
      <c r="D1272" s="37" t="s">
        <v>3190</v>
      </c>
      <c r="E1272" s="36" t="s">
        <v>3191</v>
      </c>
      <c r="F1272" s="36" t="s">
        <v>3192</v>
      </c>
      <c r="G1272" s="36" t="s">
        <v>55</v>
      </c>
      <c r="H1272" s="36" t="s">
        <v>307</v>
      </c>
      <c r="I1272" s="36" t="s">
        <v>57</v>
      </c>
      <c r="J1272" s="36" t="str">
        <f t="shared" si="52"/>
        <v>Women &amp; ChildWomen &amp; Child EstablishmentCSupervisorS13 (35400 - 112400)</v>
      </c>
      <c r="K1272" s="36" t="s">
        <v>58</v>
      </c>
      <c r="L1272" s="36" t="s">
        <v>228</v>
      </c>
      <c r="M1272" s="38" t="s">
        <v>3201</v>
      </c>
      <c r="N1272" s="36" t="s">
        <v>41</v>
      </c>
      <c r="O1272" s="6" t="s">
        <v>33</v>
      </c>
      <c r="P1272" s="7">
        <v>26</v>
      </c>
      <c r="Q1272" s="7" t="s">
        <v>34</v>
      </c>
      <c r="R1272" s="8"/>
      <c r="S1272" s="8"/>
      <c r="T1272" s="7" t="s">
        <v>35</v>
      </c>
      <c r="U1272" s="36" t="s">
        <v>36</v>
      </c>
      <c r="V1272" s="38" t="s">
        <v>3202</v>
      </c>
      <c r="W1272" s="36"/>
      <c r="X1272" s="36" t="s">
        <v>3203</v>
      </c>
      <c r="Y1272" s="46">
        <v>44292</v>
      </c>
      <c r="Z1272" s="41"/>
      <c r="AA1272" s="42" t="e">
        <f>_xlfn.XLOOKUP(C1272,#REF!,#REF!,"",0,1)</f>
        <v>#REF!</v>
      </c>
      <c r="AB1272" s="43">
        <f t="shared" si="54"/>
        <v>0</v>
      </c>
    </row>
    <row r="1273" spans="1:28" ht="104.5" thickBot="1" x14ac:dyDescent="0.3">
      <c r="A1273" s="36">
        <v>1272</v>
      </c>
      <c r="B1273" s="36" t="s">
        <v>24</v>
      </c>
      <c r="C1273" s="36" t="s">
        <v>263</v>
      </c>
      <c r="D1273" s="37" t="s">
        <v>3190</v>
      </c>
      <c r="E1273" s="36" t="s">
        <v>3191</v>
      </c>
      <c r="F1273" s="36" t="s">
        <v>3192</v>
      </c>
      <c r="G1273" s="36" t="s">
        <v>55</v>
      </c>
      <c r="H1273" s="36" t="s">
        <v>3204</v>
      </c>
      <c r="I1273" s="36" t="s">
        <v>67</v>
      </c>
      <c r="J1273" s="36" t="str">
        <f t="shared" si="52"/>
        <v>Women &amp; ChildWomen &amp; Child EstablishmentCProbation OfficerS14 (38600 - 122800)</v>
      </c>
      <c r="K1273" s="36" t="s">
        <v>197</v>
      </c>
      <c r="L1273" s="36" t="s">
        <v>228</v>
      </c>
      <c r="M1273" s="38" t="s">
        <v>3198</v>
      </c>
      <c r="N1273" s="36" t="s">
        <v>41</v>
      </c>
      <c r="O1273" s="6" t="s">
        <v>33</v>
      </c>
      <c r="P1273" s="7">
        <v>34</v>
      </c>
      <c r="Q1273" s="7" t="s">
        <v>34</v>
      </c>
      <c r="R1273" s="8"/>
      <c r="S1273" s="8"/>
      <c r="T1273" s="7" t="s">
        <v>35</v>
      </c>
      <c r="U1273" s="36" t="s">
        <v>36</v>
      </c>
      <c r="V1273" s="38" t="s">
        <v>3202</v>
      </c>
      <c r="W1273" s="36"/>
      <c r="X1273" s="36" t="s">
        <v>3203</v>
      </c>
      <c r="Y1273" s="46">
        <v>44292</v>
      </c>
      <c r="Z1273" s="41"/>
      <c r="AA1273" s="42" t="e">
        <f>_xlfn.XLOOKUP(C1273,#REF!,#REF!,"",0,1)</f>
        <v>#REF!</v>
      </c>
      <c r="AB1273" s="43">
        <f t="shared" si="54"/>
        <v>0</v>
      </c>
    </row>
    <row r="1274" spans="1:28" ht="104.5" thickBot="1" x14ac:dyDescent="0.3">
      <c r="A1274" s="36">
        <v>1273</v>
      </c>
      <c r="B1274" s="36" t="s">
        <v>24</v>
      </c>
      <c r="C1274" s="36" t="s">
        <v>263</v>
      </c>
      <c r="D1274" s="37" t="s">
        <v>3190</v>
      </c>
      <c r="E1274" s="36" t="s">
        <v>3191</v>
      </c>
      <c r="F1274" s="36" t="s">
        <v>3192</v>
      </c>
      <c r="G1274" s="36" t="s">
        <v>55</v>
      </c>
      <c r="H1274" s="36" t="s">
        <v>3205</v>
      </c>
      <c r="I1274" s="36" t="s">
        <v>67</v>
      </c>
      <c r="J1274" s="36" t="str">
        <f t="shared" si="52"/>
        <v>Women &amp; ChildWomen &amp; Child EstablishmentCSteno (Lower Grade)S14 (38600 - 122800)</v>
      </c>
      <c r="K1274" s="36" t="s">
        <v>68</v>
      </c>
      <c r="L1274" s="36" t="s">
        <v>231</v>
      </c>
      <c r="M1274" s="38" t="s">
        <v>3206</v>
      </c>
      <c r="N1274" s="36" t="s">
        <v>70</v>
      </c>
      <c r="O1274" s="6" t="s">
        <v>33</v>
      </c>
      <c r="P1274" s="7">
        <v>0</v>
      </c>
      <c r="Q1274" s="7" t="s">
        <v>34</v>
      </c>
      <c r="R1274" s="8"/>
      <c r="S1274" s="7" t="s">
        <v>721</v>
      </c>
      <c r="T1274" s="4" t="s">
        <v>3276</v>
      </c>
      <c r="U1274" s="36" t="s">
        <v>36</v>
      </c>
      <c r="V1274" s="38"/>
      <c r="W1274" s="36"/>
      <c r="X1274" s="36"/>
      <c r="Y1274" s="36"/>
      <c r="Z1274" s="41"/>
      <c r="AA1274" s="42" t="e">
        <f>_xlfn.XLOOKUP(C1274,#REF!,#REF!,"",0,1)</f>
        <v>#REF!</v>
      </c>
      <c r="AB1274" s="43">
        <f t="shared" si="54"/>
        <v>0</v>
      </c>
    </row>
    <row r="1275" spans="1:28" ht="91.5" thickBot="1" x14ac:dyDescent="0.3">
      <c r="A1275" s="44">
        <v>1274</v>
      </c>
      <c r="B1275" s="44" t="s">
        <v>24</v>
      </c>
      <c r="C1275" s="36" t="s">
        <v>263</v>
      </c>
      <c r="D1275" s="37" t="s">
        <v>3190</v>
      </c>
      <c r="E1275" s="44" t="s">
        <v>3191</v>
      </c>
      <c r="F1275" s="44" t="s">
        <v>3192</v>
      </c>
      <c r="G1275" s="44" t="s">
        <v>55</v>
      </c>
      <c r="H1275" s="44" t="s">
        <v>3207</v>
      </c>
      <c r="I1275" s="44" t="s">
        <v>67</v>
      </c>
      <c r="J1275" s="44" t="str">
        <f t="shared" si="52"/>
        <v>Women &amp; ChildWomen &amp; Child EstablishmentCOversearS14 (38600 - 122800)</v>
      </c>
      <c r="K1275" s="44"/>
      <c r="L1275" s="44" t="s">
        <v>261</v>
      </c>
      <c r="M1275" s="45" t="s">
        <v>3208</v>
      </c>
      <c r="N1275" s="44" t="s">
        <v>113</v>
      </c>
      <c r="O1275" s="11" t="s">
        <v>33</v>
      </c>
      <c r="P1275" s="13"/>
      <c r="Q1275" s="12" t="s">
        <v>34</v>
      </c>
      <c r="R1275" s="13"/>
      <c r="S1275" s="13"/>
      <c r="T1275" s="4" t="s">
        <v>3276</v>
      </c>
      <c r="U1275" s="44" t="s">
        <v>36</v>
      </c>
      <c r="V1275" s="45"/>
      <c r="W1275" s="44"/>
      <c r="X1275" s="44"/>
      <c r="Y1275" s="44"/>
      <c r="Z1275" s="41"/>
      <c r="AA1275" s="42" t="e">
        <f>_xlfn.XLOOKUP(C1275,#REF!,#REF!,"",0,1)</f>
        <v>#REF!</v>
      </c>
      <c r="AB1275" s="43">
        <f t="shared" si="54"/>
        <v>0</v>
      </c>
    </row>
    <row r="1276" spans="1:28" ht="104.5" thickBot="1" x14ac:dyDescent="0.3">
      <c r="A1276" s="36">
        <v>1275</v>
      </c>
      <c r="B1276" s="36" t="s">
        <v>24</v>
      </c>
      <c r="C1276" s="36" t="s">
        <v>263</v>
      </c>
      <c r="D1276" s="37" t="s">
        <v>3190</v>
      </c>
      <c r="E1276" s="36" t="s">
        <v>3191</v>
      </c>
      <c r="F1276" s="36" t="s">
        <v>3192</v>
      </c>
      <c r="G1276" s="36" t="s">
        <v>55</v>
      </c>
      <c r="H1276" s="36" t="s">
        <v>3209</v>
      </c>
      <c r="I1276" s="36" t="s">
        <v>44</v>
      </c>
      <c r="J1276" s="36" t="str">
        <f t="shared" si="52"/>
        <v>Women &amp; ChildWomen &amp; Child EstablishmentCSteno (Higher Grade)S15 (41800 - 132300)</v>
      </c>
      <c r="K1276" s="36" t="s">
        <v>68</v>
      </c>
      <c r="L1276" s="36" t="s">
        <v>231</v>
      </c>
      <c r="M1276" s="38" t="s">
        <v>3206</v>
      </c>
      <c r="N1276" s="36" t="s">
        <v>70</v>
      </c>
      <c r="O1276" s="6" t="s">
        <v>33</v>
      </c>
      <c r="P1276" s="7">
        <v>0</v>
      </c>
      <c r="Q1276" s="7" t="s">
        <v>34</v>
      </c>
      <c r="R1276" s="8"/>
      <c r="S1276" s="7" t="s">
        <v>721</v>
      </c>
      <c r="T1276" s="4" t="s">
        <v>3276</v>
      </c>
      <c r="U1276" s="36" t="s">
        <v>36</v>
      </c>
      <c r="V1276" s="38"/>
      <c r="W1276" s="36"/>
      <c r="X1276" s="36"/>
      <c r="Y1276" s="36"/>
      <c r="Z1276" s="41"/>
      <c r="AA1276" s="42" t="e">
        <f>_xlfn.XLOOKUP(C1276,#REF!,#REF!,"",0,1)</f>
        <v>#REF!</v>
      </c>
      <c r="AB1276" s="43">
        <f t="shared" si="54"/>
        <v>0</v>
      </c>
    </row>
    <row r="1277" spans="1:28" ht="78.5" thickBot="1" x14ac:dyDescent="0.3">
      <c r="A1277" s="36">
        <v>1276</v>
      </c>
      <c r="B1277" s="36" t="s">
        <v>24</v>
      </c>
      <c r="C1277" s="36" t="s">
        <v>263</v>
      </c>
      <c r="D1277" s="37" t="s">
        <v>3190</v>
      </c>
      <c r="E1277" s="36" t="s">
        <v>3191</v>
      </c>
      <c r="F1277" s="36" t="s">
        <v>3192</v>
      </c>
      <c r="G1277" s="36" t="s">
        <v>55</v>
      </c>
      <c r="H1277" s="36" t="s">
        <v>2720</v>
      </c>
      <c r="I1277" s="36" t="s">
        <v>74</v>
      </c>
      <c r="J1277" s="36" t="str">
        <f t="shared" si="52"/>
        <v>Women &amp; ChildWomen &amp; Child EstablishmentCJr.ClerkS6 (19900 - 63200)</v>
      </c>
      <c r="K1277" s="36" t="s">
        <v>75</v>
      </c>
      <c r="L1277" s="36" t="s">
        <v>228</v>
      </c>
      <c r="M1277" s="38" t="s">
        <v>3210</v>
      </c>
      <c r="N1277" s="36" t="s">
        <v>70</v>
      </c>
      <c r="O1277" s="6" t="s">
        <v>33</v>
      </c>
      <c r="P1277" s="7">
        <v>61</v>
      </c>
      <c r="Q1277" s="7" t="s">
        <v>34</v>
      </c>
      <c r="R1277" s="8"/>
      <c r="S1277" s="8"/>
      <c r="T1277" s="7" t="s">
        <v>35</v>
      </c>
      <c r="U1277" s="36" t="s">
        <v>36</v>
      </c>
      <c r="V1277" s="38" t="s">
        <v>3211</v>
      </c>
      <c r="W1277" s="36"/>
      <c r="X1277" s="36" t="s">
        <v>3203</v>
      </c>
      <c r="Y1277" s="46">
        <v>44292</v>
      </c>
      <c r="Z1277" s="41"/>
      <c r="AA1277" s="42" t="e">
        <f>_xlfn.XLOOKUP(C1277,#REF!,#REF!,"",0,1)</f>
        <v>#REF!</v>
      </c>
      <c r="AB1277" s="43">
        <f t="shared" si="54"/>
        <v>0</v>
      </c>
    </row>
    <row r="1278" spans="1:28" ht="104.5" thickBot="1" x14ac:dyDescent="0.3">
      <c r="A1278" s="36">
        <v>1277</v>
      </c>
      <c r="B1278" s="36" t="s">
        <v>24</v>
      </c>
      <c r="C1278" s="36" t="s">
        <v>263</v>
      </c>
      <c r="D1278" s="37" t="s">
        <v>3190</v>
      </c>
      <c r="E1278" s="36" t="s">
        <v>3191</v>
      </c>
      <c r="F1278" s="36" t="s">
        <v>3192</v>
      </c>
      <c r="G1278" s="36" t="s">
        <v>55</v>
      </c>
      <c r="H1278" s="36" t="s">
        <v>3212</v>
      </c>
      <c r="I1278" s="36" t="s">
        <v>74</v>
      </c>
      <c r="J1278" s="36" t="str">
        <f t="shared" si="52"/>
        <v>Women &amp; ChildWomen &amp; Child EstablishmentCProtection Officer
  Jr.S6 (19900 - 63200)</v>
      </c>
      <c r="K1278" s="36"/>
      <c r="L1278" s="36" t="s">
        <v>238</v>
      </c>
      <c r="M1278" s="38" t="s">
        <v>3213</v>
      </c>
      <c r="N1278" s="36" t="s">
        <v>283</v>
      </c>
      <c r="O1278" s="6" t="s">
        <v>33</v>
      </c>
      <c r="P1278" s="7">
        <v>17</v>
      </c>
      <c r="Q1278" s="7" t="s">
        <v>61</v>
      </c>
      <c r="R1278" s="8"/>
      <c r="S1278" s="7" t="s">
        <v>419</v>
      </c>
      <c r="T1278" s="7" t="s">
        <v>61</v>
      </c>
      <c r="U1278" s="36" t="s">
        <v>36</v>
      </c>
      <c r="V1278" s="38"/>
      <c r="W1278" s="36"/>
      <c r="X1278" s="36"/>
      <c r="Y1278" s="36"/>
      <c r="Z1278" s="41"/>
      <c r="AA1278" s="42" t="e">
        <f>_xlfn.XLOOKUP(C1278,#REF!,#REF!,"",0,1)</f>
        <v>#REF!</v>
      </c>
      <c r="AB1278" s="43">
        <f t="shared" si="54"/>
        <v>0</v>
      </c>
    </row>
    <row r="1279" spans="1:28" ht="78.5" thickBot="1" x14ac:dyDescent="0.3">
      <c r="A1279" s="36">
        <v>1278</v>
      </c>
      <c r="B1279" s="36" t="s">
        <v>24</v>
      </c>
      <c r="C1279" s="36" t="s">
        <v>263</v>
      </c>
      <c r="D1279" s="37" t="s">
        <v>3190</v>
      </c>
      <c r="E1279" s="36" t="s">
        <v>3191</v>
      </c>
      <c r="F1279" s="36" t="s">
        <v>3192</v>
      </c>
      <c r="G1279" s="36" t="s">
        <v>55</v>
      </c>
      <c r="H1279" s="36" t="s">
        <v>3214</v>
      </c>
      <c r="I1279" s="36" t="s">
        <v>80</v>
      </c>
      <c r="J1279" s="36" t="str">
        <f t="shared" si="52"/>
        <v>Women &amp; ChildWomen &amp; Child EstablishmentCSr.ClerkS8 (25500 - 81100)</v>
      </c>
      <c r="K1279" s="36" t="s">
        <v>75</v>
      </c>
      <c r="L1279" s="36" t="s">
        <v>228</v>
      </c>
      <c r="M1279" s="38" t="s">
        <v>3210</v>
      </c>
      <c r="N1279" s="36" t="s">
        <v>70</v>
      </c>
      <c r="O1279" s="6" t="s">
        <v>33</v>
      </c>
      <c r="P1279" s="7">
        <v>20</v>
      </c>
      <c r="Q1279" s="7" t="s">
        <v>34</v>
      </c>
      <c r="R1279" s="8"/>
      <c r="S1279" s="8"/>
      <c r="T1279" s="7" t="s">
        <v>35</v>
      </c>
      <c r="U1279" s="36" t="s">
        <v>36</v>
      </c>
      <c r="V1279" s="38" t="s">
        <v>3215</v>
      </c>
      <c r="W1279" s="36"/>
      <c r="X1279" s="36" t="s">
        <v>3203</v>
      </c>
      <c r="Y1279" s="46">
        <v>44292</v>
      </c>
      <c r="Z1279" s="41"/>
      <c r="AA1279" s="42" t="e">
        <f>_xlfn.XLOOKUP(C1279,#REF!,#REF!,"",0,1)</f>
        <v>#REF!</v>
      </c>
      <c r="AB1279" s="43">
        <f t="shared" si="54"/>
        <v>0</v>
      </c>
    </row>
    <row r="1280" spans="1:28" ht="117.5" thickBot="1" x14ac:dyDescent="0.35">
      <c r="A1280" s="36"/>
      <c r="B1280" s="36" t="s">
        <v>24</v>
      </c>
      <c r="C1280" s="72" t="s">
        <v>263</v>
      </c>
      <c r="D1280" s="37"/>
      <c r="E1280" s="1" t="s">
        <v>95</v>
      </c>
      <c r="F1280" s="1" t="s">
        <v>96</v>
      </c>
      <c r="G1280" s="1" t="s">
        <v>28</v>
      </c>
      <c r="H1280" s="1" t="s">
        <v>3216</v>
      </c>
      <c r="I1280" s="36"/>
      <c r="J1280" s="36" t="str">
        <f t="shared" si="52"/>
        <v>Animal Husbandry &amp; FisheriesAnimal Husbandry EstablishmentAAssistant Commissioner, Animal husbandry</v>
      </c>
      <c r="K1280" s="36"/>
      <c r="L1280" s="36" t="s">
        <v>247</v>
      </c>
      <c r="M1280" s="38"/>
      <c r="N1280" s="36"/>
      <c r="O1280" s="39"/>
      <c r="P1280" s="1">
        <v>327</v>
      </c>
      <c r="Q1280" s="1" t="s">
        <v>100</v>
      </c>
      <c r="R1280" s="41">
        <v>308</v>
      </c>
      <c r="S1280" s="41"/>
      <c r="T1280" s="1" t="s">
        <v>61</v>
      </c>
      <c r="U1280" s="36"/>
      <c r="V1280" s="38"/>
      <c r="W1280" s="36"/>
      <c r="X1280" s="36"/>
      <c r="Y1280" s="46"/>
      <c r="Z1280" s="41"/>
      <c r="AA1280" s="42" t="e">
        <f>_xlfn.XLOOKUP(C1280,#REF!,#REF!,"",0,1)</f>
        <v>#REF!</v>
      </c>
      <c r="AB1280" s="43">
        <f>IFERROR(FLOOR(P1280*AA1280,1),0)</f>
        <v>0</v>
      </c>
    </row>
    <row r="1281" spans="1:28" ht="143.5" thickBot="1" x14ac:dyDescent="0.35">
      <c r="A1281" s="36"/>
      <c r="B1281" s="36" t="s">
        <v>24</v>
      </c>
      <c r="C1281" s="72" t="s">
        <v>25</v>
      </c>
      <c r="D1281" s="37"/>
      <c r="E1281" s="1" t="s">
        <v>1239</v>
      </c>
      <c r="F1281" s="1" t="s">
        <v>1240</v>
      </c>
      <c r="G1281" s="1" t="s">
        <v>55</v>
      </c>
      <c r="H1281" s="1" t="s">
        <v>3217</v>
      </c>
      <c r="I1281" s="36"/>
      <c r="J1281" s="36" t="str">
        <f t="shared" si="52"/>
        <v>IndustryDirectorate of Government Printing EstablishmentCसहायक पर्यवेक्षक प्रतिरुप / Assistant Supervisor (Offset)</v>
      </c>
      <c r="K1281" s="36"/>
      <c r="L1281" s="36"/>
      <c r="M1281" s="38"/>
      <c r="N1281" s="36"/>
      <c r="O1281" s="39"/>
      <c r="P1281" s="1">
        <v>8</v>
      </c>
      <c r="Q1281" s="1" t="s">
        <v>34</v>
      </c>
      <c r="R1281" s="41"/>
      <c r="S1281" s="41"/>
      <c r="T1281" s="4" t="s">
        <v>3276</v>
      </c>
      <c r="U1281" s="36"/>
      <c r="V1281" s="38"/>
      <c r="W1281" s="36"/>
      <c r="X1281" s="36"/>
      <c r="Y1281" s="46"/>
      <c r="Z1281" s="41"/>
      <c r="AA1281" s="42" t="e">
        <f>_xlfn.XLOOKUP(C1281,#REF!,#REF!,"",0,1)</f>
        <v>#REF!</v>
      </c>
      <c r="AB1281" s="43">
        <f>IFERROR(FLOOR(P1281*AA1281,1),0)</f>
        <v>0</v>
      </c>
    </row>
    <row r="1282" spans="1:28" ht="117.5" thickBot="1" x14ac:dyDescent="0.35">
      <c r="A1282" s="36"/>
      <c r="B1282" s="36" t="s">
        <v>24</v>
      </c>
      <c r="C1282" s="72" t="s">
        <v>25</v>
      </c>
      <c r="D1282" s="37"/>
      <c r="E1282" s="1" t="s">
        <v>1239</v>
      </c>
      <c r="F1282" s="1" t="s">
        <v>1240</v>
      </c>
      <c r="G1282" s="1" t="s">
        <v>55</v>
      </c>
      <c r="H1282" s="1" t="s">
        <v>3218</v>
      </c>
      <c r="I1282" s="36"/>
      <c r="J1282" s="36" t="str">
        <f t="shared" ref="J1282:J1291" si="55">_xlfn.CONCAT(E1282:I1282)</f>
        <v>IndustryDirectorate of Government Printing EstablishmentCयंत्रचालक श्रेणी-1/ Machin operator Grade-I</v>
      </c>
      <c r="K1282" s="36"/>
      <c r="L1282" s="36"/>
      <c r="M1282" s="38"/>
      <c r="N1282" s="36"/>
      <c r="O1282" s="47"/>
      <c r="P1282" s="1"/>
      <c r="Q1282" s="1" t="s">
        <v>444</v>
      </c>
      <c r="R1282" s="47"/>
      <c r="S1282" s="47"/>
      <c r="T1282" s="4" t="s">
        <v>3276</v>
      </c>
      <c r="U1282" s="36"/>
      <c r="V1282" s="38"/>
      <c r="W1282" s="36"/>
      <c r="X1282" s="36"/>
      <c r="Y1282" s="47"/>
      <c r="Z1282" s="41"/>
      <c r="AA1282" s="42" t="e">
        <f>_xlfn.XLOOKUP(C1282,#REF!,#REF!,"",0,1)</f>
        <v>#REF!</v>
      </c>
      <c r="AB1282" s="43">
        <f t="shared" ref="AB1282:AB1291" si="56">IFERROR(FLOOR(P1282*AA1282,1),0)</f>
        <v>0</v>
      </c>
    </row>
    <row r="1283" spans="1:28" ht="130.5" thickBot="1" x14ac:dyDescent="0.35">
      <c r="A1283" s="36"/>
      <c r="B1283" s="36" t="s">
        <v>24</v>
      </c>
      <c r="C1283" s="72" t="s">
        <v>25</v>
      </c>
      <c r="D1283" s="37"/>
      <c r="E1283" s="1" t="s">
        <v>1239</v>
      </c>
      <c r="F1283" s="1" t="s">
        <v>1240</v>
      </c>
      <c r="G1283" s="1" t="s">
        <v>55</v>
      </c>
      <c r="H1283" s="1" t="s">
        <v>3219</v>
      </c>
      <c r="I1283" s="36"/>
      <c r="J1283" s="36" t="str">
        <f t="shared" si="55"/>
        <v>IndustryDirectorate of Government Printing EstablishmentCसहायक पर्यवेक्षक लेखपट/Assistant Supervisor Document</v>
      </c>
      <c r="K1283" s="36"/>
      <c r="L1283" s="36"/>
      <c r="M1283" s="38"/>
      <c r="N1283" s="36"/>
      <c r="O1283" s="47"/>
      <c r="P1283" s="1">
        <v>7</v>
      </c>
      <c r="Q1283" s="1" t="s">
        <v>34</v>
      </c>
      <c r="R1283" s="47"/>
      <c r="S1283" s="47"/>
      <c r="T1283" s="4" t="s">
        <v>3276</v>
      </c>
      <c r="U1283" s="36"/>
      <c r="V1283" s="38"/>
      <c r="W1283" s="36"/>
      <c r="X1283" s="36"/>
      <c r="Y1283" s="47"/>
      <c r="Z1283" s="41"/>
      <c r="AA1283" s="42" t="e">
        <f>_xlfn.XLOOKUP(C1283,#REF!,#REF!,"",0,1)</f>
        <v>#REF!</v>
      </c>
      <c r="AB1283" s="43">
        <f t="shared" si="56"/>
        <v>0</v>
      </c>
    </row>
    <row r="1284" spans="1:28" ht="130.5" thickBot="1" x14ac:dyDescent="0.35">
      <c r="A1284" s="36"/>
      <c r="B1284" s="36" t="s">
        <v>24</v>
      </c>
      <c r="C1284" s="72" t="s">
        <v>25</v>
      </c>
      <c r="D1284" s="37"/>
      <c r="E1284" s="1" t="s">
        <v>1239</v>
      </c>
      <c r="F1284" s="1" t="s">
        <v>1240</v>
      </c>
      <c r="G1284" s="1" t="s">
        <v>55</v>
      </c>
      <c r="H1284" s="1" t="s">
        <v>3220</v>
      </c>
      <c r="I1284" s="36"/>
      <c r="J1284" s="36" t="str">
        <f t="shared" si="55"/>
        <v>IndustryDirectorate of Government Printing EstablishmentCलेखपट यंत्रचालक ग्रेड-2 /Film Setter Operator Grade-2</v>
      </c>
      <c r="K1284" s="36"/>
      <c r="L1284" s="36" t="s">
        <v>225</v>
      </c>
      <c r="M1284" s="38"/>
      <c r="N1284" s="36"/>
      <c r="O1284" s="47"/>
      <c r="P1284" s="1">
        <v>129</v>
      </c>
      <c r="Q1284" s="1" t="s">
        <v>34</v>
      </c>
      <c r="R1284" s="47"/>
      <c r="S1284" s="47"/>
      <c r="T1284" s="1" t="s">
        <v>35</v>
      </c>
      <c r="U1284" s="36"/>
      <c r="V1284" s="38"/>
      <c r="W1284" s="36"/>
      <c r="X1284" s="36"/>
      <c r="Y1284" s="47"/>
      <c r="Z1284" s="41"/>
      <c r="AA1284" s="42" t="e">
        <f>_xlfn.XLOOKUP(C1284,#REF!,#REF!,"",0,1)</f>
        <v>#REF!</v>
      </c>
      <c r="AB1284" s="43">
        <f t="shared" si="56"/>
        <v>0</v>
      </c>
    </row>
    <row r="1285" spans="1:28" ht="143.5" thickBot="1" x14ac:dyDescent="0.35">
      <c r="A1285" s="36"/>
      <c r="B1285" s="36" t="s">
        <v>24</v>
      </c>
      <c r="C1285" s="72" t="s">
        <v>263</v>
      </c>
      <c r="D1285" s="37"/>
      <c r="E1285" s="1" t="s">
        <v>634</v>
      </c>
      <c r="F1285" s="1" t="s">
        <v>635</v>
      </c>
      <c r="G1285" s="1" t="s">
        <v>42</v>
      </c>
      <c r="H1285" s="1" t="s">
        <v>3221</v>
      </c>
      <c r="I1285" s="36"/>
      <c r="J1285" s="36" t="str">
        <f t="shared" si="55"/>
        <v>GAD (Information and Public Relations)Information and Public Relations EstablishmentB (Gazetted)Personal Assistant</v>
      </c>
      <c r="K1285" s="36"/>
      <c r="L1285" s="36"/>
      <c r="M1285" s="38"/>
      <c r="N1285" s="36"/>
      <c r="O1285" s="47"/>
      <c r="P1285" s="1">
        <v>1</v>
      </c>
      <c r="Q1285" s="1" t="s">
        <v>34</v>
      </c>
      <c r="R1285" s="47"/>
      <c r="S1285" s="47"/>
      <c r="T1285" s="4" t="s">
        <v>3276</v>
      </c>
      <c r="U1285" s="36"/>
      <c r="V1285" s="38"/>
      <c r="W1285" s="36"/>
      <c r="X1285" s="36"/>
      <c r="Y1285" s="47"/>
      <c r="Z1285" s="41"/>
      <c r="AA1285" s="42" t="e">
        <f>_xlfn.XLOOKUP(C1285,#REF!,#REF!,"",0,1)</f>
        <v>#REF!</v>
      </c>
      <c r="AB1285" s="43">
        <f t="shared" si="56"/>
        <v>0</v>
      </c>
    </row>
    <row r="1286" spans="1:28" ht="91.5" thickBot="1" x14ac:dyDescent="0.35">
      <c r="A1286" s="36"/>
      <c r="B1286" s="36" t="s">
        <v>24</v>
      </c>
      <c r="C1286" s="72" t="s">
        <v>263</v>
      </c>
      <c r="D1286" s="37"/>
      <c r="E1286" s="1" t="s">
        <v>2164</v>
      </c>
      <c r="F1286" s="1" t="s">
        <v>2186</v>
      </c>
      <c r="G1286" s="1" t="s">
        <v>55</v>
      </c>
      <c r="H1286" s="1" t="s">
        <v>87</v>
      </c>
      <c r="I1286" s="36"/>
      <c r="J1286" s="36" t="str">
        <f t="shared" si="55"/>
        <v>MinorityMaharashtra State Waqf Tribunal, Chhatrapati Sambhajinagar EstablishmentCSenior Clerk</v>
      </c>
      <c r="K1286" s="36"/>
      <c r="L1286" s="36"/>
      <c r="M1286" s="38"/>
      <c r="N1286" s="36"/>
      <c r="O1286" s="47"/>
      <c r="P1286" s="1">
        <v>2</v>
      </c>
      <c r="Q1286" s="1" t="s">
        <v>34</v>
      </c>
      <c r="R1286" s="47"/>
      <c r="S1286" s="47"/>
      <c r="T1286" s="4" t="s">
        <v>3276</v>
      </c>
      <c r="U1286" s="36"/>
      <c r="V1286" s="38"/>
      <c r="W1286" s="36"/>
      <c r="X1286" s="36"/>
      <c r="Y1286" s="47"/>
      <c r="Z1286" s="41"/>
      <c r="AA1286" s="42" t="e">
        <f>_xlfn.XLOOKUP(C1286,#REF!,#REF!,"",0,1)</f>
        <v>#REF!</v>
      </c>
      <c r="AB1286" s="43">
        <f t="shared" si="56"/>
        <v>0</v>
      </c>
    </row>
    <row r="1287" spans="1:28" ht="91.5" thickBot="1" x14ac:dyDescent="0.35">
      <c r="A1287" s="36"/>
      <c r="B1287" s="36" t="s">
        <v>24</v>
      </c>
      <c r="C1287" s="72" t="s">
        <v>25</v>
      </c>
      <c r="D1287" s="37"/>
      <c r="E1287" s="1" t="s">
        <v>2756</v>
      </c>
      <c r="F1287" s="1" t="s">
        <v>2757</v>
      </c>
      <c r="G1287" s="1" t="s">
        <v>65</v>
      </c>
      <c r="H1287" s="1" t="s">
        <v>3222</v>
      </c>
      <c r="I1287" s="36"/>
      <c r="J1287" s="36" t="str">
        <f t="shared" si="55"/>
        <v>SportsSports (Directorate) EstablishmentB (Non Gazetted)Sports Development Officer</v>
      </c>
      <c r="K1287" s="36"/>
      <c r="L1287" s="36"/>
      <c r="M1287" s="38"/>
      <c r="N1287" s="36"/>
      <c r="O1287" s="47"/>
      <c r="P1287" s="1">
        <v>0</v>
      </c>
      <c r="Q1287" s="1" t="s">
        <v>34</v>
      </c>
      <c r="R1287" s="47"/>
      <c r="S1287" s="47"/>
      <c r="T1287" s="4" t="s">
        <v>3276</v>
      </c>
      <c r="U1287" s="36"/>
      <c r="V1287" s="38"/>
      <c r="W1287" s="36"/>
      <c r="X1287" s="36"/>
      <c r="Y1287" s="47"/>
      <c r="Z1287" s="41"/>
      <c r="AA1287" s="42" t="e">
        <f>_xlfn.XLOOKUP(C1287,#REF!,#REF!,"",0,1)</f>
        <v>#REF!</v>
      </c>
      <c r="AB1287" s="43">
        <f t="shared" si="56"/>
        <v>0</v>
      </c>
    </row>
    <row r="1288" spans="1:28" ht="78.5" thickBot="1" x14ac:dyDescent="0.35">
      <c r="A1288" s="36"/>
      <c r="B1288" s="36" t="s">
        <v>24</v>
      </c>
      <c r="C1288" s="72" t="s">
        <v>263</v>
      </c>
      <c r="D1288" s="37"/>
      <c r="E1288" s="1" t="s">
        <v>968</v>
      </c>
      <c r="F1288" s="1" t="s">
        <v>969</v>
      </c>
      <c r="G1288" s="1" t="s">
        <v>28</v>
      </c>
      <c r="H1288" s="1" t="s">
        <v>3223</v>
      </c>
      <c r="I1288" s="36"/>
      <c r="J1288" s="36" t="str">
        <f t="shared" si="55"/>
        <v>Home (DG Office)DG Office EstablishmentADy.SP/ACP, Armourer</v>
      </c>
      <c r="K1288" s="36"/>
      <c r="L1288" s="36"/>
      <c r="M1288" s="38"/>
      <c r="N1288" s="36"/>
      <c r="O1288" s="47"/>
      <c r="P1288" s="1">
        <v>2</v>
      </c>
      <c r="Q1288" s="1" t="s">
        <v>34</v>
      </c>
      <c r="R1288" s="47"/>
      <c r="S1288" s="47"/>
      <c r="T1288" s="4" t="s">
        <v>3276</v>
      </c>
      <c r="U1288" s="36"/>
      <c r="V1288" s="38"/>
      <c r="W1288" s="36"/>
      <c r="X1288" s="36"/>
      <c r="Y1288" s="47"/>
      <c r="Z1288" s="41"/>
      <c r="AA1288" s="42" t="e">
        <f>_xlfn.XLOOKUP(C1288,#REF!,#REF!,"",0,1)</f>
        <v>#REF!</v>
      </c>
      <c r="AB1288" s="43">
        <f t="shared" si="56"/>
        <v>0</v>
      </c>
    </row>
    <row r="1289" spans="1:28" ht="91.5" thickBot="1" x14ac:dyDescent="0.35">
      <c r="A1289" s="36"/>
      <c r="B1289" s="36" t="s">
        <v>24</v>
      </c>
      <c r="C1289" s="72" t="s">
        <v>25</v>
      </c>
      <c r="D1289" s="37"/>
      <c r="E1289" s="1" t="s">
        <v>1646</v>
      </c>
      <c r="F1289" s="1" t="s">
        <v>1647</v>
      </c>
      <c r="G1289" s="1" t="s">
        <v>28</v>
      </c>
      <c r="H1289" s="1" t="s">
        <v>3224</v>
      </c>
      <c r="I1289" s="36"/>
      <c r="J1289" s="36" t="str">
        <f t="shared" si="55"/>
        <v>Medical Education and DrugsAyush EstablishmentADean ( Yoga and Naturopathy)</v>
      </c>
      <c r="K1289" s="36"/>
      <c r="L1289" s="36"/>
      <c r="M1289" s="38"/>
      <c r="N1289" s="36"/>
      <c r="O1289" s="47"/>
      <c r="P1289" s="1">
        <v>1</v>
      </c>
      <c r="Q1289" s="1" t="s">
        <v>34</v>
      </c>
      <c r="R1289" s="47"/>
      <c r="S1289" s="47"/>
      <c r="T1289" s="4" t="s">
        <v>3276</v>
      </c>
      <c r="U1289" s="36"/>
      <c r="V1289" s="38"/>
      <c r="W1289" s="36"/>
      <c r="X1289" s="36"/>
      <c r="Y1289" s="47"/>
      <c r="Z1289" s="41"/>
      <c r="AA1289" s="42" t="e">
        <f>_xlfn.XLOOKUP(C1289,#REF!,#REF!,"",0,1)</f>
        <v>#REF!</v>
      </c>
      <c r="AB1289" s="43">
        <f t="shared" si="56"/>
        <v>0</v>
      </c>
    </row>
    <row r="1290" spans="1:28" ht="78.5" thickBot="1" x14ac:dyDescent="0.35">
      <c r="A1290" s="36"/>
      <c r="B1290" s="36" t="s">
        <v>24</v>
      </c>
      <c r="C1290" s="72" t="s">
        <v>25</v>
      </c>
      <c r="D1290" s="37"/>
      <c r="E1290" s="1" t="s">
        <v>1646</v>
      </c>
      <c r="F1290" s="1" t="s">
        <v>1647</v>
      </c>
      <c r="G1290" s="1" t="s">
        <v>28</v>
      </c>
      <c r="H1290" s="1" t="s">
        <v>3225</v>
      </c>
      <c r="I1290" s="36"/>
      <c r="J1290" s="36" t="str">
        <f t="shared" si="55"/>
        <v>Medical Education and DrugsAyush EstablishmentADean (Ayurveda)</v>
      </c>
      <c r="K1290" s="36"/>
      <c r="L1290" s="36"/>
      <c r="M1290" s="38"/>
      <c r="N1290" s="36"/>
      <c r="O1290" s="47"/>
      <c r="P1290" s="1">
        <v>1</v>
      </c>
      <c r="Q1290" s="1" t="s">
        <v>34</v>
      </c>
      <c r="R1290" s="47"/>
      <c r="S1290" s="47"/>
      <c r="T1290" s="4" t="s">
        <v>3276</v>
      </c>
      <c r="U1290" s="36"/>
      <c r="V1290" s="38"/>
      <c r="W1290" s="36"/>
      <c r="X1290" s="36"/>
      <c r="Y1290" s="47"/>
      <c r="Z1290" s="41"/>
      <c r="AA1290" s="42" t="e">
        <f>_xlfn.XLOOKUP(C1290,#REF!,#REF!,"",0,1)</f>
        <v>#REF!</v>
      </c>
      <c r="AB1290" s="43">
        <f t="shared" si="56"/>
        <v>0</v>
      </c>
    </row>
    <row r="1291" spans="1:28" ht="78.5" thickBot="1" x14ac:dyDescent="0.35">
      <c r="A1291" s="36"/>
      <c r="B1291" s="36" t="s">
        <v>24</v>
      </c>
      <c r="C1291" s="72" t="s">
        <v>25</v>
      </c>
      <c r="D1291" s="37"/>
      <c r="E1291" s="1" t="s">
        <v>1646</v>
      </c>
      <c r="F1291" s="1" t="s">
        <v>1647</v>
      </c>
      <c r="G1291" s="1" t="s">
        <v>28</v>
      </c>
      <c r="H1291" s="1" t="s">
        <v>3226</v>
      </c>
      <c r="I1291" s="36"/>
      <c r="J1291" s="36" t="str">
        <f t="shared" si="55"/>
        <v>Medical Education and DrugsAyush EstablishmentADean (Homoeopathy)</v>
      </c>
      <c r="K1291" s="36"/>
      <c r="L1291" s="36"/>
      <c r="M1291" s="38"/>
      <c r="N1291" s="36"/>
      <c r="O1291" s="47"/>
      <c r="P1291" s="1">
        <v>2</v>
      </c>
      <c r="Q1291" s="1" t="s">
        <v>34</v>
      </c>
      <c r="R1291" s="47"/>
      <c r="S1291" s="47"/>
      <c r="T1291" s="4" t="s">
        <v>3276</v>
      </c>
      <c r="U1291" s="36"/>
      <c r="V1291" s="38"/>
      <c r="W1291" s="36"/>
      <c r="X1291" s="36"/>
      <c r="Y1291" s="47"/>
      <c r="Z1291" s="41"/>
      <c r="AA1291" s="42" t="e">
        <f>_xlfn.XLOOKUP(C1291,#REF!,#REF!,"",0,1)</f>
        <v>#REF!</v>
      </c>
      <c r="AB1291" s="43">
        <f t="shared" si="56"/>
        <v>0</v>
      </c>
    </row>
  </sheetData>
  <customSheetViews>
    <customSheetView guid="{9336F351-8525-4B1C-85F3-364B3742EE64}" filter="1" showAutoFilter="1">
      <pageMargins left="0.7" right="0.7" top="0.75" bottom="0.75" header="0.3" footer="0.3"/>
      <autoFilter ref="B1:Y1279" xr:uid="{257D5BD7-47EB-4CD5-AC4D-06A35908E542}"/>
    </customSheetView>
    <customSheetView guid="{7AD322E6-6203-454D-818D-641BB9E2C1C9}" filter="1" showAutoFilter="1">
      <pageMargins left="0.7" right="0.7" top="0.75" bottom="0.75" header="0.3" footer="0.3"/>
      <autoFilter ref="B1:Y1279" xr:uid="{6E138C15-AD22-4BAF-B9C6-78AC6B9C0ECA}"/>
    </customSheetView>
  </customSheetViews>
  <hyperlinks>
    <hyperlink ref="M1021" r:id="rId1" xr:uid="{00000000-0004-0000-0000-000001000000}"/>
    <hyperlink ref="S841" r:id="rId2" display="http://awaited.so/" xr:uid="{10938A23-AE85-4DB4-BAAB-5B87E3CC8416}"/>
  </hyperlinks>
  <pageMargins left="0.7" right="0.7" top="0.75" bottom="0.75" header="0.3" footer="0.3"/>
  <legacyDrawing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Abijeet Singh</cp:lastModifiedBy>
  <dcterms:modified xsi:type="dcterms:W3CDTF">2026-04-06T08:08:46Z</dcterms:modified>
</cp:coreProperties>
</file>